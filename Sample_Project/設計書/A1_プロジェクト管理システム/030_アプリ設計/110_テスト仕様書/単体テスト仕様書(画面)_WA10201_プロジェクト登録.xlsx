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F833F99D-ECD4-432E-A084-B2B876C7B290}" xr6:coauthVersionLast="47" xr6:coauthVersionMax="47" xr10:uidLastSave="{00000000-0000-0000-0000-000000000000}"/>
  <bookViews>
    <workbookView xWindow="-120" yWindow="-120" windowWidth="38640" windowHeight="21240" tabRatio="889" xr2:uid="{00000000-000D-0000-FFFF-FFFF00000000}"/>
  </bookViews>
  <sheets>
    <sheet name="表紙" sheetId="19" r:id="rId1"/>
    <sheet name="変更履歴" sheetId="20" r:id="rId2"/>
    <sheet name="ProjectService_クラス単体" sheetId="36" r:id="rId3"/>
    <sheet name="ProjectCreateForm_クラス単体" sheetId="23" r:id="rId4"/>
    <sheet name="WA1020101_リクエスト単体" sheetId="26" r:id="rId5"/>
    <sheet name="WA1020102_リクエスト単体" sheetId="31" r:id="rId6"/>
    <sheet name="WA1020103_リクエスト単体" sheetId="33" r:id="rId7"/>
    <sheet name="取引単体" sheetId="29" r:id="rId8"/>
  </sheets>
  <definedNames>
    <definedName name="_xlnm._FilterDatabase" localSheetId="3" hidden="1">ProjectCreateForm_クラス単体!$A$10:$Q$296</definedName>
    <definedName name="_xlnm._FilterDatabase" localSheetId="2" hidden="1">ProjectService_クラス単体!$A$10:$Q$295</definedName>
    <definedName name="_xlnm._FilterDatabase" localSheetId="4" hidden="1">WA1020101_リクエスト単体!$A$10:$Q$506</definedName>
    <definedName name="_xlnm._FilterDatabase" localSheetId="5" hidden="1">WA1020102_リクエスト単体!$A$10:$Q$497</definedName>
    <definedName name="_xlnm._FilterDatabase" localSheetId="6" hidden="1">WA1020103_リクエスト単体!$A$10:$Q$384</definedName>
    <definedName name="_xlnm._FilterDatabase" localSheetId="7" hidden="1">取引単体!$A$10:$P$29</definedName>
    <definedName name="_xlnm.Print_Area" localSheetId="3">ProjectCreateForm_クラス単体!$A$1:$Q$296</definedName>
    <definedName name="_xlnm.Print_Area" localSheetId="2">ProjectService_クラス単体!$A$1:$Q$295</definedName>
    <definedName name="_xlnm.Print_Area" localSheetId="4">WA1020101_リクエスト単体!$A$1:$Q$507</definedName>
    <definedName name="_xlnm.Print_Area" localSheetId="5">WA1020102_リクエスト単体!$A$1:$Q$498</definedName>
    <definedName name="_xlnm.Print_Area" localSheetId="6">WA1020103_リクエスト単体!$A$1:$Q$385</definedName>
    <definedName name="_xlnm.Print_Area" localSheetId="7">取引単体!$A$1:$P$31</definedName>
    <definedName name="_xlnm.Print_Area" localSheetId="0">表紙!$A$1:$S$39</definedName>
    <definedName name="_xlnm.Print_Area" localSheetId="1">変更履歴!$A$1:$AI$39</definedName>
    <definedName name="_xlnm.Print_Titles" localSheetId="3">ProjectCreateForm_クラス単体!$1:$10</definedName>
    <definedName name="_xlnm.Print_Titles" localSheetId="2">ProjectService_クラス単体!$1:$10</definedName>
    <definedName name="_xlnm.Print_Titles" localSheetId="4">WA1020101_リクエスト単体!$1:$10</definedName>
    <definedName name="_xlnm.Print_Titles" localSheetId="5">WA1020102_リクエスト単体!$1:$10</definedName>
    <definedName name="_xlnm.Print_Titles" localSheetId="6">WA1020103_リクエスト単体!$1:$10</definedName>
    <definedName name="_xlnm.Print_Titles" localSheetId="7">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0" l="1"/>
  <c r="AC2" i="20"/>
  <c r="AC1" i="20"/>
  <c r="A188" i="36" a="1"/>
  <c r="A198" i="36" a="1"/>
  <c r="A72" i="36" a="1"/>
  <c r="A16" i="29" a="1"/>
  <c r="A190" i="36" a="1"/>
  <c r="A101" i="36" a="1"/>
  <c r="A59" i="36" a="1"/>
  <c r="A29" i="29" a="1"/>
  <c r="A228" i="36" a="1"/>
  <c r="A268" i="36" a="1"/>
  <c r="A50" i="36" a="1"/>
  <c r="A27" i="36" a="1"/>
  <c r="A135" i="36" a="1"/>
  <c r="A257" i="36" a="1"/>
  <c r="A138" i="36" a="1"/>
  <c r="A245" i="36" a="1"/>
  <c r="A22" i="36" a="1"/>
  <c r="A113" i="36" a="1"/>
  <c r="A139" i="36" a="1"/>
  <c r="A163" i="36" a="1"/>
  <c r="A211" i="36" a="1"/>
  <c r="A88" i="36" a="1"/>
  <c r="A75" i="36" a="1"/>
  <c r="A191" i="36" a="1"/>
  <c r="A226" i="36" a="1"/>
  <c r="A148" i="36" a="1"/>
  <c r="A109" i="36" a="1"/>
  <c r="A234" i="36" a="1"/>
  <c r="A236" i="36" a="1"/>
  <c r="A267" i="36" a="1"/>
  <c r="A119" i="36" a="1"/>
  <c r="A17" i="29" a="1"/>
  <c r="A47" i="36" a="1"/>
  <c r="A86" i="36" a="1"/>
  <c r="A12" i="36" a="1"/>
  <c r="A136" i="36" a="1"/>
  <c r="A12" i="29" a="1"/>
  <c r="A90" i="36" a="1"/>
  <c r="A102" i="36" a="1"/>
  <c r="A235" i="36" a="1"/>
  <c r="A42" i="36" a="1"/>
  <c r="A170" i="36" a="1"/>
  <c r="A83" i="36" a="1"/>
  <c r="A243" i="36" a="1"/>
  <c r="A184" i="36" a="1"/>
  <c r="A70" i="36" a="1"/>
  <c r="A127" i="36" a="1"/>
  <c r="A84" i="36" a="1"/>
  <c r="A224" i="36" a="1"/>
  <c r="A197" i="36" a="1"/>
  <c r="A91" i="36" a="1"/>
  <c r="A182" i="36" a="1"/>
  <c r="A217" i="36" a="1"/>
  <c r="A283" i="36" a="1"/>
  <c r="A266" i="36" a="1"/>
  <c r="A73" i="36" a="1"/>
  <c r="A216" i="36" a="1"/>
  <c r="A20" i="29" a="1"/>
  <c r="A244" i="36" a="1"/>
  <c r="A130" i="36" a="1"/>
  <c r="A167" i="36" a="1"/>
  <c r="A201" i="36" a="1"/>
  <c r="A17" i="36" a="1"/>
  <c r="A204" i="36" a="1"/>
  <c r="A294" i="36" a="1"/>
  <c r="A192" i="36" a="1"/>
  <c r="A237" i="36" a="1"/>
  <c r="A64" i="36" a="1"/>
  <c r="A193" i="36" a="1"/>
  <c r="A96" i="36" a="1"/>
  <c r="A263" i="36" a="1"/>
  <c r="A291" i="36" a="1"/>
  <c r="A28" i="36" a="1"/>
  <c r="A137" i="36" a="1"/>
  <c r="A25" i="29" a="1"/>
  <c r="A290" i="36" a="1"/>
  <c r="A161" i="36" a="1"/>
  <c r="A44" i="36" a="1"/>
  <c r="A288" i="36" a="1"/>
  <c r="A147" i="36" a="1"/>
  <c r="A154" i="36" a="1"/>
  <c r="A295" i="36" a="1"/>
  <c r="A210" i="36" a="1"/>
  <c r="A203" i="36" a="1"/>
  <c r="A41" i="36" a="1"/>
  <c r="A196" i="36" a="1"/>
  <c r="A99" i="36" a="1"/>
  <c r="A262" i="36" a="1"/>
  <c r="A214" i="36" a="1"/>
  <c r="A21" i="29" a="1"/>
  <c r="A207" i="36" a="1"/>
  <c r="A202" i="36" a="1"/>
  <c r="A121" i="36" a="1"/>
  <c r="A52" i="36" a="1"/>
  <c r="A220" i="36" a="1"/>
  <c r="A177" i="36" a="1"/>
  <c r="A63" i="36" a="1"/>
  <c r="A87" i="36" a="1"/>
  <c r="A125" i="36" a="1"/>
  <c r="A110" i="36" a="1"/>
  <c r="A45" i="36" a="1"/>
  <c r="A11" i="36" a="1"/>
  <c r="A97" i="36" a="1"/>
  <c r="A67" i="36" a="1"/>
  <c r="A76" i="36" a="1"/>
  <c r="A251" i="36" a="1"/>
  <c r="A253" i="36" a="1"/>
  <c r="A280" i="36" a="1"/>
  <c r="A74" i="36" a="1"/>
  <c r="A19" i="29" a="1"/>
  <c r="A20" i="36" a="1"/>
  <c r="A208" i="36" a="1"/>
  <c r="A249" i="36" a="1"/>
  <c r="A61" i="36" a="1"/>
  <c r="A172" i="36" a="1"/>
  <c r="A273" i="36" a="1"/>
  <c r="A165" i="36" a="1"/>
  <c r="A18" i="36" a="1"/>
  <c r="A254" i="36" a="1"/>
  <c r="A185" i="36" a="1"/>
  <c r="A93" i="36" a="1"/>
  <c r="A51" i="36" a="1"/>
  <c r="A239" i="36" a="1"/>
  <c r="A146" i="36" a="1"/>
  <c r="A179" i="36" a="1"/>
  <c r="A60" i="36" a="1"/>
  <c r="A181" i="36" a="1"/>
  <c r="A261" i="36" a="1"/>
  <c r="A80" i="36" a="1"/>
  <c r="A33" i="36" a="1"/>
  <c r="A175" i="36" a="1"/>
  <c r="A264" i="36" a="1"/>
  <c r="A282" i="36" a="1"/>
  <c r="A230" i="36" a="1"/>
  <c r="A260" i="36" a="1"/>
  <c r="A275" i="36" a="1"/>
  <c r="A229" i="36" a="1"/>
  <c r="A279" i="36" a="1"/>
  <c r="A11" i="29" a="1"/>
  <c r="A256" i="36" a="1"/>
  <c r="A231" i="36" a="1"/>
  <c r="A287" i="36" a="1"/>
  <c r="A205" i="36" a="1"/>
  <c r="A132" i="36" a="1"/>
  <c r="A81" i="36" a="1"/>
  <c r="A129" i="36" a="1"/>
  <c r="A180" i="36" a="1"/>
  <c r="A98" i="36" a="1"/>
  <c r="A258" i="36" a="1"/>
  <c r="A178" i="36" a="1"/>
  <c r="A32" i="36" a="1"/>
  <c r="A26" i="29" a="1"/>
  <c r="A194" i="36" a="1"/>
  <c r="A166" i="36" a="1"/>
  <c r="A49" i="36" a="1"/>
  <c r="A18" i="29" a="1"/>
  <c r="A15" i="36" a="1"/>
  <c r="A56" i="36" a="1"/>
  <c r="A120" i="36" a="1"/>
  <c r="A218" i="36" a="1"/>
  <c r="A149" i="36" a="1"/>
  <c r="A176" i="36" a="1"/>
  <c r="A25" i="36" a="1"/>
  <c r="A223" i="36" a="1"/>
  <c r="A85" i="36" a="1"/>
  <c r="A186" i="36" a="1"/>
  <c r="A200" i="36" a="1"/>
  <c r="A100" i="36" a="1"/>
  <c r="A34" i="36" a="1"/>
  <c r="A265" i="36" a="1"/>
  <c r="A35" i="36" a="1"/>
  <c r="A247" i="36" a="1"/>
  <c r="A58" i="36" a="1"/>
  <c r="A272" i="36" a="1"/>
  <c r="A141" i="36" a="1"/>
  <c r="A126" i="36" a="1"/>
  <c r="A232" i="36" a="1"/>
  <c r="A187" i="36" a="1"/>
  <c r="A14" i="36" a="1"/>
  <c r="A48" i="36" a="1"/>
  <c r="A13" i="36" a="1"/>
  <c r="A259" i="36" a="1"/>
  <c r="A40" i="36" a="1"/>
  <c r="A31" i="36" a="1"/>
  <c r="A225" i="36" a="1"/>
  <c r="A94" i="36" a="1"/>
  <c r="A114" i="36" a="1"/>
  <c r="A168" i="36" a="1"/>
  <c r="A162" i="36" a="1"/>
  <c r="A15" i="29" a="1"/>
  <c r="A286" i="36" a="1"/>
  <c r="A195" i="36" a="1"/>
  <c r="A242" i="36" a="1"/>
  <c r="A284" i="36" a="1"/>
  <c r="A16" i="36" a="1"/>
  <c r="A209" i="36" a="1"/>
  <c r="A13" i="29" a="1"/>
  <c r="A174" i="36" a="1"/>
  <c r="A171" i="36" a="1"/>
  <c r="A103" i="36" a="1"/>
  <c r="A215" i="36" a="1"/>
  <c r="A29" i="36" a="1"/>
  <c r="A164" i="36" a="1"/>
  <c r="A124" i="36" a="1"/>
  <c r="A30" i="36" a="1"/>
  <c r="A53" i="36" a="1"/>
  <c r="A281" i="36" a="1"/>
  <c r="A158" i="36" a="1"/>
  <c r="A69" i="36" a="1"/>
  <c r="A24" i="36" a="1"/>
  <c r="A95" i="36" a="1"/>
  <c r="A142" i="36" a="1"/>
  <c r="A108" i="36" a="1"/>
  <c r="A292" i="36" a="1"/>
  <c r="A250" i="36" a="1"/>
  <c r="A27" i="29" a="1"/>
  <c r="A54" i="36" a="1"/>
  <c r="A28" i="29" a="1"/>
  <c r="A155" i="36" a="1"/>
  <c r="A160" i="36" a="1"/>
  <c r="A270" i="36" a="1"/>
  <c r="A23" i="36" a="1"/>
  <c r="A134" i="36" a="1"/>
  <c r="A14" i="29" a="1"/>
  <c r="A78" i="36" a="1"/>
  <c r="A271" i="36" a="1"/>
  <c r="A71" i="36" a="1"/>
  <c r="A19" i="36" a="1"/>
  <c r="A222" i="36" a="1"/>
  <c r="A274" i="36" a="1"/>
  <c r="A276" i="36" a="1"/>
  <c r="A111" i="36" a="1"/>
  <c r="A278" i="36" a="1"/>
  <c r="A173" i="36" a="1"/>
  <c r="A24" i="29" a="1"/>
  <c r="A206" i="36" a="1"/>
  <c r="A21" i="36" a="1"/>
  <c r="A156" i="36" a="1"/>
  <c r="A105" i="36" a="1"/>
  <c r="A169" i="36" a="1"/>
  <c r="A22" i="29" a="1"/>
  <c r="A221" i="36" a="1"/>
  <c r="A159" i="36" a="1"/>
  <c r="A233" i="36" a="1"/>
  <c r="A131" i="36" a="1"/>
  <c r="A238" i="36" a="1"/>
  <c r="A293" i="36" a="1"/>
  <c r="A269" i="36" a="1"/>
  <c r="A23" i="29" a="1"/>
  <c r="A144" i="36" a="1"/>
  <c r="A117" i="36" a="1"/>
  <c r="A219" i="36" a="1"/>
  <c r="A123" i="36" a="1"/>
  <c r="A77" i="36" a="1"/>
  <c r="A104" i="36" a="1"/>
  <c r="A36" i="36" a="1"/>
  <c r="A285" i="36" a="1"/>
  <c r="A57" i="36" a="1"/>
  <c r="A248" i="36" a="1"/>
  <c r="A115" i="36" a="1"/>
  <c r="A46" i="36" a="1"/>
  <c r="A289" i="36" a="1"/>
  <c r="A92" i="36" a="1"/>
  <c r="A39" i="36" a="1"/>
  <c r="A65" i="36" a="1"/>
  <c r="A118" i="36" a="1"/>
  <c r="A122" i="36" a="1"/>
  <c r="A152" i="36" a="1"/>
  <c r="A133" i="36" a="1"/>
  <c r="A212" i="36" a="1"/>
  <c r="A277" i="36" a="1"/>
  <c r="A143" i="36" a="1"/>
  <c r="A241" i="36" a="1"/>
  <c r="A55" i="36" a="1"/>
  <c r="A37" i="36" a="1"/>
  <c r="A157" i="36" a="1"/>
  <c r="A213" i="36" a="1"/>
  <c r="A107" i="36" a="1"/>
  <c r="A246" i="36" a="1"/>
  <c r="A112" i="36" a="1"/>
  <c r="A199" i="36" a="1"/>
  <c r="A68" i="36" a="1"/>
  <c r="A183" i="36" a="1"/>
  <c r="A227" i="36" a="1"/>
  <c r="A38" i="36" a="1"/>
  <c r="A66" i="36" a="1"/>
  <c r="A153" i="36" a="1"/>
  <c r="A240" i="36" a="1"/>
  <c r="A189" i="36" a="1"/>
  <c r="A151" i="36" a="1"/>
  <c r="A62" i="36" a="1"/>
  <c r="A79" i="36" a="1"/>
  <c r="A26" i="36" a="1"/>
  <c r="A106" i="36" a="1"/>
  <c r="A116" i="36" a="1"/>
  <c r="A252" i="36" a="1"/>
  <c r="A150" i="36" a="1"/>
  <c r="A128" i="36" a="1"/>
  <c r="A145" i="36" a="1"/>
  <c r="A140" i="36" a="1"/>
  <c r="A255" i="36" a="1"/>
  <c r="A89" i="36" a="1"/>
  <c r="A43" i="36" a="1"/>
  <c r="A82" i="36" a="1"/>
  <c r="A28" i="29" l="1"/>
  <c r="A26" i="29"/>
  <c r="A15" i="29"/>
  <c r="A14" i="29"/>
  <c r="A20" i="29"/>
  <c r="A19" i="29"/>
  <c r="A27" i="29"/>
  <c r="A25" i="29"/>
  <c r="A24" i="29"/>
  <c r="A13" i="29"/>
  <c r="A23" i="29"/>
  <c r="A21" i="29"/>
  <c r="A29" i="29"/>
  <c r="A18" i="29"/>
  <c r="A17" i="29"/>
  <c r="A16" i="29"/>
  <c r="A22" i="29"/>
  <c r="A12" i="29"/>
  <c r="A11" i="29"/>
  <c r="A286" i="36"/>
  <c r="A53" i="36"/>
  <c r="A83" i="36"/>
  <c r="A113" i="36"/>
  <c r="A133" i="36"/>
  <c r="A173" i="36"/>
  <c r="A193" i="36"/>
  <c r="A233" i="36"/>
  <c r="A243" i="36"/>
  <c r="A84" i="36"/>
  <c r="A26" i="36"/>
  <c r="A45" i="36"/>
  <c r="A75" i="36"/>
  <c r="A95" i="36"/>
  <c r="A125" i="36"/>
  <c r="A135" i="36"/>
  <c r="A37" i="36"/>
  <c r="A76" i="36"/>
  <c r="A126" i="36"/>
  <c r="A146" i="36"/>
  <c r="A156" i="36"/>
  <c r="A166" i="36"/>
  <c r="A176" i="36"/>
  <c r="A196" i="36"/>
  <c r="A216" i="36"/>
  <c r="A226" i="36"/>
  <c r="A236" i="36"/>
  <c r="A246" i="36"/>
  <c r="A256" i="36"/>
  <c r="A266" i="36"/>
  <c r="A276" i="36"/>
  <c r="A247" i="36"/>
  <c r="A287" i="36"/>
  <c r="A19" i="36"/>
  <c r="A58" i="36"/>
  <c r="A108" i="36"/>
  <c r="A128" i="36"/>
  <c r="A198" i="36"/>
  <c r="A268" i="36"/>
  <c r="A79" i="36"/>
  <c r="A109" i="36"/>
  <c r="A149" i="36"/>
  <c r="A199" i="36"/>
  <c r="A269" i="36"/>
  <c r="A40" i="36"/>
  <c r="A80" i="36"/>
  <c r="A160" i="36"/>
  <c r="A23" i="36"/>
  <c r="A42" i="36"/>
  <c r="A72" i="36"/>
  <c r="A112" i="36"/>
  <c r="A132" i="36"/>
  <c r="A123" i="36"/>
  <c r="A163" i="36"/>
  <c r="A183" i="36"/>
  <c r="A273" i="36"/>
  <c r="A25" i="36"/>
  <c r="A44" i="36"/>
  <c r="A74" i="36"/>
  <c r="A16" i="36"/>
  <c r="A36" i="36"/>
  <c r="A65" i="36"/>
  <c r="A85" i="36"/>
  <c r="A115" i="36"/>
  <c r="A145" i="36"/>
  <c r="A17" i="36"/>
  <c r="A27" i="36"/>
  <c r="A46" i="36"/>
  <c r="A56" i="36"/>
  <c r="A66" i="36"/>
  <c r="A86" i="36"/>
  <c r="A96" i="36"/>
  <c r="A106" i="36"/>
  <c r="A116" i="36"/>
  <c r="A136" i="36"/>
  <c r="A186" i="36"/>
  <c r="A206" i="36"/>
  <c r="A18" i="36"/>
  <c r="A28" i="36"/>
  <c r="A38" i="36"/>
  <c r="A47" i="36"/>
  <c r="A57" i="36"/>
  <c r="A67" i="36"/>
  <c r="A77" i="36"/>
  <c r="A87" i="36"/>
  <c r="A97" i="36"/>
  <c r="A107" i="36"/>
  <c r="A117" i="36"/>
  <c r="A127" i="36"/>
  <c r="A137" i="36"/>
  <c r="A147" i="36"/>
  <c r="A157" i="36"/>
  <c r="A167" i="36"/>
  <c r="A177" i="36"/>
  <c r="A187" i="36"/>
  <c r="A197" i="36"/>
  <c r="A207" i="36"/>
  <c r="A217" i="36"/>
  <c r="A227" i="36"/>
  <c r="A237" i="36"/>
  <c r="A257" i="36"/>
  <c r="A267" i="36"/>
  <c r="A277" i="36"/>
  <c r="A278" i="36"/>
  <c r="A288" i="36"/>
  <c r="A289" i="36"/>
  <c r="A279" i="36"/>
  <c r="A280" i="36"/>
  <c r="A270" i="36"/>
  <c r="A290" i="36"/>
  <c r="A291" i="36"/>
  <c r="A68" i="36"/>
  <c r="A98" i="36"/>
  <c r="A158" i="36"/>
  <c r="A178" i="36"/>
  <c r="A258" i="36"/>
  <c r="A20" i="36"/>
  <c r="A89" i="36"/>
  <c r="A99" i="36"/>
  <c r="A139" i="36"/>
  <c r="A209" i="36"/>
  <c r="A249" i="36"/>
  <c r="A60" i="36"/>
  <c r="A100" i="36"/>
  <c r="A120" i="36"/>
  <c r="A170" i="36"/>
  <c r="A180" i="36"/>
  <c r="A190" i="36"/>
  <c r="A200" i="36"/>
  <c r="A210" i="36"/>
  <c r="A220" i="36"/>
  <c r="A230" i="36"/>
  <c r="A240" i="36"/>
  <c r="A250" i="36"/>
  <c r="A260" i="36"/>
  <c r="A12" i="36"/>
  <c r="A22" i="36"/>
  <c r="A32" i="36"/>
  <c r="A41" i="36"/>
  <c r="A51" i="36"/>
  <c r="A61" i="36"/>
  <c r="A71" i="36"/>
  <c r="A81" i="36"/>
  <c r="A91" i="36"/>
  <c r="A101" i="36"/>
  <c r="A111" i="36"/>
  <c r="A121" i="36"/>
  <c r="A131" i="36"/>
  <c r="A141" i="36"/>
  <c r="A151" i="36"/>
  <c r="A161" i="36"/>
  <c r="A171" i="36"/>
  <c r="A181" i="36"/>
  <c r="A191" i="36"/>
  <c r="A201" i="36"/>
  <c r="A211" i="36"/>
  <c r="A221" i="36"/>
  <c r="A231" i="36"/>
  <c r="A241" i="36"/>
  <c r="A251" i="36"/>
  <c r="A261" i="36"/>
  <c r="A271" i="36"/>
  <c r="A281" i="36"/>
  <c r="A282" i="36"/>
  <c r="A78" i="36"/>
  <c r="A88" i="36"/>
  <c r="A138" i="36"/>
  <c r="A188" i="36"/>
  <c r="A248" i="36"/>
  <c r="A30" i="36"/>
  <c r="A69" i="36"/>
  <c r="A119" i="36"/>
  <c r="A129" i="36"/>
  <c r="A189" i="36"/>
  <c r="A259" i="36"/>
  <c r="A11" i="36"/>
  <c r="A31" i="36"/>
  <c r="A90" i="36"/>
  <c r="A140" i="36"/>
  <c r="A33" i="36"/>
  <c r="A52" i="36"/>
  <c r="A102" i="36"/>
  <c r="A122" i="36"/>
  <c r="A172" i="36"/>
  <c r="A182" i="36"/>
  <c r="A192" i="36"/>
  <c r="A202" i="36"/>
  <c r="A212" i="36"/>
  <c r="A222" i="36"/>
  <c r="A232" i="36"/>
  <c r="A242" i="36"/>
  <c r="A252" i="36"/>
  <c r="A262" i="36"/>
  <c r="A272" i="36"/>
  <c r="A292" i="36"/>
  <c r="A208" i="36"/>
  <c r="A293" i="36"/>
  <c r="A283" i="36"/>
  <c r="A29" i="36"/>
  <c r="A168" i="36"/>
  <c r="A218" i="36"/>
  <c r="A59" i="36"/>
  <c r="A169" i="36"/>
  <c r="A239" i="36"/>
  <c r="A21" i="36"/>
  <c r="A150" i="36"/>
  <c r="A82" i="36"/>
  <c r="A152" i="36"/>
  <c r="A14" i="36"/>
  <c r="A34" i="36"/>
  <c r="A73" i="36"/>
  <c r="A93" i="36"/>
  <c r="A143" i="36"/>
  <c r="A203" i="36"/>
  <c r="A263" i="36"/>
  <c r="A15" i="36"/>
  <c r="A54" i="36"/>
  <c r="A94" i="36"/>
  <c r="A104" i="36"/>
  <c r="A114" i="36"/>
  <c r="A124" i="36"/>
  <c r="A134" i="36"/>
  <c r="A144" i="36"/>
  <c r="A154" i="36"/>
  <c r="A164" i="36"/>
  <c r="A174" i="36"/>
  <c r="A184" i="36"/>
  <c r="A194" i="36"/>
  <c r="A204" i="36"/>
  <c r="A214" i="36"/>
  <c r="A224" i="36"/>
  <c r="A234" i="36"/>
  <c r="A244" i="36"/>
  <c r="A254" i="36"/>
  <c r="A264" i="36"/>
  <c r="A274" i="36"/>
  <c r="A294" i="36"/>
  <c r="A48" i="36"/>
  <c r="A118" i="36"/>
  <c r="A228" i="36"/>
  <c r="A49" i="36"/>
  <c r="A159" i="36"/>
  <c r="A219" i="36"/>
  <c r="A50" i="36"/>
  <c r="A130" i="36"/>
  <c r="A13" i="36"/>
  <c r="A62" i="36"/>
  <c r="A142" i="36"/>
  <c r="A24" i="36"/>
  <c r="A223" i="36"/>
  <c r="A284" i="36"/>
  <c r="A295" i="36"/>
  <c r="A148" i="36"/>
  <c r="A238" i="36"/>
  <c r="A39" i="36"/>
  <c r="A179" i="36"/>
  <c r="A229" i="36"/>
  <c r="A70" i="36"/>
  <c r="A110" i="36"/>
  <c r="A92" i="36"/>
  <c r="A162" i="36"/>
  <c r="A43" i="36"/>
  <c r="A63" i="36"/>
  <c r="A103" i="36"/>
  <c r="A153" i="36"/>
  <c r="A213" i="36"/>
  <c r="A253" i="36"/>
  <c r="A35" i="36"/>
  <c r="A64" i="36"/>
  <c r="A55" i="36"/>
  <c r="A105" i="36"/>
  <c r="A155" i="36"/>
  <c r="A165" i="36"/>
  <c r="A175" i="36"/>
  <c r="A185" i="36"/>
  <c r="A195" i="36"/>
  <c r="A205" i="36"/>
  <c r="A215" i="36"/>
  <c r="A225" i="36"/>
  <c r="A235" i="36"/>
  <c r="A245" i="36"/>
  <c r="A255" i="36"/>
  <c r="A265" i="36"/>
  <c r="A275" i="36"/>
  <c r="A285" i="36"/>
  <c r="A335" i="31" l="1" a="1"/>
  <c r="A148" i="33" a="1"/>
  <c r="A178" i="23" a="1"/>
  <c r="A438" i="26" a="1"/>
  <c r="A412" i="26" a="1"/>
  <c r="A478" i="26" a="1"/>
  <c r="A315" i="26" a="1"/>
  <c r="A177" i="26" a="1"/>
  <c r="A227" i="33" a="1"/>
  <c r="A379" i="33" a="1"/>
  <c r="A135" i="23" a="1"/>
  <c r="A226" i="23" a="1"/>
  <c r="A295" i="23" a="1"/>
  <c r="A47" i="33" a="1"/>
  <c r="A97" i="31" a="1"/>
  <c r="A90" i="31" a="1"/>
  <c r="A41" i="26" a="1"/>
  <c r="A441" i="31" a="1"/>
  <c r="A269" i="23" a="1"/>
  <c r="A160" i="31" a="1"/>
  <c r="A190" i="23" a="1"/>
  <c r="A189" i="31" a="1"/>
  <c r="A108" i="33" a="1"/>
  <c r="A400" i="31" a="1"/>
  <c r="A101" i="23" a="1"/>
  <c r="A114" i="31" a="1"/>
  <c r="A323" i="33" a="1"/>
  <c r="A108" i="26" a="1"/>
  <c r="A134" i="33" a="1"/>
  <c r="A89" i="33" a="1"/>
  <c r="A404" i="31" a="1"/>
  <c r="A33" i="33" a="1"/>
  <c r="A126" i="23" a="1"/>
  <c r="A54" i="31" a="1"/>
  <c r="A177" i="23" a="1"/>
  <c r="A122" i="26" a="1"/>
  <c r="A54" i="33" a="1"/>
  <c r="A78" i="23" a="1"/>
  <c r="A182" i="23" a="1"/>
  <c r="A15" i="26" a="1"/>
  <c r="A383" i="26" a="1"/>
  <c r="A90" i="23" a="1"/>
  <c r="A152" i="33" a="1"/>
  <c r="A416" i="26" a="1"/>
  <c r="A241" i="33" a="1"/>
  <c r="A214" i="33" a="1"/>
  <c r="A301" i="33" a="1"/>
  <c r="A369" i="33" a="1"/>
  <c r="A153" i="23" a="1"/>
  <c r="A282" i="31" a="1"/>
  <c r="A163" i="23" a="1"/>
  <c r="A43" i="23" a="1"/>
  <c r="A276" i="23" a="1"/>
  <c r="A413" i="31" a="1"/>
  <c r="A362" i="31" a="1"/>
  <c r="A82" i="26" a="1"/>
  <c r="A153" i="31" a="1"/>
  <c r="A271" i="31" a="1"/>
  <c r="A460" i="26" a="1"/>
  <c r="A214" i="23" a="1"/>
  <c r="A107" i="23" a="1"/>
  <c r="A337" i="31" a="1"/>
  <c r="A430" i="31" a="1"/>
  <c r="A107" i="26" a="1"/>
  <c r="A349" i="31" a="1"/>
  <c r="A335" i="26" a="1"/>
  <c r="A192" i="33" a="1"/>
  <c r="A261" i="33" a="1"/>
  <c r="A234" i="23" a="1"/>
  <c r="A122" i="23" a="1"/>
  <c r="A129" i="31" a="1"/>
  <c r="A19" i="31" a="1"/>
  <c r="A88" i="23" a="1"/>
  <c r="A24" i="23" a="1"/>
  <c r="A229" i="23" a="1"/>
  <c r="A490" i="26" a="1"/>
  <c r="A212" i="26" a="1"/>
  <c r="A413" i="26" a="1"/>
  <c r="A183" i="31" a="1"/>
  <c r="A239" i="23" a="1"/>
  <c r="A99" i="31" a="1"/>
  <c r="A261" i="31" a="1"/>
  <c r="A403" i="31" a="1"/>
  <c r="A200" i="31" a="1"/>
  <c r="A489" i="31" a="1"/>
  <c r="A361" i="26" a="1"/>
  <c r="A275" i="26" a="1"/>
  <c r="A49" i="33" a="1"/>
  <c r="A375" i="26" a="1"/>
  <c r="A493" i="31" a="1"/>
  <c r="A435" i="31" a="1"/>
  <c r="A412" i="31" a="1"/>
  <c r="A457" i="31" a="1"/>
  <c r="A242" i="31" a="1"/>
  <c r="A365" i="33" a="1"/>
  <c r="A193" i="31" a="1"/>
  <c r="A167" i="31" a="1"/>
  <c r="A121" i="23" a="1"/>
  <c r="A168" i="26" a="1"/>
  <c r="A428" i="26" a="1"/>
  <c r="A221" i="33" a="1"/>
  <c r="A75" i="23" a="1"/>
  <c r="A162" i="26" a="1"/>
  <c r="A70" i="26" a="1"/>
  <c r="A304" i="31" a="1"/>
  <c r="A184" i="23" a="1"/>
  <c r="A291" i="26" a="1"/>
  <c r="A219" i="31" a="1"/>
  <c r="A189" i="33" a="1"/>
  <c r="A210" i="33" a="1"/>
  <c r="A486" i="26" a="1"/>
  <c r="A17" i="23" a="1"/>
  <c r="A291" i="33" a="1"/>
  <c r="A22" i="26" a="1"/>
  <c r="A236" i="23" a="1"/>
  <c r="A232" i="31" a="1"/>
  <c r="A225" i="31" a="1"/>
  <c r="A195" i="23" a="1"/>
  <c r="A342" i="33" a="1"/>
  <c r="A115" i="23" a="1"/>
  <c r="A249" i="23" a="1"/>
  <c r="A93" i="23" a="1"/>
  <c r="A356" i="31" a="1"/>
  <c r="A253" i="33" a="1"/>
  <c r="A76" i="26" a="1"/>
  <c r="A66" i="26" a="1"/>
  <c r="A124" i="33" a="1"/>
  <c r="A124" i="23" a="1"/>
  <c r="A93" i="26" a="1"/>
  <c r="A110" i="33" a="1"/>
  <c r="A45" i="23" a="1"/>
  <c r="A95" i="23" a="1"/>
  <c r="A256" i="26" a="1"/>
  <c r="A229" i="33" a="1"/>
  <c r="A253" i="23" a="1"/>
  <c r="A161" i="31" a="1"/>
  <c r="A23" i="33" a="1"/>
  <c r="A16" i="33" a="1"/>
  <c r="A279" i="33" a="1"/>
  <c r="A202" i="26" a="1"/>
  <c r="A296" i="26" a="1"/>
  <c r="A32" i="33" a="1"/>
  <c r="A125" i="33" a="1"/>
  <c r="A483" i="26" a="1"/>
  <c r="A128" i="33" a="1"/>
  <c r="A369" i="31" a="1"/>
  <c r="A131" i="33" a="1"/>
  <c r="A251" i="33" a="1"/>
  <c r="A236" i="31" a="1"/>
  <c r="A393" i="26" a="1"/>
  <c r="A300" i="26" a="1"/>
  <c r="A269" i="31" a="1"/>
  <c r="A134" i="23" a="1"/>
  <c r="A86" i="23" a="1"/>
  <c r="A141" i="33" a="1"/>
  <c r="A331" i="26" a="1"/>
  <c r="A266" i="33" a="1"/>
  <c r="A128" i="23" a="1"/>
  <c r="A170" i="33" a="1"/>
  <c r="A194" i="31" a="1"/>
  <c r="A39" i="26" a="1"/>
  <c r="A123" i="23" a="1"/>
  <c r="A192" i="31" a="1"/>
  <c r="A76" i="31" a="1"/>
  <c r="A316" i="31" a="1"/>
  <c r="A20" i="23" a="1"/>
  <c r="A207" i="23" a="1"/>
  <c r="A388" i="31" a="1"/>
  <c r="A464" i="31" a="1"/>
  <c r="A222" i="26" a="1"/>
  <c r="A222" i="23" a="1"/>
  <c r="A55" i="31" a="1"/>
  <c r="A56" i="33" a="1"/>
  <c r="A109" i="31" a="1"/>
  <c r="A504" i="26" a="1"/>
  <c r="A278" i="33" a="1"/>
  <c r="A137" i="23" a="1"/>
  <c r="A312" i="26" a="1"/>
  <c r="A457" i="26" a="1"/>
  <c r="A73" i="33" a="1"/>
  <c r="A427" i="26" a="1"/>
  <c r="A415" i="31" a="1"/>
  <c r="A68" i="31" a="1"/>
  <c r="A344" i="31" a="1"/>
  <c r="A384" i="31" a="1"/>
  <c r="A471" i="26" a="1"/>
  <c r="A370" i="31" a="1"/>
  <c r="A475" i="26" a="1"/>
  <c r="A58" i="26" a="1"/>
  <c r="A266" i="26" a="1"/>
  <c r="A56" i="26" a="1"/>
  <c r="A434" i="26" a="1"/>
  <c r="A223" i="33" a="1"/>
  <c r="A172" i="23" a="1"/>
  <c r="A292" i="31" a="1"/>
  <c r="A160" i="33" a="1"/>
  <c r="A452" i="26" a="1"/>
  <c r="A74" i="31" a="1"/>
  <c r="A172" i="33" a="1"/>
  <c r="A268" i="26" a="1"/>
  <c r="A198" i="33" a="1"/>
  <c r="A309" i="33" a="1"/>
  <c r="A491" i="31" a="1"/>
  <c r="A267" i="31" a="1"/>
  <c r="A220" i="23" a="1"/>
  <c r="A313" i="33" a="1"/>
  <c r="A25" i="26" a="1"/>
  <c r="A11" i="31" a="1"/>
  <c r="A310" i="26" a="1"/>
  <c r="A502" i="26" a="1"/>
  <c r="A406" i="31" a="1"/>
  <c r="A398" i="26" a="1"/>
  <c r="A132" i="33" a="1"/>
  <c r="A176" i="26" a="1"/>
  <c r="A145" i="31" a="1"/>
  <c r="A165" i="31" a="1"/>
  <c r="A173" i="23" a="1"/>
  <c r="A433" i="31" a="1"/>
  <c r="A76" i="23" a="1"/>
  <c r="A262" i="31" a="1"/>
  <c r="A230" i="31" a="1"/>
  <c r="A15" i="23" a="1"/>
  <c r="A251" i="26" a="1"/>
  <c r="A240" i="33" a="1"/>
  <c r="A271" i="26" a="1"/>
  <c r="A20" i="31" a="1"/>
  <c r="A354" i="31" a="1"/>
  <c r="A385" i="31" a="1"/>
  <c r="A296" i="23" a="1"/>
  <c r="A241" i="31" a="1"/>
  <c r="A449" i="26" a="1"/>
  <c r="A95" i="33" a="1"/>
  <c r="A98" i="33" a="1"/>
  <c r="A380" i="26" a="1"/>
  <c r="A52" i="23" a="1"/>
  <c r="A179" i="33" a="1"/>
  <c r="A240" i="31" a="1"/>
  <c r="A196" i="33" a="1"/>
  <c r="A325" i="26" a="1"/>
  <c r="A79" i="33" a="1"/>
  <c r="A168" i="31" a="1"/>
  <c r="A199" i="23" a="1"/>
  <c r="A231" i="33" a="1"/>
  <c r="A378" i="33" a="1"/>
  <c r="A484" i="26" a="1"/>
  <c r="A225" i="26" a="1"/>
  <c r="A338" i="33" a="1"/>
  <c r="A104" i="26" a="1"/>
  <c r="A337" i="26" a="1"/>
  <c r="A65" i="26" a="1"/>
  <c r="A46" i="31" a="1"/>
  <c r="A314" i="33" a="1"/>
  <c r="A217" i="26" a="1"/>
  <c r="A420" i="31" a="1"/>
  <c r="A114" i="26" a="1"/>
  <c r="A85" i="31" a="1"/>
  <c r="A419" i="31" a="1"/>
  <c r="A38" i="26" a="1"/>
  <c r="A150" i="23" a="1"/>
  <c r="A383" i="33" a="1"/>
  <c r="A244" i="31" a="1"/>
  <c r="A417" i="31" a="1"/>
  <c r="A59" i="31" a="1"/>
  <c r="A286" i="31" a="1"/>
  <c r="A261" i="23" a="1"/>
  <c r="A394" i="26" a="1"/>
  <c r="A279" i="23" a="1"/>
  <c r="A330" i="31" a="1"/>
  <c r="A493" i="26" a="1"/>
  <c r="A462" i="31" a="1"/>
  <c r="A226" i="33" a="1"/>
  <c r="A472" i="31" a="1"/>
  <c r="A385" i="26" a="1"/>
  <c r="A348" i="31" a="1"/>
  <c r="A265" i="31" a="1"/>
  <c r="A61" i="31" a="1"/>
  <c r="A26" i="26" a="1"/>
  <c r="A257" i="31" a="1"/>
  <c r="A426" i="26" a="1"/>
  <c r="A418" i="31" a="1"/>
  <c r="A348" i="33" a="1"/>
  <c r="A144" i="23" a="1"/>
  <c r="A18" i="33" a="1"/>
  <c r="A87" i="23" a="1"/>
  <c r="A112" i="26" a="1"/>
  <c r="A58" i="31" a="1"/>
  <c r="A153" i="33" a="1"/>
  <c r="A186" i="33" a="1"/>
  <c r="A272" i="31" a="1"/>
  <c r="A116" i="23" a="1"/>
  <c r="A58" i="33" a="1"/>
  <c r="A257" i="23" a="1"/>
  <c r="A332" i="31" a="1"/>
  <c r="A152" i="31" a="1"/>
  <c r="A266" i="23" a="1"/>
  <c r="A16" i="26" a="1"/>
  <c r="A37" i="23" a="1"/>
  <c r="A358" i="26" a="1"/>
  <c r="A136" i="26" a="1"/>
  <c r="A300" i="33" a="1"/>
  <c r="A83" i="23" a="1"/>
  <c r="A456" i="31" a="1"/>
  <c r="A38" i="23" a="1"/>
  <c r="A251" i="31" a="1"/>
  <c r="A262" i="23" a="1"/>
  <c r="A478" i="31" a="1"/>
  <c r="A365" i="31" a="1"/>
  <c r="A414" i="31" a="1"/>
  <c r="A324" i="26" a="1"/>
  <c r="A148" i="23" a="1"/>
  <c r="A255" i="26" a="1"/>
  <c r="A303" i="33" a="1"/>
  <c r="A52" i="31" a="1"/>
  <c r="A94" i="31" a="1"/>
  <c r="A161" i="23" a="1"/>
  <c r="A112" i="31" a="1"/>
  <c r="A55" i="23" a="1"/>
  <c r="A377" i="31" a="1"/>
  <c r="A258" i="26" a="1"/>
  <c r="A218" i="33" a="1"/>
  <c r="A171" i="26" a="1"/>
  <c r="A140" i="23" a="1"/>
  <c r="A110" i="26" a="1"/>
  <c r="A96" i="31" a="1"/>
  <c r="A371" i="31" a="1"/>
  <c r="A461" i="26" a="1"/>
  <c r="A155" i="23" a="1"/>
  <c r="A243" i="26" a="1"/>
  <c r="A235" i="23" a="1"/>
  <c r="A350" i="26" a="1"/>
  <c r="A482" i="31" a="1"/>
  <c r="A314" i="26" a="1"/>
  <c r="A273" i="23" a="1"/>
  <c r="A24" i="26" a="1"/>
  <c r="A285" i="33" a="1"/>
  <c r="A67" i="26" a="1"/>
  <c r="A62" i="26" a="1"/>
  <c r="A284" i="33" a="1"/>
  <c r="A206" i="23" a="1"/>
  <c r="A302" i="33" a="1"/>
  <c r="A328" i="31" a="1"/>
  <c r="A19" i="33" a="1"/>
  <c r="A469" i="31" a="1"/>
  <c r="A155" i="33" a="1"/>
  <c r="A330" i="33" a="1"/>
  <c r="A43" i="31" a="1"/>
  <c r="A248" i="26" a="1"/>
  <c r="A102" i="26" a="1"/>
  <c r="A269" i="33" a="1"/>
  <c r="A147" i="26" a="1"/>
  <c r="A350" i="31" a="1"/>
  <c r="A262" i="26" a="1"/>
  <c r="A313" i="26" a="1"/>
  <c r="A103" i="31" a="1"/>
  <c r="A127" i="23" a="1"/>
  <c r="A246" i="26" a="1"/>
  <c r="A329" i="33" a="1"/>
  <c r="A389" i="26" a="1"/>
  <c r="A277" i="31" a="1"/>
  <c r="A64" i="26" a="1"/>
  <c r="A102" i="33" a="1"/>
  <c r="A361" i="31" a="1"/>
  <c r="A40" i="33" a="1"/>
  <c r="A180" i="26" a="1"/>
  <c r="A174" i="23" a="1"/>
  <c r="A235" i="31" a="1"/>
  <c r="A168" i="23" a="1"/>
  <c r="A144" i="33" a="1"/>
  <c r="A455" i="26" a="1"/>
  <c r="A324" i="33" a="1"/>
  <c r="A220" i="26" a="1"/>
  <c r="A151" i="33" a="1"/>
  <c r="A174" i="26" a="1"/>
  <c r="A218" i="31" a="1"/>
  <c r="A53" i="31" a="1"/>
  <c r="A416" i="31" a="1"/>
  <c r="A119" i="31" a="1"/>
  <c r="A346" i="31" a="1"/>
  <c r="A395" i="26" a="1"/>
  <c r="A24" i="33" a="1"/>
  <c r="A332" i="26" a="1"/>
  <c r="A165" i="26" a="1"/>
  <c r="A258" i="23" a="1"/>
  <c r="A143" i="23" a="1"/>
  <c r="A370" i="33" a="1"/>
  <c r="A207" i="31" a="1"/>
  <c r="A44" i="26" a="1"/>
  <c r="A302" i="26" a="1"/>
  <c r="A169" i="26" a="1"/>
  <c r="A290" i="31" a="1"/>
  <c r="A99" i="26" a="1"/>
  <c r="A26" i="33" a="1"/>
  <c r="A160" i="26" a="1"/>
  <c r="A149" i="26" a="1"/>
  <c r="A130" i="33" a="1"/>
  <c r="A205" i="33" a="1"/>
  <c r="A209" i="31" a="1"/>
  <c r="A191" i="23" a="1"/>
  <c r="A359" i="31" a="1"/>
  <c r="A213" i="26" a="1"/>
  <c r="A198" i="31" a="1"/>
  <c r="A209" i="23" a="1"/>
  <c r="A492" i="26" a="1"/>
  <c r="A300" i="31" a="1"/>
  <c r="A167" i="23" a="1"/>
  <c r="A499" i="26" a="1"/>
  <c r="A166" i="33" a="1"/>
  <c r="A120" i="33" a="1"/>
  <c r="A34" i="26" a="1"/>
  <c r="A313" i="31" a="1"/>
  <c r="A351" i="26" a="1"/>
  <c r="A242" i="26" a="1"/>
  <c r="A83" i="33" a="1"/>
  <c r="A77" i="31" a="1"/>
  <c r="A284" i="23" a="1"/>
  <c r="A158" i="31" a="1"/>
  <c r="A82" i="33" a="1"/>
  <c r="A228" i="23" a="1"/>
  <c r="A77" i="33" a="1"/>
  <c r="A133" i="23" a="1"/>
  <c r="A318" i="33" a="1"/>
  <c r="A69" i="23" a="1"/>
  <c r="A106" i="33" a="1"/>
  <c r="A28" i="33" a="1"/>
  <c r="A247" i="26" a="1"/>
  <c r="A48" i="26" a="1"/>
  <c r="A70" i="33" a="1"/>
  <c r="A390" i="31" a="1"/>
  <c r="A425" i="31" a="1"/>
  <c r="A397" i="31" a="1"/>
  <c r="A279" i="31" a="1"/>
  <c r="A35" i="26" a="1"/>
  <c r="A125" i="23" a="1"/>
  <c r="A234" i="31" a="1"/>
  <c r="A82" i="23" a="1"/>
  <c r="A343" i="26" a="1"/>
  <c r="A292" i="26" a="1"/>
  <c r="A154" i="23" a="1"/>
  <c r="A205" i="31" a="1"/>
  <c r="A86" i="26" a="1"/>
  <c r="A213" i="33" a="1"/>
  <c r="A32" i="26" a="1"/>
  <c r="A443" i="31" a="1"/>
  <c r="A442" i="26" a="1"/>
  <c r="A203" i="26" a="1"/>
  <c r="A96" i="23" a="1"/>
  <c r="A66" i="31" a="1"/>
  <c r="A159" i="23" a="1"/>
  <c r="A374" i="33" a="1"/>
  <c r="A352" i="31" a="1"/>
  <c r="A31" i="26" a="1"/>
  <c r="A246" i="31" a="1"/>
  <c r="A288" i="31" a="1"/>
  <c r="A236" i="33" a="1"/>
  <c r="A147" i="23" a="1"/>
  <c r="A275" i="33" a="1"/>
  <c r="A41" i="33" a="1"/>
  <c r="A18" i="26" a="1"/>
  <c r="A488" i="31" a="1"/>
  <c r="A27" i="33" a="1"/>
  <c r="A490" i="31" a="1"/>
  <c r="A364" i="31" a="1"/>
  <c r="A217" i="33" a="1"/>
  <c r="A118" i="31" a="1"/>
  <c r="A410" i="31" a="1"/>
  <c r="A184" i="26" a="1"/>
  <c r="A139" i="31" a="1"/>
  <c r="A241" i="26" a="1"/>
  <c r="A31" i="33" a="1"/>
  <c r="A453" i="31" a="1"/>
  <c r="A20" i="33" a="1"/>
  <c r="A154" i="31" a="1"/>
  <c r="A108" i="23" a="1"/>
  <c r="A51" i="26" a="1"/>
  <c r="A237" i="33" a="1"/>
  <c r="A104" i="31" a="1"/>
  <c r="A473" i="31" a="1"/>
  <c r="A220" i="31" a="1"/>
  <c r="A175" i="33" a="1"/>
  <c r="A237" i="23" a="1"/>
  <c r="A377" i="26" a="1"/>
  <c r="A18" i="23" a="1"/>
  <c r="A336" i="26" a="1"/>
  <c r="A169" i="23" a="1"/>
  <c r="A363" i="33" a="1"/>
  <c r="A344" i="33" a="1"/>
  <c r="A318" i="31" a="1"/>
  <c r="A92" i="26" a="1"/>
  <c r="A117" i="31" a="1"/>
  <c r="A252" i="23" a="1"/>
  <c r="A162" i="33" a="1"/>
  <c r="A374" i="26" a="1"/>
  <c r="A294" i="31" a="1"/>
  <c r="A339" i="31" a="1"/>
  <c r="A49" i="26" a="1"/>
  <c r="A447" i="26" a="1"/>
  <c r="A68" i="26" a="1"/>
  <c r="A360" i="26" a="1"/>
  <c r="A45" i="26" a="1"/>
  <c r="A81" i="33" a="1"/>
  <c r="A190" i="26" a="1"/>
  <c r="A408" i="26" a="1"/>
  <c r="A485" i="31" a="1"/>
  <c r="A105" i="26" a="1"/>
  <c r="A225" i="33" a="1"/>
  <c r="A468" i="26" a="1"/>
  <c r="A29" i="33" a="1"/>
  <c r="A367" i="33" a="1"/>
  <c r="A118" i="26" a="1"/>
  <c r="A13" i="33" a="1"/>
  <c r="A256" i="33" a="1"/>
  <c r="A280" i="26" a="1"/>
  <c r="A28" i="26" a="1"/>
  <c r="A293" i="33" a="1"/>
  <c r="A163" i="31" a="1"/>
  <c r="A366" i="26" a="1"/>
  <c r="A201" i="23" a="1"/>
  <c r="A151" i="26" a="1"/>
  <c r="A206" i="33" a="1"/>
  <c r="A197" i="33" a="1"/>
  <c r="A113" i="33" a="1"/>
  <c r="A176" i="31" a="1"/>
  <c r="A307" i="26" a="1"/>
  <c r="A216" i="26" a="1"/>
  <c r="A155" i="26" a="1"/>
  <c r="A48" i="23" a="1"/>
  <c r="A191" i="33" a="1"/>
  <c r="A51" i="23" a="1"/>
  <c r="A224" i="26" a="1"/>
  <c r="A42" i="33" a="1"/>
  <c r="A417" i="26" a="1"/>
  <c r="A265" i="33" a="1"/>
  <c r="A327" i="26" a="1"/>
  <c r="A14" i="31" a="1"/>
  <c r="A111" i="31" a="1"/>
  <c r="A251" i="23" a="1"/>
  <c r="A178" i="33" a="1"/>
  <c r="A142" i="23" a="1"/>
  <c r="A308" i="33" a="1"/>
  <c r="A452" i="31" a="1"/>
  <c r="A21" i="33" a="1"/>
  <c r="A393" i="31" a="1"/>
  <c r="A126" i="33" a="1"/>
  <c r="A267" i="33" a="1"/>
  <c r="A99" i="23" a="1"/>
  <c r="A60" i="33" a="1"/>
  <c r="A111" i="26" a="1"/>
  <c r="A287" i="33" a="1"/>
  <c r="A272" i="26" a="1"/>
  <c r="A366" i="31" a="1"/>
  <c r="A67" i="31" a="1"/>
  <c r="A128" i="31" a="1"/>
  <c r="A305" i="26" a="1"/>
  <c r="A54" i="23" a="1"/>
  <c r="A400" i="26" a="1"/>
  <c r="A106" i="31" a="1"/>
  <c r="A21" i="23" a="1"/>
  <c r="A123" i="26" a="1"/>
  <c r="A288" i="23" a="1"/>
  <c r="A67" i="23" a="1"/>
  <c r="A405" i="31" a="1"/>
  <c r="A158" i="26" a="1"/>
  <c r="A473" i="26" a="1"/>
  <c r="A135" i="31" a="1"/>
  <c r="A264" i="31" a="1"/>
  <c r="A267" i="23" a="1"/>
  <c r="A247" i="23" a="1"/>
  <c r="A378" i="26" a="1"/>
  <c r="A483" i="31" a="1"/>
  <c r="A224" i="33" a="1"/>
  <c r="A200" i="23" a="1"/>
  <c r="A222" i="31" a="1"/>
  <c r="A212" i="33" a="1"/>
  <c r="A49" i="31" a="1"/>
  <c r="A125" i="26" a="1"/>
  <c r="A479" i="31" a="1"/>
  <c r="A75" i="33" a="1"/>
  <c r="A345" i="33" a="1"/>
  <c r="A238" i="33" a="1"/>
  <c r="A249" i="33" a="1"/>
  <c r="A125" i="31" a="1"/>
  <c r="A24" i="31" a="1"/>
  <c r="A431" i="26" a="1"/>
  <c r="A154" i="26" a="1"/>
  <c r="A440" i="26" a="1"/>
  <c r="A97" i="33" a="1"/>
  <c r="A399" i="26" a="1"/>
  <c r="A69" i="31" a="1"/>
  <c r="A497" i="26" a="1"/>
  <c r="A47" i="23" a="1"/>
  <c r="A243" i="23" a="1"/>
  <c r="A360" i="33" a="1"/>
  <c r="A122" i="33" a="1"/>
  <c r="A85" i="23" a="1"/>
  <c r="A254" i="23" a="1"/>
  <c r="A43" i="26" a="1"/>
  <c r="A71" i="23" a="1"/>
  <c r="A459" i="31" a="1"/>
  <c r="A135" i="33" a="1"/>
  <c r="A362" i="33" a="1"/>
  <c r="A73" i="31" a="1"/>
  <c r="A396" i="26" a="1"/>
  <c r="A105" i="33" a="1"/>
  <c r="A409" i="26" a="1"/>
  <c r="A264" i="26" a="1"/>
  <c r="A169" i="33" a="1"/>
  <c r="A402" i="26" a="1"/>
  <c r="A380" i="31" a="1"/>
  <c r="A248" i="33" a="1"/>
  <c r="A227" i="31" a="1"/>
  <c r="A211" i="23" a="1"/>
  <c r="A182" i="26" a="1"/>
  <c r="A197" i="26" a="1"/>
  <c r="A210" i="26" a="1"/>
  <c r="A351" i="31" a="1"/>
  <c r="A96" i="33" a="1"/>
  <c r="A230" i="33" a="1"/>
  <c r="A35" i="23" a="1"/>
  <c r="A92" i="31" a="1"/>
  <c r="A70" i="23" a="1"/>
  <c r="A287" i="26" a="1"/>
  <c r="A142" i="33" a="1"/>
  <c r="A373" i="26" a="1"/>
  <c r="A134" i="26" a="1"/>
  <c r="A188" i="33" a="1"/>
  <c r="A311" i="26" a="1"/>
  <c r="A238" i="26" a="1"/>
  <c r="A339" i="26" a="1"/>
  <c r="A183" i="33" a="1"/>
  <c r="A95" i="26" a="1"/>
  <c r="A81" i="31" a="1"/>
  <c r="A235" i="33" a="1"/>
  <c r="A363" i="26" a="1"/>
  <c r="A47" i="31" a="1"/>
  <c r="A437" i="26" a="1"/>
  <c r="A18" i="31" a="1"/>
  <c r="A365" i="26" a="1"/>
  <c r="A328" i="26" a="1"/>
  <c r="A204" i="26" a="1"/>
  <c r="A180" i="33" a="1"/>
  <c r="A198" i="26" a="1"/>
  <c r="A259" i="26" a="1"/>
  <c r="A36" i="31" a="1"/>
  <c r="A274" i="31" a="1"/>
  <c r="A61" i="26" a="1"/>
  <c r="A415" i="26" a="1"/>
  <c r="A104" i="33" a="1"/>
  <c r="A175" i="26" a="1"/>
  <c r="A151" i="31" a="1"/>
  <c r="A140" i="31" a="1"/>
  <c r="A315" i="31" a="1"/>
  <c r="A130" i="23" a="1"/>
  <c r="A263" i="26" a="1"/>
  <c r="A118" i="23" a="1"/>
  <c r="A87" i="33" a="1"/>
  <c r="A16" i="31" a="1"/>
  <c r="A367" i="26" a="1"/>
  <c r="A199" i="26" a="1"/>
  <c r="A250" i="26" a="1"/>
  <c r="A67" i="33" a="1"/>
  <c r="A442" i="31" a="1"/>
  <c r="A404" i="26" a="1"/>
  <c r="A193" i="23" a="1"/>
  <c r="A25" i="23" a="1"/>
  <c r="A144" i="26" a="1"/>
  <c r="A126" i="31" a="1"/>
  <c r="A403" i="26" a="1"/>
  <c r="A99" i="33" a="1"/>
  <c r="A157" i="31" a="1"/>
  <c r="A338" i="31" a="1"/>
  <c r="A120" i="26" a="1"/>
  <c r="A495" i="31" a="1"/>
  <c r="A202" i="23" a="1"/>
  <c r="A280" i="33" a="1"/>
  <c r="A370" i="26" a="1"/>
  <c r="A133" i="33" a="1"/>
  <c r="A203" i="31" a="1"/>
  <c r="A79" i="31" a="1"/>
  <c r="A105" i="23" a="1"/>
  <c r="A391" i="31" a="1"/>
  <c r="A129" i="33" a="1"/>
  <c r="A334" i="26" a="1"/>
  <c r="A297" i="31" a="1"/>
  <c r="A150" i="33" a="1"/>
  <c r="A91" i="26" a="1"/>
  <c r="A131" i="26" a="1"/>
  <c r="A162" i="23" a="1"/>
  <c r="A57" i="23" a="1"/>
  <c r="A289" i="26" a="1"/>
  <c r="A45" i="31" a="1"/>
  <c r="A288" i="33" a="1"/>
  <c r="A199" i="33" a="1"/>
  <c r="A500" i="26" a="1"/>
  <c r="A321" i="31" a="1"/>
  <c r="A179" i="31" a="1"/>
  <c r="A341" i="31" a="1"/>
  <c r="A203" i="23" a="1"/>
  <c r="A489" i="26" a="1"/>
  <c r="A231" i="26" a="1"/>
  <c r="A227" i="26" a="1"/>
  <c r="A273" i="31" a="1"/>
  <c r="A175" i="31" a="1"/>
  <c r="A244" i="26" a="1"/>
  <c r="A366" i="33" a="1"/>
  <c r="A294" i="26" a="1"/>
  <c r="A470" i="26" a="1"/>
  <c r="A280" i="23" a="1"/>
  <c r="A262" i="33" a="1"/>
  <c r="A192" i="23" a="1"/>
  <c r="A285" i="26" a="1"/>
  <c r="A471" i="31" a="1"/>
  <c r="A190" i="33" a="1"/>
  <c r="A311" i="33" a="1"/>
  <c r="A108" i="31" a="1"/>
  <c r="A81" i="26" a="1"/>
  <c r="A50" i="26" a="1"/>
  <c r="A459" i="26" a="1"/>
  <c r="A355" i="33" a="1"/>
  <c r="A100" i="31" a="1"/>
  <c r="A407" i="31" a="1"/>
  <c r="A237" i="26" a="1"/>
  <c r="A91" i="31" a="1"/>
  <c r="A371" i="26" a="1"/>
  <c r="A139" i="33" a="1"/>
  <c r="A282" i="33" a="1"/>
  <c r="A214" i="31" a="1"/>
  <c r="A183" i="23" a="1"/>
  <c r="A136" i="31" a="1"/>
  <c r="A252" i="31" a="1"/>
  <c r="A132" i="31" a="1"/>
  <c r="A210" i="31" a="1"/>
  <c r="A411" i="26" a="1"/>
  <c r="A433" i="26" a="1"/>
  <c r="A29" i="26" a="1"/>
  <c r="A147" i="31" a="1"/>
  <c r="A35" i="31" a="1"/>
  <c r="A216" i="23" a="1"/>
  <c r="A467" i="26" a="1"/>
  <c r="A383" i="31" a="1"/>
  <c r="A278" i="23" a="1"/>
  <c r="A121" i="26" a="1"/>
  <c r="A369" i="26" a="1"/>
  <c r="A225" i="23" a="1"/>
  <c r="A42" i="26" a="1"/>
  <c r="A181" i="31" a="1"/>
  <c r="A200" i="26" a="1"/>
  <c r="A169" i="31" a="1"/>
  <c r="A390" i="26" a="1"/>
  <c r="A111" i="23" a="1"/>
  <c r="A263" i="23" a="1"/>
  <c r="A424" i="31" a="1"/>
  <c r="A23" i="23" a="1"/>
  <c r="A394" i="31" a="1"/>
  <c r="A277" i="26" a="1"/>
  <c r="A252" i="33" a="1"/>
  <c r="A496" i="31" a="1"/>
  <c r="A501" i="26" a="1"/>
  <c r="A34" i="31" a="1"/>
  <c r="A491" i="26" a="1"/>
  <c r="A46" i="33" a="1"/>
  <c r="A181" i="23" a="1"/>
  <c r="A327" i="33" a="1"/>
  <c r="A407" i="26" a="1"/>
  <c r="A265" i="26" a="1"/>
  <c r="A94" i="23" a="1"/>
  <c r="A161" i="33" a="1"/>
  <c r="A211" i="33" a="1"/>
  <c r="A116" i="26" a="1"/>
  <c r="A46" i="23" a="1"/>
  <c r="A232" i="26" a="1"/>
  <c r="A93" i="33" a="1"/>
  <c r="A272" i="33" a="1"/>
  <c r="A254" i="31" a="1"/>
  <c r="A122" i="31" a="1"/>
  <c r="A389" i="31" a="1"/>
  <c r="A268" i="23" a="1"/>
  <c r="A488" i="26" a="1"/>
  <c r="A270" i="26" a="1"/>
  <c r="A60" i="23" a="1"/>
  <c r="A350" i="33" a="1"/>
  <c r="A138" i="31" a="1"/>
  <c r="A51" i="31" a="1"/>
  <c r="A54" i="26" a="1"/>
  <c r="A51" i="33" a="1"/>
  <c r="A224" i="31" a="1"/>
  <c r="A114" i="33" a="1"/>
  <c r="A121" i="33" a="1"/>
  <c r="A422" i="31" a="1"/>
  <c r="A352" i="26" a="1"/>
  <c r="A503" i="26" a="1"/>
  <c r="A448" i="26" a="1"/>
  <c r="A47" i="26" a="1"/>
  <c r="A333" i="26" a="1"/>
  <c r="A222" i="33" a="1"/>
  <c r="A26" i="23" a="1"/>
  <c r="A65" i="31" a="1"/>
  <c r="A110" i="31" a="1"/>
  <c r="A281" i="33" a="1"/>
  <c r="A302" i="31" a="1"/>
  <c r="A340" i="26" a="1"/>
  <c r="A320" i="26" a="1"/>
  <c r="A91" i="23" a="1"/>
  <c r="A359" i="33" a="1"/>
  <c r="A28" i="23" a="1"/>
  <c r="A205" i="26" a="1"/>
  <c r="A36" i="33" a="1"/>
  <c r="A216" i="33" a="1"/>
  <c r="A15" i="33" a="1"/>
  <c r="A12" i="33" a="1"/>
  <c r="A233" i="31" a="1"/>
  <c r="A167" i="33" a="1"/>
  <c r="A21" i="26" a="1"/>
  <c r="A180" i="23" a="1"/>
  <c r="A470" i="31" a="1"/>
  <c r="A260" i="26" a="1"/>
  <c r="A199" i="31" a="1"/>
  <c r="A146" i="33" a="1"/>
  <c r="A146" i="26" a="1"/>
  <c r="A198" i="23" a="1"/>
  <c r="A450" i="26" a="1"/>
  <c r="A307" i="33" a="1"/>
  <c r="A63" i="26" a="1"/>
  <c r="A299" i="31" a="1"/>
  <c r="A481" i="31" a="1"/>
  <c r="A218" i="26" a="1"/>
  <c r="A479" i="26" a="1"/>
  <c r="A90" i="33" a="1"/>
  <c r="A45" i="33" a="1"/>
  <c r="A280" i="31" a="1"/>
  <c r="A65" i="23" a="1"/>
  <c r="A304" i="33" a="1"/>
  <c r="A382" i="26" a="1"/>
  <c r="A260" i="31" a="1"/>
  <c r="A16" i="23" a="1"/>
  <c r="A75" i="31" a="1"/>
  <c r="A306" i="31" a="1"/>
  <c r="A464" i="26" a="1"/>
  <c r="A252" i="26" a="1"/>
  <c r="A14" i="23" a="1"/>
  <c r="A166" i="31" a="1"/>
  <c r="A171" i="33" a="1"/>
  <c r="A186" i="31" a="1"/>
  <c r="A159" i="26" a="1"/>
  <c r="A113" i="26" a="1"/>
  <c r="A176" i="23" a="1"/>
  <c r="A145" i="26" a="1"/>
  <c r="A304" i="26" a="1"/>
  <c r="A307" i="31" a="1"/>
  <c r="A127" i="26" a="1"/>
  <c r="A281" i="26" a="1"/>
  <c r="A472" i="26" a="1"/>
  <c r="A97" i="26" a="1"/>
  <c r="A22" i="31" a="1"/>
  <c r="A134" i="31" a="1"/>
  <c r="A59" i="26" a="1"/>
  <c r="A246" i="23" a="1"/>
  <c r="A92" i="23" a="1"/>
  <c r="A333" i="33" a="1"/>
  <c r="A329" i="26" a="1"/>
  <c r="A79" i="23" a="1"/>
  <c r="A182" i="31" a="1"/>
  <c r="A124" i="26" a="1"/>
  <c r="A462" i="26" a="1"/>
  <c r="A289" i="23" a="1"/>
  <c r="A193" i="26" a="1"/>
  <c r="A337" i="33" a="1"/>
  <c r="A74" i="33" a="1"/>
  <c r="A305" i="33" a="1"/>
  <c r="A334" i="33" a="1"/>
  <c r="A12" i="26" a="1"/>
  <c r="A53" i="33" a="1"/>
  <c r="A399" i="31" a="1"/>
  <c r="A70" i="31" a="1"/>
  <c r="A430" i="26" a="1"/>
  <c r="A211" i="31" a="1"/>
  <c r="A92" i="33" a="1"/>
  <c r="A243" i="33" a="1"/>
  <c r="A451" i="26" a="1"/>
  <c r="A170" i="31" a="1"/>
  <c r="A423" i="31" a="1"/>
  <c r="A246" i="33" a="1"/>
  <c r="A232" i="23" a="1"/>
  <c r="A215" i="23" a="1"/>
  <c r="A259" i="23" a="1"/>
  <c r="A106" i="23" a="1"/>
  <c r="A116" i="33" a="1"/>
  <c r="A446" i="31" a="1"/>
  <c r="A66" i="23" a="1"/>
  <c r="A143" i="26" a="1"/>
  <c r="A494" i="26" a="1"/>
  <c r="A506" i="26" a="1"/>
  <c r="A239" i="26" a="1"/>
  <c r="A137" i="31" a="1"/>
  <c r="A285" i="31" a="1"/>
  <c r="A422" i="26" a="1"/>
  <c r="A65" i="33" a="1"/>
  <c r="A449" i="31" a="1"/>
  <c r="A173" i="26" a="1"/>
  <c r="A152" i="23" a="1"/>
  <c r="A19" i="23" a="1"/>
  <c r="A201" i="26" a="1"/>
  <c r="A441" i="26" a="1"/>
  <c r="A439" i="31" a="1"/>
  <c r="A170" i="26" a="1"/>
  <c r="A172" i="31" a="1"/>
  <c r="A298" i="31" a="1"/>
  <c r="A254" i="26" a="1"/>
  <c r="A195" i="26" a="1"/>
  <c r="A173" i="33" a="1"/>
  <c r="A188" i="31" a="1"/>
  <c r="A382" i="33" a="1"/>
  <c r="A207" i="26" a="1"/>
  <c r="A474" i="31" a="1"/>
  <c r="A362" i="26" a="1"/>
  <c r="A296" i="31" a="1"/>
  <c r="A170" i="23" a="1"/>
  <c r="A17" i="33" a="1"/>
  <c r="I25" i="19"/>
  <c r="A461" i="31" a="1"/>
  <c r="A110" i="23" a="1"/>
  <c r="A324" i="31" a="1"/>
  <c r="A226" i="31" a="1"/>
  <c r="A345" i="31" a="1"/>
  <c r="A171" i="23" a="1"/>
  <c r="A219" i="33" a="1"/>
  <c r="A263" i="31" a="1"/>
  <c r="A448" i="31" a="1"/>
  <c r="A80" i="33" a="1"/>
  <c r="A434" i="31" a="1"/>
  <c r="A447" i="31" a="1"/>
  <c r="A221" i="31" a="1"/>
  <c r="A109" i="33" a="1"/>
  <c r="A260" i="33" a="1"/>
  <c r="A87" i="31" a="1"/>
  <c r="A171" i="31" a="1"/>
  <c r="A85" i="33" a="1"/>
  <c r="A288" i="26" a="1"/>
  <c r="A68" i="33" a="1"/>
  <c r="A120" i="31" a="1"/>
  <c r="A273" i="33" a="1"/>
  <c r="A477" i="26" a="1"/>
  <c r="A297" i="26" a="1"/>
  <c r="A322" i="33" a="1"/>
  <c r="A22" i="33" a="1"/>
  <c r="A185" i="26" a="1"/>
  <c r="A14" i="26" a="1"/>
  <c r="A42" i="31" a="1"/>
  <c r="A11" i="23" a="1"/>
  <c r="A194" i="33" a="1"/>
  <c r="A146" i="31" a="1"/>
  <c r="A212" i="23" a="1"/>
  <c r="A80" i="31" a="1"/>
  <c r="A132" i="26" a="1"/>
  <c r="A63" i="31" a="1"/>
  <c r="A204" i="33" a="1"/>
  <c r="A213" i="23" a="1"/>
  <c r="A138" i="23" a="1"/>
  <c r="A418" i="26" a="1"/>
  <c r="A89" i="26" a="1"/>
  <c r="A316" i="26" a="1"/>
  <c r="A317" i="31" a="1"/>
  <c r="A131" i="23" a="1"/>
  <c r="A140" i="33" a="1"/>
  <c r="A227" i="23" a="1"/>
  <c r="A84" i="31" a="1"/>
  <c r="A451" i="31" a="1"/>
  <c r="A346" i="33" a="1"/>
  <c r="A285" i="23" a="1"/>
  <c r="A36" i="26" a="1"/>
  <c r="A375" i="31" a="1"/>
  <c r="A481" i="26" a="1"/>
  <c r="A142" i="26" a="1"/>
  <c r="A33" i="23" a="1"/>
  <c r="A465" i="26" a="1"/>
  <c r="A31" i="23" a="1"/>
  <c r="A74" i="23" a="1"/>
  <c r="A381" i="26" a="1"/>
  <c r="A162" i="31" a="1"/>
  <c r="A84" i="23" a="1"/>
  <c r="A34" i="23" a="1"/>
  <c r="A44" i="33" a="1"/>
  <c r="A204" i="23" a="1"/>
  <c r="A373" i="33" a="1"/>
  <c r="A257" i="26" a="1"/>
  <c r="A290" i="33" a="1"/>
  <c r="A63" i="23" a="1"/>
  <c r="A411" i="31" a="1"/>
  <c r="A100" i="26" a="1"/>
  <c r="A275" i="31" a="1"/>
  <c r="A50" i="31" a="1"/>
  <c r="A145" i="23" a="1"/>
  <c r="A164" i="31" a="1"/>
  <c r="A386" i="31" a="1"/>
  <c r="A78" i="31" a="1"/>
  <c r="A206" i="31" a="1"/>
  <c r="A119" i="23" a="1"/>
  <c r="A274" i="23" a="1"/>
  <c r="A310" i="33" a="1"/>
  <c r="A139" i="26" a="1"/>
  <c r="A368" i="31" a="1"/>
  <c r="A166" i="23" a="1"/>
  <c r="A342" i="26" a="1"/>
  <c r="A271" i="33" a="1"/>
  <c r="A146" i="23" a="1"/>
  <c r="A208" i="23" a="1"/>
  <c r="A356" i="33" a="1"/>
  <c r="A49" i="23" a="1"/>
  <c r="A223" i="31" a="1"/>
  <c r="A48" i="33" a="1"/>
  <c r="A258" i="33" a="1"/>
  <c r="A349" i="26" a="1"/>
  <c r="A323" i="26" a="1"/>
  <c r="A168" i="33" a="1"/>
  <c r="A109" i="23" a="1"/>
  <c r="A312" i="33" a="1"/>
  <c r="A421" i="26" a="1"/>
  <c r="A367" i="31" a="1"/>
  <c r="A130" i="26" a="1"/>
  <c r="A30" i="23" a="1"/>
  <c r="A156" i="31" a="1"/>
  <c r="A375" i="33" a="1"/>
  <c r="A253" i="31" a="1"/>
  <c r="A233" i="33" a="1"/>
  <c r="A104" i="23" a="1"/>
  <c r="A234" i="26" a="1"/>
  <c r="A236" i="26" a="1"/>
  <c r="A343" i="33" a="1"/>
  <c r="A62" i="23" a="1"/>
  <c r="A257" i="33" a="1"/>
  <c r="A274" i="33" a="1"/>
  <c r="A149" i="31" a="1"/>
  <c r="A50" i="23" a="1"/>
  <c r="A109" i="26" a="1"/>
  <c r="A295" i="31" a="1"/>
  <c r="A88" i="33" a="1"/>
  <c r="A71" i="31" a="1"/>
  <c r="A130" i="31" a="1"/>
  <c r="A455" i="31" a="1"/>
  <c r="A208" i="33" a="1"/>
  <c r="A392" i="31" a="1"/>
  <c r="A186" i="23" a="1"/>
  <c r="A249" i="31" a="1"/>
  <c r="A424" i="26" a="1"/>
  <c r="A103" i="33" a="1"/>
  <c r="A74" i="26" a="1"/>
  <c r="A398" i="31" a="1"/>
  <c r="A64" i="31" a="1"/>
  <c r="A123" i="33" a="1"/>
  <c r="A444" i="31" a="1"/>
  <c r="A175" i="23" a="1"/>
  <c r="A204" i="31" a="1"/>
  <c r="A335" i="33" a="1"/>
  <c r="A392" i="26" a="1"/>
  <c r="A140" i="26" a="1"/>
  <c r="A406" i="26" a="1"/>
  <c r="A178" i="26" a="1"/>
  <c r="A239" i="31" a="1"/>
  <c r="A286" i="26" a="1"/>
  <c r="A319" i="33" a="1"/>
  <c r="A248" i="31" a="1"/>
  <c r="A454" i="26" a="1"/>
  <c r="A72" i="33" a="1"/>
  <c r="A266" i="31" a="1"/>
  <c r="A190" i="31" a="1"/>
  <c r="A480" i="31" a="1"/>
  <c r="A242" i="23" a="1"/>
  <c r="A41" i="31" a="1"/>
  <c r="A368" i="33" a="1"/>
  <c r="A78" i="26" a="1"/>
  <c r="A218" i="23" a="1"/>
  <c r="A139" i="23" a="1"/>
  <c r="A292" i="23" a="1"/>
  <c r="A144" i="31" a="1"/>
  <c r="A256" i="31" a="1"/>
  <c r="A136" i="23" a="1"/>
  <c r="A163" i="26" a="1"/>
  <c r="A56" i="31" a="1"/>
  <c r="A258" i="31" a="1"/>
  <c r="A27" i="26" a="1"/>
  <c r="A29" i="23" a="1"/>
  <c r="A279" i="26" a="1"/>
  <c r="A39" i="33" a="1"/>
  <c r="A395" i="31" a="1"/>
  <c r="A217" i="23" a="1"/>
  <c r="A343" i="31" a="1"/>
  <c r="A11" i="26" a="1"/>
  <c r="A231" i="31" a="1"/>
  <c r="A477" i="31" a="1"/>
  <c r="A17" i="26" a="1"/>
  <c r="A124" i="31" a="1"/>
  <c r="A129" i="23" a="1"/>
  <c r="A270" i="33" a="1"/>
  <c r="A207" i="33" a="1"/>
  <c r="A277" i="33" a="1"/>
  <c r="A314" i="31" a="1"/>
  <c r="A436" i="31" a="1"/>
  <c r="A229" i="26" a="1"/>
  <c r="A209" i="26" a="1"/>
  <c r="A53" i="23" a="1"/>
  <c r="A116" i="31" a="1"/>
  <c r="A186" i="26" a="1"/>
  <c r="A41" i="23" a="1"/>
  <c r="A463" i="26" a="1"/>
  <c r="A317" i="33" a="1"/>
  <c r="A189" i="23" a="1"/>
  <c r="A248" i="23" a="1"/>
  <c r="A281" i="23" a="1"/>
  <c r="A268" i="31" a="1"/>
  <c r="A177" i="33" a="1"/>
  <c r="A107" i="33" a="1"/>
  <c r="A310" i="31" a="1"/>
  <c r="A215" i="26" a="1"/>
  <c r="A287" i="31" a="1"/>
  <c r="A187" i="33" a="1"/>
  <c r="A164" i="33" a="1"/>
  <c r="A86" i="33" a="1"/>
  <c r="A83" i="31" a="1"/>
  <c r="A37" i="33" a="1"/>
  <c r="A303" i="26" a="1"/>
  <c r="A235" i="26" a="1"/>
  <c r="A485" i="26" a="1"/>
  <c r="A57" i="26" a="1"/>
  <c r="A40" i="26" a="1"/>
  <c r="A391" i="26" a="1"/>
  <c r="A229" i="31" a="1"/>
  <c r="A75" i="26" a="1"/>
  <c r="A37" i="26" a="1"/>
  <c r="A209" i="33" a="1"/>
  <c r="A410" i="26" a="1"/>
  <c r="A233" i="26" a="1"/>
  <c r="A62" i="31" a="1"/>
  <c r="A208" i="31" a="1"/>
  <c r="A378" i="31" a="1"/>
  <c r="A151" i="23" a="1"/>
  <c r="A456" i="26" a="1"/>
  <c r="A344" i="26" a="1"/>
  <c r="A293" i="31" a="1"/>
  <c r="A133" i="31" a="1"/>
  <c r="A38" i="33" a="1"/>
  <c r="A469" i="26" a="1"/>
  <c r="A450" i="31" a="1"/>
  <c r="A13" i="31" a="1"/>
  <c r="A255" i="23" a="1"/>
  <c r="A149" i="23" a="1"/>
  <c r="A232" i="33" a="1"/>
  <c r="A60" i="26" a="1"/>
  <c r="A91" i="33" a="1"/>
  <c r="A282" i="23" a="1"/>
  <c r="A85" i="26" a="1"/>
  <c r="A21" i="31" a="1"/>
  <c r="A289" i="33" a="1"/>
  <c r="A283" i="26" a="1"/>
  <c r="A93" i="31" a="1"/>
  <c r="A376" i="33" a="1"/>
  <c r="A381" i="33" a="1"/>
  <c r="A43" i="33" a="1"/>
  <c r="A164" i="23" a="1"/>
  <c r="A240" i="23" a="1"/>
  <c r="A77" i="26" a="1"/>
  <c r="A33" i="26" a="1"/>
  <c r="A34" i="33" a="1"/>
  <c r="A32" i="23" a="1"/>
  <c r="A61" i="33" a="1"/>
  <c r="A30" i="26" a="1"/>
  <c r="A42" i="23" a="1"/>
  <c r="A156" i="26" a="1"/>
  <c r="A435" i="26" a="1"/>
  <c r="A312" i="31" a="1"/>
  <c r="A294" i="33" a="1"/>
  <c r="A253" i="26" a="1"/>
  <c r="A295" i="26" a="1"/>
  <c r="A228" i="33" a="1"/>
  <c r="A371" i="33" a="1"/>
  <c r="A167" i="26" a="1"/>
  <c r="A100" i="23" a="1"/>
  <c r="A278" i="26" a="1"/>
  <c r="A458" i="31" a="1"/>
  <c r="A177" i="31" a="1"/>
  <c r="A132" i="23" a="1"/>
  <c r="A141" i="26" a="1"/>
  <c r="A405" i="26" a="1"/>
  <c r="A265" i="23" a="1"/>
  <c r="A322" i="31" a="1"/>
  <c r="A315" i="33" a="1"/>
  <c r="A249" i="26" a="1"/>
  <c r="A12" i="23" a="1"/>
  <c r="A176" i="33" a="1"/>
  <c r="A28" i="31" a="1"/>
  <c r="A46" i="26" a="1"/>
  <c r="A308" i="26" a="1"/>
  <c r="A117" i="23" a="1"/>
  <c r="A106" i="26" a="1"/>
  <c r="A261" i="26" a="1"/>
  <c r="A372" i="33" a="1"/>
  <c r="A445" i="26" a="1"/>
  <c r="A275" i="23" a="1"/>
  <c r="A357" i="33" a="1"/>
  <c r="A153" i="26" a="1"/>
  <c r="A88" i="26" a="1"/>
  <c r="A368" i="26" a="1"/>
  <c r="A160" i="23" a="1"/>
  <c r="A183" i="26" a="1"/>
  <c r="A334" i="31" a="1"/>
  <c r="A150" i="31" a="1"/>
  <c r="A298" i="33" a="1"/>
  <c r="A129" i="26" a="1"/>
  <c r="A465" i="31" a="1"/>
  <c r="A482" i="26" a="1"/>
  <c r="A159" i="33" a="1"/>
  <c r="A127" i="33" a="1"/>
  <c r="A187" i="23" a="1"/>
  <c r="A270" i="23" a="1"/>
  <c r="A72" i="26" a="1"/>
  <c r="A181" i="33" a="1"/>
  <c r="A354" i="33" a="1"/>
  <c r="A117" i="33" a="1"/>
  <c r="A373" i="31" a="1"/>
  <c r="A287" i="23" a="1"/>
  <c r="A259" i="33" a="1"/>
  <c r="A283" i="31" a="1"/>
  <c r="A98" i="26" a="1"/>
  <c r="A332" i="33" a="1"/>
  <c r="A166" i="26" a="1"/>
  <c r="A274" i="26" a="1"/>
  <c r="A205" i="23" a="1"/>
  <c r="A359" i="26" a="1"/>
  <c r="A145" i="33" a="1"/>
  <c r="A333" i="31" a="1"/>
  <c r="A126" i="26" a="1"/>
  <c r="A157" i="26" a="1"/>
  <c r="A35" i="33" a="1"/>
  <c r="A376" i="26" a="1"/>
  <c r="A298" i="26" a="1"/>
  <c r="A179" i="23" a="1"/>
  <c r="A364" i="33" a="1"/>
  <c r="A486" i="31" a="1"/>
  <c r="A196" i="26" a="1"/>
  <c r="A286" i="33" a="1"/>
  <c r="A468" i="31" a="1"/>
  <c r="A32" i="31" a="1"/>
  <c r="A256" i="23" a="1"/>
  <c r="A84" i="33" a="1"/>
  <c r="A276" i="31" a="1"/>
  <c r="A372" i="31" a="1"/>
  <c r="A245" i="23" a="1"/>
  <c r="A61" i="23" a="1"/>
  <c r="A458" i="26" a="1"/>
  <c r="A429" i="26" a="1"/>
  <c r="A336" i="31" a="1"/>
  <c r="A299" i="26" a="1"/>
  <c r="A141" i="31" a="1"/>
  <c r="A306" i="26" a="1"/>
  <c r="A194" i="26" a="1"/>
  <c r="A215" i="31" a="1"/>
  <c r="A321" i="33" a="1"/>
  <c r="A185" i="33" a="1"/>
  <c r="A174" i="31" a="1"/>
  <c r="A245" i="31" a="1"/>
  <c r="A309" i="31" a="1"/>
  <c r="A401" i="26" a="1"/>
  <c r="A196" i="31" a="1"/>
  <c r="A317" i="26" a="1"/>
  <c r="A360" i="31" a="1"/>
  <c r="A347" i="26" a="1"/>
  <c r="A149" i="33" a="1"/>
  <c r="A90" i="26" a="1"/>
  <c r="A308" i="31" a="1"/>
  <c r="A60" i="31" a="1"/>
  <c r="A27" i="31" a="1"/>
  <c r="A83" i="26" a="1"/>
  <c r="A463" i="31" a="1"/>
  <c r="A39" i="23" a="1"/>
  <c r="A210" i="23" a="1"/>
  <c r="A38" i="31" a="1"/>
  <c r="A244" i="33" a="1"/>
  <c r="A480" i="26" a="1"/>
  <c r="A397" i="26" a="1"/>
  <c r="A228" i="31" a="1"/>
  <c r="A62" i="33" a="1"/>
  <c r="A231" i="23" a="1"/>
  <c r="A319" i="31" a="1"/>
  <c r="A301" i="31" a="1"/>
  <c r="A157" i="23" a="1"/>
  <c r="A245" i="33" a="1"/>
  <c r="A388" i="26" a="1"/>
  <c r="A131" i="31" a="1"/>
  <c r="A158" i="23" a="1"/>
  <c r="A115" i="33" a="1"/>
  <c r="A255" i="33" a="1"/>
  <c r="A128" i="26" a="1"/>
  <c r="A250" i="23" a="1"/>
  <c r="A372" i="26" a="1"/>
  <c r="A286" i="23" a="1"/>
  <c r="A331" i="33" a="1"/>
  <c r="A188" i="23" a="1"/>
  <c r="A53" i="26" a="1"/>
  <c r="A241" i="23" a="1"/>
  <c r="A326" i="33" a="1"/>
  <c r="A56" i="23" a="1"/>
  <c r="A444" i="26" a="1"/>
  <c r="A353" i="26" a="1"/>
  <c r="A247" i="33" a="1"/>
  <c r="A103" i="23" a="1"/>
  <c r="A386" i="26" a="1"/>
  <c r="A353" i="33" a="1"/>
  <c r="A161" i="26" a="1"/>
  <c r="A86" i="31" a="1"/>
  <c r="A382" i="31" a="1"/>
  <c r="A283" i="23" a="1"/>
  <c r="A347" i="33" a="1"/>
  <c r="A495" i="26" a="1"/>
  <c r="A219" i="26" a="1"/>
  <c r="A64" i="33" a="1"/>
  <c r="A238" i="23" a="1"/>
  <c r="A374" i="31" a="1"/>
  <c r="A13" i="23" a="1"/>
  <c r="A487" i="31" a="1"/>
  <c r="A156" i="33" a="1"/>
  <c r="A30" i="33" a="1"/>
  <c r="A115" i="26" a="1"/>
  <c r="A409" i="31" a="1"/>
  <c r="A138" i="26" a="1"/>
  <c r="A423" i="26" a="1"/>
  <c r="A221" i="23" a="1"/>
  <c r="A425" i="26" a="1"/>
  <c r="A97" i="23" a="1"/>
  <c r="A12" i="31" a="1"/>
  <c r="A50" i="33" a="1"/>
  <c r="A431" i="31" a="1"/>
  <c r="A165" i="33" a="1"/>
  <c r="A453" i="26" a="1"/>
  <c r="A11" i="33" a="1"/>
  <c r="A63" i="33" a="1"/>
  <c r="A57" i="33" a="1"/>
  <c r="A327" i="31" a="1"/>
  <c r="A339" i="33" a="1"/>
  <c r="A137" i="26" a="1"/>
  <c r="A184" i="31" a="1"/>
  <c r="A420" i="26" a="1"/>
  <c r="A112" i="33" a="1"/>
  <c r="A115" i="31" a="1"/>
  <c r="A69" i="26" a="1"/>
  <c r="A277" i="23" a="1"/>
  <c r="A143" i="33" a="1"/>
  <c r="A25" i="31" a="1"/>
  <c r="A208" i="26" a="1"/>
  <c r="A150" i="26" a="1"/>
  <c r="A226" i="26" a="1"/>
  <c r="A163" i="33" a="1"/>
  <c r="A31" i="31" a="1"/>
  <c r="A213" i="31" a="1"/>
  <c r="A148" i="31" a="1"/>
  <c r="A22" i="23" a="1"/>
  <c r="A331" i="31" a="1"/>
  <c r="A255" i="31" a="1"/>
  <c r="A290" i="26" a="1"/>
  <c r="A238" i="31" a="1"/>
  <c r="A494" i="31" a="1"/>
  <c r="A48" i="31" a="1"/>
  <c r="A33" i="31" a="1"/>
  <c r="A73" i="23" a="1"/>
  <c r="A37" i="31" a="1"/>
  <c r="A330" i="26" a="1"/>
  <c r="A191" i="26" a="1"/>
  <c r="A348" i="26" a="1"/>
  <c r="A201" i="31" a="1"/>
  <c r="A94" i="33" a="1"/>
  <c r="A237" i="31" a="1"/>
  <c r="A355" i="31" a="1"/>
  <c r="A72" i="31" a="1"/>
  <c r="A353" i="31" a="1"/>
  <c r="A206" i="26" a="1"/>
  <c r="A267" i="26" a="1"/>
  <c r="A113" i="23" a="1"/>
  <c r="A197" i="23" a="1"/>
  <c r="A52" i="33" a="1"/>
  <c r="A19" i="26" a="1"/>
  <c r="A72" i="23" a="1"/>
  <c r="A318" i="26" a="1"/>
  <c r="A316" i="33" a="1"/>
  <c r="A319" i="26" a="1"/>
  <c r="A305" i="31" a="1"/>
  <c r="A89" i="23" a="1"/>
  <c r="A326" i="26" a="1"/>
  <c r="A338" i="26" a="1"/>
  <c r="A15" i="31" a="1"/>
  <c r="A78" i="33" a="1"/>
  <c r="A498" i="26" a="1"/>
  <c r="A135" i="26" a="1"/>
  <c r="A221" i="26" a="1"/>
  <c r="A57" i="31" a="1"/>
  <c r="A39" i="31" a="1"/>
  <c r="A98" i="23" a="1"/>
  <c r="A156" i="23" a="1"/>
  <c r="A71" i="33" a="1"/>
  <c r="A284" i="26" a="1"/>
  <c r="A141" i="23" a="1"/>
  <c r="A272" i="23" a="1"/>
  <c r="A219" i="23" a="1"/>
  <c r="A361" i="33" a="1"/>
  <c r="A20" i="26" a="1"/>
  <c r="A89" i="31" a="1"/>
  <c r="A276" i="33" a="1"/>
  <c r="A289" i="31" a="1"/>
  <c r="A440" i="31" a="1"/>
  <c r="A264" i="33" a="1"/>
  <c r="A96" i="26" a="1"/>
  <c r="A102" i="23" a="1"/>
  <c r="A358" i="33" a="1"/>
  <c r="A13" i="26" a="1"/>
  <c r="A119" i="33" a="1"/>
  <c r="A340" i="33" a="1"/>
  <c r="A326" i="31" a="1"/>
  <c r="A239" i="33" a="1"/>
  <c r="A59" i="33" a="1"/>
  <c r="A203" i="33" a="1"/>
  <c r="A487" i="26" a="1"/>
  <c r="A196" i="23" a="1"/>
  <c r="A52" i="26" a="1"/>
  <c r="A112" i="23" a="1"/>
  <c r="A271" i="23" a="1"/>
  <c r="A30" i="31" a="1"/>
  <c r="A329" i="31" a="1"/>
  <c r="A100" i="33" a="1"/>
  <c r="A379" i="31" a="1"/>
  <c r="A200" i="33" a="1"/>
  <c r="A27" i="23" a="1"/>
  <c r="A311" i="31" a="1"/>
  <c r="A114" i="23" a="1"/>
  <c r="A278" i="31" a="1"/>
  <c r="A94" i="26" a="1"/>
  <c r="A101" i="33" a="1"/>
  <c r="A376" i="31" a="1"/>
  <c r="A299" i="33" a="1"/>
  <c r="A438" i="31" a="1"/>
  <c r="A14" i="33" a="1"/>
  <c r="A84" i="26" a="1"/>
  <c r="A428" i="31" a="1"/>
  <c r="A179" i="26" a="1"/>
  <c r="A158" i="33" a="1"/>
  <c r="A245" i="26" a="1"/>
  <c r="A260" i="23" a="1"/>
  <c r="A191" i="31" a="1"/>
  <c r="A291" i="23" a="1"/>
  <c r="A133" i="26" a="1"/>
  <c r="A292" i="33" a="1"/>
  <c r="A492" i="31" a="1"/>
  <c r="A352" i="33" a="1"/>
  <c r="A325" i="33" a="1"/>
  <c r="A58" i="23" a="1"/>
  <c r="A283" i="33" a="1"/>
  <c r="A17" i="31" a="1"/>
  <c r="A380" i="33" a="1"/>
  <c r="A223" i="23" a="1"/>
  <c r="A414" i="26" a="1"/>
  <c r="A436" i="26" a="1"/>
  <c r="A77" i="23" a="1"/>
  <c r="A127" i="31" a="1"/>
  <c r="A357" i="31" a="1"/>
  <c r="A303" i="31" a="1"/>
  <c r="A142" i="31" a="1"/>
  <c r="A212" i="31" a="1"/>
  <c r="A95" i="31" a="1"/>
  <c r="A215" i="33" a="1"/>
  <c r="A55" i="26" a="1"/>
  <c r="A87" i="26" a="1"/>
  <c r="A101" i="26" a="1"/>
  <c r="A396" i="31" a="1"/>
  <c r="A138" i="33" a="1"/>
  <c r="A497" i="31" a="1"/>
  <c r="A349" i="33" a="1"/>
  <c r="A202" i="31" a="1"/>
  <c r="A293" i="23" a="1"/>
  <c r="A220" i="33" a="1"/>
  <c r="A357" i="26" a="1"/>
  <c r="A217" i="31" a="1"/>
  <c r="A419" i="26" a="1"/>
  <c r="A432" i="26" a="1"/>
  <c r="A216" i="31" a="1"/>
  <c r="A26" i="31" a="1"/>
  <c r="A147" i="33" a="1"/>
  <c r="A341" i="26" a="1"/>
  <c r="A270" i="31" a="1"/>
  <c r="A76" i="33" a="1"/>
  <c r="A82" i="31" a="1"/>
  <c r="A197" i="31" a="1"/>
  <c r="A263" i="33" a="1"/>
  <c r="A290" i="23" a="1"/>
  <c r="A80" i="23" a="1"/>
  <c r="A101" i="31" a="1"/>
  <c r="A496" i="26" a="1"/>
  <c r="A351" i="33" a="1"/>
  <c r="A172" i="26" a="1"/>
  <c r="A173" i="31" a="1"/>
  <c r="A320" i="33" a="1"/>
  <c r="A195" i="31" a="1"/>
  <c r="A71" i="26" a="1"/>
  <c r="A107" i="31" a="1"/>
  <c r="A446" i="26" a="1"/>
  <c r="A250" i="31" a="1"/>
  <c r="A202" i="33" a="1"/>
  <c r="A44" i="23" a="1"/>
  <c r="A476" i="26" a="1"/>
  <c r="A325" i="31" a="1"/>
  <c r="A476" i="31" a="1"/>
  <c r="A23" i="26" a="1"/>
  <c r="A384" i="33" a="1"/>
  <c r="A377" i="33" a="1"/>
  <c r="A244" i="23" a="1"/>
  <c r="A189" i="26" a="1"/>
  <c r="A118" i="33" a="1"/>
  <c r="A136" i="33" a="1"/>
  <c r="A401" i="31" a="1"/>
  <c r="A188" i="26" a="1"/>
  <c r="A148" i="26" a="1"/>
  <c r="A347" i="31" a="1"/>
  <c r="A123" i="31" a="1"/>
  <c r="A55" i="33" a="1"/>
  <c r="A180" i="31" a="1"/>
  <c r="A159" i="31" a="1"/>
  <c r="A454" i="31" a="1"/>
  <c r="A309" i="26" a="1"/>
  <c r="A341" i="33" a="1"/>
  <c r="A363" i="31" a="1"/>
  <c r="A120" i="23" a="1"/>
  <c r="A174" i="33" a="1"/>
  <c r="A293" i="26" a="1"/>
  <c r="A59" i="23" a="1"/>
  <c r="A284" i="31" a="1"/>
  <c r="A381" i="31" a="1"/>
  <c r="A119" i="26" a="1"/>
  <c r="A429" i="31" a="1"/>
  <c r="A192" i="26" a="1"/>
  <c r="A214" i="26" a="1"/>
  <c r="A240" i="26" a="1"/>
  <c r="A102" i="31" a="1"/>
  <c r="A443" i="26" a="1"/>
  <c r="A23" i="31" a="1"/>
  <c r="A44" i="31" a="1"/>
  <c r="A211" i="26" a="1"/>
  <c r="A259" i="31" a="1"/>
  <c r="A105" i="31" a="1"/>
  <c r="A224" i="23" a="1"/>
  <c r="A384" i="26" a="1"/>
  <c r="A154" i="33" a="1"/>
  <c r="A269" i="26" a="1"/>
  <c r="A474" i="26" a="1"/>
  <c r="A88" i="31" a="1"/>
  <c r="A157" i="33" a="1"/>
  <c r="A181" i="26" a="1"/>
  <c r="A68" i="23" a="1"/>
  <c r="A295" i="33" a="1"/>
  <c r="A356" i="26" a="1"/>
  <c r="A243" i="31" a="1"/>
  <c r="A297" i="33" a="1"/>
  <c r="A282" i="26" a="1"/>
  <c r="A242" i="33" a="1"/>
  <c r="A421" i="31" a="1"/>
  <c r="A152" i="26" a="1"/>
  <c r="A294" i="23" a="1"/>
  <c r="A328" i="33" a="1"/>
  <c r="A117" i="26" a="1"/>
  <c r="A432" i="31" a="1"/>
  <c r="A466" i="26" a="1"/>
  <c r="A195" i="33" a="1"/>
  <c r="A301" i="26" a="1"/>
  <c r="A187" i="31" a="1"/>
  <c r="A364" i="26" a="1"/>
  <c r="A113" i="31" a="1"/>
  <c r="A64" i="23" a="1"/>
  <c r="A426" i="31" a="1"/>
  <c r="A445" i="31" a="1"/>
  <c r="A164" i="26" a="1"/>
  <c r="A250" i="33" a="1"/>
  <c r="A354" i="26" a="1"/>
  <c r="A80" i="26" a="1"/>
  <c r="A387" i="31" a="1"/>
  <c r="A103" i="26" a="1"/>
  <c r="A178" i="31" a="1"/>
  <c r="A505" i="26" a="1"/>
  <c r="A475" i="31" a="1"/>
  <c r="A184" i="33" a="1"/>
  <c r="A193" i="33" a="1"/>
  <c r="A155" i="31" a="1"/>
  <c r="A355" i="26" a="1"/>
  <c r="A234" i="33" a="1"/>
  <c r="A29" i="31" a="1"/>
  <c r="A387" i="26" a="1"/>
  <c r="A194" i="23" a="1"/>
  <c r="A467" i="31" a="1"/>
  <c r="A402" i="31" a="1"/>
  <c r="A336" i="33" a="1"/>
  <c r="A264" i="23" a="1"/>
  <c r="A345" i="26" a="1"/>
  <c r="A233" i="23" a="1"/>
  <c r="A121" i="31" a="1"/>
  <c r="A323" i="31" a="1"/>
  <c r="A36" i="23" a="1"/>
  <c r="A69" i="33" a="1"/>
  <c r="A268" i="33" a="1"/>
  <c r="A291" i="31" a="1"/>
  <c r="A81" i="23" a="1"/>
  <c r="A484" i="31" a="1"/>
  <c r="A185" i="31" a="1"/>
  <c r="A460" i="31" a="1"/>
  <c r="A281" i="31" a="1"/>
  <c r="A143" i="31" a="1"/>
  <c r="A111" i="33" a="1"/>
  <c r="A40" i="23" a="1"/>
  <c r="A321" i="26" a="1"/>
  <c r="A230" i="23" a="1"/>
  <c r="A320" i="31" a="1"/>
  <c r="A25" i="33" a="1"/>
  <c r="A340" i="31" a="1"/>
  <c r="A408" i="31" a="1"/>
  <c r="A40" i="31" a="1"/>
  <c r="A427" i="31" a="1"/>
  <c r="A187" i="26" a="1"/>
  <c r="A98" i="31" a="1"/>
  <c r="A73" i="26" a="1"/>
  <c r="A79" i="26" a="1"/>
  <c r="A228" i="26" a="1"/>
  <c r="A342" i="31" a="1"/>
  <c r="A306" i="33" a="1"/>
  <c r="A322" i="26" a="1"/>
  <c r="A185" i="23" a="1"/>
  <c r="A439" i="26" a="1"/>
  <c r="A379" i="26" a="1"/>
  <c r="A296" i="33" a="1"/>
  <c r="A66" i="33" a="1"/>
  <c r="A346" i="26" a="1"/>
  <c r="A437" i="31" a="1"/>
  <c r="A137" i="33" a="1"/>
  <c r="A466" i="31" a="1"/>
  <c r="A276" i="26" a="1"/>
  <c r="A358" i="31" a="1"/>
  <c r="A254" i="33" a="1"/>
  <c r="A273" i="26" a="1"/>
  <c r="A182" i="33" a="1"/>
  <c r="A223" i="26" a="1"/>
  <c r="A247" i="31" a="1"/>
  <c r="A165" i="23" a="1"/>
  <c r="A230" i="26" a="1"/>
  <c r="A201" i="33" a="1"/>
  <c r="A201" i="33" l="1"/>
  <c r="A230" i="26"/>
  <c r="A165" i="23"/>
  <c r="A247" i="31"/>
  <c r="A223" i="26"/>
  <c r="A182" i="33"/>
  <c r="A273" i="26"/>
  <c r="A254" i="33"/>
  <c r="A358" i="31"/>
  <c r="A276" i="26"/>
  <c r="A466" i="31"/>
  <c r="A137" i="33"/>
  <c r="A437" i="31"/>
  <c r="A346" i="26"/>
  <c r="A66" i="33"/>
  <c r="A296" i="33"/>
  <c r="A379" i="26"/>
  <c r="A439" i="26"/>
  <c r="A185" i="23"/>
  <c r="A322" i="26"/>
  <c r="A306" i="33"/>
  <c r="A342" i="31"/>
  <c r="A228" i="26"/>
  <c r="A79" i="26"/>
  <c r="A73" i="26"/>
  <c r="A98" i="31"/>
  <c r="A187" i="26"/>
  <c r="A427" i="31"/>
  <c r="A40" i="31"/>
  <c r="A408" i="31"/>
  <c r="A340" i="31"/>
  <c r="A25" i="33"/>
  <c r="A320" i="31"/>
  <c r="A230" i="23"/>
  <c r="A321" i="26"/>
  <c r="A40" i="23"/>
  <c r="A111" i="33"/>
  <c r="A143" i="31"/>
  <c r="A281" i="31"/>
  <c r="A460" i="31"/>
  <c r="A185" i="31"/>
  <c r="A484" i="31"/>
  <c r="A81" i="23"/>
  <c r="A291" i="31"/>
  <c r="A268" i="33"/>
  <c r="A69" i="33"/>
  <c r="A36" i="23"/>
  <c r="A323" i="31"/>
  <c r="A121" i="31"/>
  <c r="A233" i="23"/>
  <c r="A345" i="26"/>
  <c r="A264" i="23"/>
  <c r="A336" i="33"/>
  <c r="A402" i="31"/>
  <c r="A467" i="31"/>
  <c r="A194" i="23"/>
  <c r="A387" i="26"/>
  <c r="A29" i="31"/>
  <c r="A234" i="33"/>
  <c r="A355" i="26"/>
  <c r="A155" i="31"/>
  <c r="A193" i="33"/>
  <c r="A184" i="33"/>
  <c r="A475" i="31"/>
  <c r="A505" i="26"/>
  <c r="A178" i="31"/>
  <c r="A103" i="26"/>
  <c r="A387" i="31"/>
  <c r="A80" i="26"/>
  <c r="A354" i="26"/>
  <c r="A250" i="33"/>
  <c r="A164" i="26"/>
  <c r="A445" i="31"/>
  <c r="A426" i="31"/>
  <c r="A64" i="23"/>
  <c r="A113" i="31"/>
  <c r="A364" i="26"/>
  <c r="A187" i="31"/>
  <c r="A301" i="26"/>
  <c r="A195" i="33"/>
  <c r="A466" i="26"/>
  <c r="A432" i="31"/>
  <c r="A117" i="26"/>
  <c r="A328" i="33"/>
  <c r="A294" i="23"/>
  <c r="A152" i="26"/>
  <c r="A421" i="31"/>
  <c r="A242" i="33"/>
  <c r="A282" i="26"/>
  <c r="A297" i="33"/>
  <c r="A243" i="31"/>
  <c r="A356" i="26"/>
  <c r="A295" i="33"/>
  <c r="A68" i="23"/>
  <c r="A181" i="26"/>
  <c r="A157" i="33"/>
  <c r="A88" i="31"/>
  <c r="A474" i="26"/>
  <c r="A269" i="26"/>
  <c r="A154" i="33"/>
  <c r="A384" i="26"/>
  <c r="A224" i="23"/>
  <c r="A105" i="31"/>
  <c r="A259" i="31"/>
  <c r="A211" i="26"/>
  <c r="A44" i="31"/>
  <c r="A23" i="31"/>
  <c r="A443" i="26"/>
  <c r="A102" i="31"/>
  <c r="A240" i="26"/>
  <c r="A214" i="26"/>
  <c r="A192" i="26"/>
  <c r="A429" i="31"/>
  <c r="A119" i="26"/>
  <c r="A381" i="31"/>
  <c r="A284" i="31"/>
  <c r="A59" i="23"/>
  <c r="A293" i="26"/>
  <c r="A174" i="33"/>
  <c r="A120" i="23"/>
  <c r="A363" i="31"/>
  <c r="A341" i="33"/>
  <c r="A309" i="26"/>
  <c r="A454" i="31"/>
  <c r="A159" i="31"/>
  <c r="A180" i="31"/>
  <c r="A55" i="33"/>
  <c r="A123" i="31"/>
  <c r="A347" i="31"/>
  <c r="A148" i="26"/>
  <c r="A188" i="26"/>
  <c r="A401" i="31"/>
  <c r="A136" i="33"/>
  <c r="A118" i="33"/>
  <c r="A189" i="26"/>
  <c r="A244" i="23"/>
  <c r="A377" i="33"/>
  <c r="A384" i="33"/>
  <c r="A23" i="26"/>
  <c r="A476" i="31"/>
  <c r="A325" i="31"/>
  <c r="A476" i="26"/>
  <c r="A44" i="23"/>
  <c r="A202" i="33"/>
  <c r="A250" i="31"/>
  <c r="A446" i="26"/>
  <c r="A107" i="31"/>
  <c r="A71" i="26"/>
  <c r="A195" i="31"/>
  <c r="A320" i="33"/>
  <c r="A173" i="31"/>
  <c r="A172" i="26"/>
  <c r="A351" i="33"/>
  <c r="A496" i="26"/>
  <c r="A101" i="31"/>
  <c r="A80" i="23"/>
  <c r="A290" i="23"/>
  <c r="A263" i="33"/>
  <c r="A197" i="31"/>
  <c r="A82" i="31"/>
  <c r="A76" i="33"/>
  <c r="A270" i="31"/>
  <c r="A341" i="26"/>
  <c r="A147" i="33"/>
  <c r="A26" i="31"/>
  <c r="A216" i="31"/>
  <c r="A432" i="26"/>
  <c r="A419" i="26"/>
  <c r="A217" i="31"/>
  <c r="A357" i="26"/>
  <c r="A220" i="33"/>
  <c r="A293" i="23"/>
  <c r="A202" i="31"/>
  <c r="A349" i="33"/>
  <c r="A497" i="31"/>
  <c r="A138" i="33"/>
  <c r="A396" i="31"/>
  <c r="A101" i="26"/>
  <c r="A87" i="26"/>
  <c r="A55" i="26"/>
  <c r="A215" i="33"/>
  <c r="A95" i="31"/>
  <c r="A212" i="31"/>
  <c r="A142" i="31"/>
  <c r="A303" i="31"/>
  <c r="A357" i="31"/>
  <c r="A127" i="31"/>
  <c r="A77" i="23"/>
  <c r="A436" i="26"/>
  <c r="A414" i="26"/>
  <c r="A223" i="23"/>
  <c r="A380" i="33"/>
  <c r="A17" i="31"/>
  <c r="A283" i="33"/>
  <c r="A58" i="23"/>
  <c r="A325" i="33"/>
  <c r="A352" i="33"/>
  <c r="A492" i="31"/>
  <c r="A292" i="33"/>
  <c r="A133" i="26"/>
  <c r="A291" i="23"/>
  <c r="A191" i="31"/>
  <c r="A260" i="23"/>
  <c r="A245" i="26"/>
  <c r="A158" i="33"/>
  <c r="A179" i="26"/>
  <c r="A428" i="31"/>
  <c r="A84" i="26"/>
  <c r="A14" i="33"/>
  <c r="A438" i="31"/>
  <c r="A299" i="33"/>
  <c r="A376" i="31"/>
  <c r="A101" i="33"/>
  <c r="A94" i="26"/>
  <c r="A278" i="31"/>
  <c r="A114" i="23"/>
  <c r="A311" i="31"/>
  <c r="A27" i="23"/>
  <c r="A200" i="33"/>
  <c r="A379" i="31"/>
  <c r="A100" i="33"/>
  <c r="A329" i="31"/>
  <c r="A30" i="31"/>
  <c r="A271" i="23"/>
  <c r="A112" i="23"/>
  <c r="A52" i="26"/>
  <c r="A196" i="23"/>
  <c r="A487" i="26"/>
  <c r="A203" i="33"/>
  <c r="A59" i="33"/>
  <c r="A239" i="33"/>
  <c r="A326" i="31"/>
  <c r="A340" i="33"/>
  <c r="A119" i="33"/>
  <c r="A13" i="26"/>
  <c r="A358" i="33"/>
  <c r="A102" i="23"/>
  <c r="A96" i="26"/>
  <c r="A264" i="33"/>
  <c r="A440" i="31"/>
  <c r="A289" i="31"/>
  <c r="A276" i="33"/>
  <c r="A89" i="31"/>
  <c r="A20" i="26"/>
  <c r="A361" i="33"/>
  <c r="A219" i="23"/>
  <c r="A272" i="23"/>
  <c r="A141" i="23"/>
  <c r="A284" i="26"/>
  <c r="A71" i="33"/>
  <c r="A156" i="23"/>
  <c r="A98" i="23"/>
  <c r="A39" i="31"/>
  <c r="A57" i="31"/>
  <c r="A221" i="26"/>
  <c r="A135" i="26"/>
  <c r="A498" i="26"/>
  <c r="A78" i="33"/>
  <c r="A15" i="31"/>
  <c r="A338" i="26"/>
  <c r="A326" i="26"/>
  <c r="A89" i="23"/>
  <c r="A305" i="31"/>
  <c r="A319" i="26"/>
  <c r="A316" i="33"/>
  <c r="A318" i="26"/>
  <c r="A72" i="23"/>
  <c r="A19" i="26"/>
  <c r="A52" i="33"/>
  <c r="A197" i="23"/>
  <c r="A113" i="23"/>
  <c r="A267" i="26"/>
  <c r="A206" i="26"/>
  <c r="A353" i="31"/>
  <c r="A72" i="31"/>
  <c r="A355" i="31"/>
  <c r="A237" i="31"/>
  <c r="A94" i="33"/>
  <c r="A201" i="31"/>
  <c r="A348" i="26"/>
  <c r="A191" i="26"/>
  <c r="A330" i="26"/>
  <c r="A37" i="31"/>
  <c r="A73" i="23"/>
  <c r="A33" i="31"/>
  <c r="A48" i="31"/>
  <c r="A494" i="31"/>
  <c r="A238" i="31"/>
  <c r="A290" i="26"/>
  <c r="A255" i="31"/>
  <c r="A331" i="31"/>
  <c r="A22" i="23"/>
  <c r="A148" i="31"/>
  <c r="A213" i="31"/>
  <c r="A31" i="31"/>
  <c r="A163" i="33"/>
  <c r="A226" i="26"/>
  <c r="A150" i="26"/>
  <c r="A208" i="26"/>
  <c r="A25" i="31"/>
  <c r="A143" i="33"/>
  <c r="A277" i="23"/>
  <c r="A69" i="26"/>
  <c r="A115" i="31"/>
  <c r="A112" i="33"/>
  <c r="A420" i="26"/>
  <c r="A184" i="31"/>
  <c r="A137" i="26"/>
  <c r="A339" i="33"/>
  <c r="A327" i="31"/>
  <c r="A57" i="33"/>
  <c r="A63" i="33"/>
  <c r="A11" i="33"/>
  <c r="A453" i="26"/>
  <c r="A165" i="33"/>
  <c r="A431" i="31"/>
  <c r="A50" i="33"/>
  <c r="A12" i="31"/>
  <c r="A97" i="23"/>
  <c r="A425" i="26"/>
  <c r="A221" i="23"/>
  <c r="A423" i="26"/>
  <c r="A138" i="26"/>
  <c r="A409" i="31"/>
  <c r="A115" i="26"/>
  <c r="A30" i="33"/>
  <c r="A156" i="33"/>
  <c r="A487" i="31"/>
  <c r="A13" i="23"/>
  <c r="A374" i="31"/>
  <c r="A238" i="23"/>
  <c r="A64" i="33"/>
  <c r="A219" i="26"/>
  <c r="A495" i="26"/>
  <c r="A347" i="33"/>
  <c r="A283" i="23"/>
  <c r="A382" i="31"/>
  <c r="A86" i="31"/>
  <c r="A161" i="26"/>
  <c r="A353" i="33"/>
  <c r="A386" i="26"/>
  <c r="A103" i="23"/>
  <c r="A247" i="33"/>
  <c r="A353" i="26"/>
  <c r="A444" i="26"/>
  <c r="A56" i="23"/>
  <c r="A326" i="33"/>
  <c r="A241" i="23"/>
  <c r="A53" i="26"/>
  <c r="A188" i="23"/>
  <c r="A331" i="33"/>
  <c r="A286" i="23"/>
  <c r="A372" i="26"/>
  <c r="A250" i="23"/>
  <c r="A128" i="26"/>
  <c r="A255" i="33"/>
  <c r="A115" i="33"/>
  <c r="A158" i="23"/>
  <c r="A131" i="31"/>
  <c r="A388" i="26"/>
  <c r="A245" i="33"/>
  <c r="A157" i="23"/>
  <c r="A301" i="31"/>
  <c r="A319" i="31"/>
  <c r="A231" i="23"/>
  <c r="A62" i="33"/>
  <c r="A228" i="31"/>
  <c r="A397" i="26"/>
  <c r="A480" i="26"/>
  <c r="A244" i="33"/>
  <c r="A38" i="31"/>
  <c r="A210" i="23"/>
  <c r="A39" i="23"/>
  <c r="A463" i="31"/>
  <c r="A83" i="26"/>
  <c r="A27" i="31"/>
  <c r="A60" i="31"/>
  <c r="A308" i="31"/>
  <c r="A90" i="26"/>
  <c r="A149" i="33"/>
  <c r="A347" i="26"/>
  <c r="A360" i="31"/>
  <c r="A317" i="26"/>
  <c r="A196" i="31"/>
  <c r="A401" i="26"/>
  <c r="A309" i="31"/>
  <c r="A245" i="31"/>
  <c r="A174" i="31"/>
  <c r="A185" i="33"/>
  <c r="A321" i="33"/>
  <c r="A215" i="31"/>
  <c r="A194" i="26"/>
  <c r="A306" i="26"/>
  <c r="A141" i="31"/>
  <c r="A299" i="26"/>
  <c r="A336" i="31"/>
  <c r="A429" i="26"/>
  <c r="A458" i="26"/>
  <c r="A61" i="23"/>
  <c r="A245" i="23"/>
  <c r="A372" i="31"/>
  <c r="A276" i="31"/>
  <c r="A84" i="33"/>
  <c r="A256" i="23"/>
  <c r="A32" i="31"/>
  <c r="A468" i="31"/>
  <c r="A286" i="33"/>
  <c r="A196" i="26"/>
  <c r="A486" i="31"/>
  <c r="A364" i="33"/>
  <c r="A179" i="23"/>
  <c r="A298" i="26"/>
  <c r="A376" i="26"/>
  <c r="A35" i="33"/>
  <c r="A157" i="26"/>
  <c r="A126" i="26"/>
  <c r="A333" i="31"/>
  <c r="A145" i="33"/>
  <c r="A359" i="26"/>
  <c r="A205" i="23"/>
  <c r="A274" i="26"/>
  <c r="A166" i="26"/>
  <c r="A332" i="33"/>
  <c r="A98" i="26"/>
  <c r="A283" i="31"/>
  <c r="A259" i="33"/>
  <c r="A287" i="23"/>
  <c r="A373" i="31"/>
  <c r="A117" i="33"/>
  <c r="A354" i="33"/>
  <c r="A181" i="33"/>
  <c r="A72" i="26"/>
  <c r="A270" i="23"/>
  <c r="A187" i="23"/>
  <c r="A127" i="33"/>
  <c r="A159" i="33"/>
  <c r="A482" i="26"/>
  <c r="A465" i="31"/>
  <c r="A129" i="26"/>
  <c r="A298" i="33"/>
  <c r="A150" i="31"/>
  <c r="A334" i="31"/>
  <c r="A183" i="26"/>
  <c r="A160" i="23"/>
  <c r="A368" i="26"/>
  <c r="A88" i="26"/>
  <c r="A153" i="26"/>
  <c r="A357" i="33"/>
  <c r="A275" i="23"/>
  <c r="A445" i="26"/>
  <c r="A372" i="33"/>
  <c r="A261" i="26"/>
  <c r="A106" i="26"/>
  <c r="A117" i="23"/>
  <c r="A308" i="26"/>
  <c r="A46" i="26"/>
  <c r="A28" i="31"/>
  <c r="A176" i="33"/>
  <c r="A12" i="23"/>
  <c r="A249" i="26"/>
  <c r="A315" i="33"/>
  <c r="A322" i="31"/>
  <c r="A265" i="23"/>
  <c r="A405" i="26"/>
  <c r="A141" i="26"/>
  <c r="A132" i="23"/>
  <c r="A177" i="31"/>
  <c r="A458" i="31"/>
  <c r="A278" i="26"/>
  <c r="A100" i="23"/>
  <c r="A167" i="26"/>
  <c r="A371" i="33"/>
  <c r="A228" i="33"/>
  <c r="A295" i="26"/>
  <c r="A253" i="26"/>
  <c r="A294" i="33"/>
  <c r="A312" i="31"/>
  <c r="A435" i="26"/>
  <c r="A156" i="26"/>
  <c r="A42" i="23"/>
  <c r="A30" i="26"/>
  <c r="A61" i="33"/>
  <c r="A32" i="23"/>
  <c r="A34" i="33"/>
  <c r="A33" i="26"/>
  <c r="A77" i="26"/>
  <c r="A240" i="23"/>
  <c r="A164" i="23"/>
  <c r="A43" i="33"/>
  <c r="A381" i="33"/>
  <c r="A376" i="33"/>
  <c r="A93" i="31"/>
  <c r="A283" i="26"/>
  <c r="A289" i="33"/>
  <c r="A21" i="31"/>
  <c r="A85" i="26"/>
  <c r="A282" i="23"/>
  <c r="A91" i="33"/>
  <c r="A60" i="26"/>
  <c r="A232" i="33"/>
  <c r="A149" i="23"/>
  <c r="A255" i="23"/>
  <c r="A13" i="31"/>
  <c r="A450" i="31"/>
  <c r="A469" i="26"/>
  <c r="A38" i="33"/>
  <c r="A133" i="31"/>
  <c r="A293" i="31"/>
  <c r="A344" i="26"/>
  <c r="A456" i="26"/>
  <c r="A151" i="23"/>
  <c r="A378" i="31"/>
  <c r="A208" i="31"/>
  <c r="A62" i="31"/>
  <c r="A233" i="26"/>
  <c r="A410" i="26"/>
  <c r="A209" i="33"/>
  <c r="A37" i="26"/>
  <c r="A75" i="26"/>
  <c r="A229" i="31"/>
  <c r="A391" i="26"/>
  <c r="A40" i="26"/>
  <c r="A57" i="26"/>
  <c r="A485" i="26"/>
  <c r="A235" i="26"/>
  <c r="A303" i="26"/>
  <c r="A37" i="33"/>
  <c r="A83" i="31"/>
  <c r="A86" i="33"/>
  <c r="A164" i="33"/>
  <c r="A187" i="33"/>
  <c r="A287" i="31"/>
  <c r="A215" i="26"/>
  <c r="A310" i="31"/>
  <c r="A107" i="33"/>
  <c r="A177" i="33"/>
  <c r="A268" i="31"/>
  <c r="A281" i="23"/>
  <c r="A248" i="23"/>
  <c r="A189" i="23"/>
  <c r="A317" i="33"/>
  <c r="A463" i="26"/>
  <c r="A41" i="23"/>
  <c r="A186" i="26"/>
  <c r="A116" i="31"/>
  <c r="A53" i="23"/>
  <c r="A209" i="26"/>
  <c r="A229" i="26"/>
  <c r="A436" i="31"/>
  <c r="A314" i="31"/>
  <c r="A277" i="33"/>
  <c r="A207" i="33"/>
  <c r="A270" i="33"/>
  <c r="A129" i="23"/>
  <c r="A124" i="31"/>
  <c r="A17" i="26"/>
  <c r="A477" i="31"/>
  <c r="A231" i="31"/>
  <c r="A11" i="26"/>
  <c r="A343" i="31"/>
  <c r="A217" i="23"/>
  <c r="A395" i="31"/>
  <c r="A39" i="33"/>
  <c r="A279" i="26"/>
  <c r="A29" i="23"/>
  <c r="A27" i="26"/>
  <c r="A258" i="31"/>
  <c r="A56" i="31"/>
  <c r="A163" i="26"/>
  <c r="A136" i="23"/>
  <c r="A256" i="31"/>
  <c r="A144" i="31"/>
  <c r="A292" i="23"/>
  <c r="A139" i="23"/>
  <c r="A218" i="23"/>
  <c r="A78" i="26"/>
  <c r="A368" i="33"/>
  <c r="A41" i="31"/>
  <c r="A242" i="23"/>
  <c r="A480" i="31"/>
  <c r="A190" i="31"/>
  <c r="A266" i="31"/>
  <c r="A72" i="33"/>
  <c r="A454" i="26"/>
  <c r="A248" i="31"/>
  <c r="A319" i="33"/>
  <c r="A286" i="26"/>
  <c r="A239" i="31"/>
  <c r="A178" i="26"/>
  <c r="A406" i="26"/>
  <c r="A140" i="26"/>
  <c r="A392" i="26"/>
  <c r="A335" i="33"/>
  <c r="A204" i="31"/>
  <c r="A175" i="23"/>
  <c r="A444" i="31"/>
  <c r="A123" i="33"/>
  <c r="A64" i="31"/>
  <c r="A398" i="31"/>
  <c r="A74" i="26"/>
  <c r="A103" i="33"/>
  <c r="A424" i="26"/>
  <c r="A249" i="31"/>
  <c r="A186" i="23"/>
  <c r="A392" i="31"/>
  <c r="A208" i="33"/>
  <c r="A455" i="31"/>
  <c r="A130" i="31"/>
  <c r="A71" i="31"/>
  <c r="A88" i="33"/>
  <c r="A295" i="31"/>
  <c r="A109" i="26"/>
  <c r="A50" i="23"/>
  <c r="A149" i="31"/>
  <c r="A274" i="33"/>
  <c r="A257" i="33"/>
  <c r="A62" i="23"/>
  <c r="A343" i="33"/>
  <c r="A236" i="26"/>
  <c r="A234" i="26"/>
  <c r="A104" i="23"/>
  <c r="A233" i="33"/>
  <c r="A253" i="31"/>
  <c r="A375" i="33"/>
  <c r="A156" i="31"/>
  <c r="A30" i="23"/>
  <c r="A130" i="26"/>
  <c r="A367" i="31"/>
  <c r="A421" i="26"/>
  <c r="A312" i="33"/>
  <c r="A109" i="23"/>
  <c r="A168" i="33"/>
  <c r="A323" i="26"/>
  <c r="A349" i="26"/>
  <c r="A258" i="33"/>
  <c r="A48" i="33"/>
  <c r="A223" i="31"/>
  <c r="A49" i="23"/>
  <c r="A356" i="33"/>
  <c r="A208" i="23"/>
  <c r="A146" i="23"/>
  <c r="A271" i="33"/>
  <c r="A342" i="26"/>
  <c r="A166" i="23"/>
  <c r="A368" i="31"/>
  <c r="A139" i="26"/>
  <c r="A310" i="33"/>
  <c r="A274" i="23"/>
  <c r="A119" i="23"/>
  <c r="A206" i="31"/>
  <c r="A78" i="31"/>
  <c r="A386" i="31"/>
  <c r="A164" i="31"/>
  <c r="A145" i="23"/>
  <c r="A50" i="31"/>
  <c r="A275" i="31"/>
  <c r="A100" i="26"/>
  <c r="A411" i="31"/>
  <c r="A63" i="23"/>
  <c r="A290" i="33"/>
  <c r="A257" i="26"/>
  <c r="A373" i="33"/>
  <c r="A204" i="23"/>
  <c r="A44" i="33"/>
  <c r="A34" i="23"/>
  <c r="A84" i="23"/>
  <c r="A162" i="31"/>
  <c r="A381" i="26"/>
  <c r="A74" i="23"/>
  <c r="A31" i="23"/>
  <c r="A465" i="26"/>
  <c r="A33" i="23"/>
  <c r="A142" i="26"/>
  <c r="A481" i="26"/>
  <c r="A375" i="31"/>
  <c r="A36" i="26"/>
  <c r="A285" i="23"/>
  <c r="A346" i="33"/>
  <c r="A451" i="31"/>
  <c r="A84" i="31"/>
  <c r="A227" i="23"/>
  <c r="A140" i="33"/>
  <c r="A131" i="23"/>
  <c r="A317" i="31"/>
  <c r="A316" i="26"/>
  <c r="A89" i="26"/>
  <c r="A418" i="26"/>
  <c r="A138" i="23"/>
  <c r="A213" i="23"/>
  <c r="A204" i="33"/>
  <c r="A63" i="31"/>
  <c r="A132" i="26"/>
  <c r="A80" i="31"/>
  <c r="A212" i="23"/>
  <c r="A146" i="31"/>
  <c r="A194" i="33"/>
  <c r="A11" i="23"/>
  <c r="A42" i="31"/>
  <c r="A14" i="26"/>
  <c r="A185" i="26"/>
  <c r="A22" i="33"/>
  <c r="A322" i="33"/>
  <c r="A297" i="26"/>
  <c r="A477" i="26"/>
  <c r="A273" i="33"/>
  <c r="A120" i="31"/>
  <c r="A68" i="33"/>
  <c r="A288" i="26"/>
  <c r="A85" i="33"/>
  <c r="A171" i="31"/>
  <c r="A87" i="31"/>
  <c r="A260" i="33"/>
  <c r="A109" i="33"/>
  <c r="A221" i="31"/>
  <c r="A447" i="31"/>
  <c r="A434" i="31"/>
  <c r="A80" i="33"/>
  <c r="A448" i="31"/>
  <c r="A263" i="31"/>
  <c r="A219" i="33"/>
  <c r="A171" i="23"/>
  <c r="A345" i="31"/>
  <c r="A226" i="31"/>
  <c r="A324" i="31"/>
  <c r="A110" i="23"/>
  <c r="A461" i="31"/>
  <c r="A17" i="33"/>
  <c r="A170" i="23"/>
  <c r="A296" i="31"/>
  <c r="A362" i="26"/>
  <c r="A474" i="31"/>
  <c r="A207" i="26"/>
  <c r="A382" i="33"/>
  <c r="A188" i="31"/>
  <c r="A173" i="33"/>
  <c r="A195" i="26"/>
  <c r="A254" i="26"/>
  <c r="A298" i="31"/>
  <c r="A172" i="31"/>
  <c r="A170" i="26"/>
  <c r="A439" i="31"/>
  <c r="A441" i="26"/>
  <c r="A201" i="26"/>
  <c r="A19" i="23"/>
  <c r="A152" i="23"/>
  <c r="A173" i="26"/>
  <c r="A449" i="31"/>
  <c r="A65" i="33"/>
  <c r="A422" i="26"/>
  <c r="A285" i="31"/>
  <c r="A137" i="31"/>
  <c r="A239" i="26"/>
  <c r="A506" i="26"/>
  <c r="A494" i="26"/>
  <c r="A143" i="26"/>
  <c r="A66" i="23"/>
  <c r="A446" i="31"/>
  <c r="A116" i="33"/>
  <c r="A106" i="23"/>
  <c r="A259" i="23"/>
  <c r="A215" i="23"/>
  <c r="A232" i="23"/>
  <c r="A246" i="33"/>
  <c r="A423" i="31"/>
  <c r="A170" i="31"/>
  <c r="A451" i="26"/>
  <c r="A243" i="33"/>
  <c r="A92" i="33"/>
  <c r="A211" i="31"/>
  <c r="A430" i="26"/>
  <c r="A70" i="31"/>
  <c r="A399" i="31"/>
  <c r="A53" i="33"/>
  <c r="A12" i="26"/>
  <c r="A334" i="33"/>
  <c r="A305" i="33"/>
  <c r="A74" i="33"/>
  <c r="A337" i="33"/>
  <c r="A193" i="26"/>
  <c r="A289" i="23"/>
  <c r="A462" i="26"/>
  <c r="A124" i="26"/>
  <c r="A182" i="31"/>
  <c r="A79" i="23"/>
  <c r="A329" i="26"/>
  <c r="A333" i="33"/>
  <c r="A92" i="23"/>
  <c r="A246" i="23"/>
  <c r="A59" i="26"/>
  <c r="A134" i="31"/>
  <c r="A22" i="31"/>
  <c r="A97" i="26"/>
  <c r="A472" i="26"/>
  <c r="A281" i="26"/>
  <c r="A127" i="26"/>
  <c r="A307" i="31"/>
  <c r="A304" i="26"/>
  <c r="A145" i="26"/>
  <c r="A176" i="23"/>
  <c r="A113" i="26"/>
  <c r="A159" i="26"/>
  <c r="A186" i="31"/>
  <c r="A171" i="33"/>
  <c r="A166" i="31"/>
  <c r="A14" i="23"/>
  <c r="A252" i="26"/>
  <c r="A464" i="26"/>
  <c r="A306" i="31"/>
  <c r="A75" i="31"/>
  <c r="A16" i="23"/>
  <c r="A260" i="31"/>
  <c r="A382" i="26"/>
  <c r="A304" i="33"/>
  <c r="A65" i="23"/>
  <c r="A280" i="31"/>
  <c r="A45" i="33"/>
  <c r="A90" i="33"/>
  <c r="A479" i="26"/>
  <c r="A218" i="26"/>
  <c r="A481" i="31"/>
  <c r="A299" i="31"/>
  <c r="A63" i="26"/>
  <c r="A307" i="33"/>
  <c r="A450" i="26"/>
  <c r="A198" i="23"/>
  <c r="A146" i="26"/>
  <c r="A146" i="33"/>
  <c r="A199" i="31"/>
  <c r="A260" i="26"/>
  <c r="A470" i="31"/>
  <c r="A180" i="23"/>
  <c r="A21" i="26"/>
  <c r="A167" i="33"/>
  <c r="A233" i="31"/>
  <c r="A12" i="33"/>
  <c r="A15" i="33"/>
  <c r="A216" i="33"/>
  <c r="A36" i="33"/>
  <c r="A205" i="26"/>
  <c r="A28" i="23"/>
  <c r="A359" i="33"/>
  <c r="A91" i="23"/>
  <c r="A320" i="26"/>
  <c r="A340" i="26"/>
  <c r="A302" i="31"/>
  <c r="A281" i="33"/>
  <c r="A110" i="31"/>
  <c r="A65" i="31"/>
  <c r="A26" i="23"/>
  <c r="A222" i="33"/>
  <c r="A333" i="26"/>
  <c r="A47" i="26"/>
  <c r="A448" i="26"/>
  <c r="A503" i="26"/>
  <c r="A352" i="26"/>
  <c r="A422" i="31"/>
  <c r="A121" i="33"/>
  <c r="A114" i="33"/>
  <c r="A224" i="31"/>
  <c r="A51" i="33"/>
  <c r="A54" i="26"/>
  <c r="A51" i="31"/>
  <c r="A138" i="31"/>
  <c r="A350" i="33"/>
  <c r="A60" i="23"/>
  <c r="A270" i="26"/>
  <c r="A488" i="26"/>
  <c r="A268" i="23"/>
  <c r="A389" i="31"/>
  <c r="A122" i="31"/>
  <c r="A254" i="31"/>
  <c r="A272" i="33"/>
  <c r="A93" i="33"/>
  <c r="A232" i="26"/>
  <c r="A46" i="23"/>
  <c r="A116" i="26"/>
  <c r="A211" i="33"/>
  <c r="A161" i="33"/>
  <c r="A94" i="23"/>
  <c r="A265" i="26"/>
  <c r="A407" i="26"/>
  <c r="A327" i="33"/>
  <c r="A181" i="23"/>
  <c r="A46" i="33"/>
  <c r="A491" i="26"/>
  <c r="A34" i="31"/>
  <c r="A501" i="26"/>
  <c r="A496" i="31"/>
  <c r="A252" i="33"/>
  <c r="A277" i="26"/>
  <c r="A394" i="31"/>
  <c r="A23" i="23"/>
  <c r="A424" i="31"/>
  <c r="A263" i="23"/>
  <c r="A111" i="23"/>
  <c r="A390" i="26"/>
  <c r="A169" i="31"/>
  <c r="A200" i="26"/>
  <c r="A181" i="31"/>
  <c r="A42" i="26"/>
  <c r="A225" i="23"/>
  <c r="A369" i="26"/>
  <c r="A121" i="26"/>
  <c r="A278" i="23"/>
  <c r="A383" i="31"/>
  <c r="A467" i="26"/>
  <c r="A216" i="23"/>
  <c r="A35" i="31"/>
  <c r="A147" i="31"/>
  <c r="A29" i="26"/>
  <c r="A433" i="26"/>
  <c r="A411" i="26"/>
  <c r="A210" i="31"/>
  <c r="A132" i="31"/>
  <c r="A252" i="31"/>
  <c r="A136" i="31"/>
  <c r="A183" i="23"/>
  <c r="A214" i="31"/>
  <c r="A282" i="33"/>
  <c r="A139" i="33"/>
  <c r="A371" i="26"/>
  <c r="A91" i="31"/>
  <c r="A237" i="26"/>
  <c r="A407" i="31"/>
  <c r="A100" i="31"/>
  <c r="A355" i="33"/>
  <c r="A459" i="26"/>
  <c r="A50" i="26"/>
  <c r="A81" i="26"/>
  <c r="A108" i="31"/>
  <c r="A311" i="33"/>
  <c r="A190" i="33"/>
  <c r="A471" i="31"/>
  <c r="A285" i="26"/>
  <c r="A192" i="23"/>
  <c r="A262" i="33"/>
  <c r="A280" i="23"/>
  <c r="A470" i="26"/>
  <c r="A294" i="26"/>
  <c r="A366" i="33"/>
  <c r="A244" i="26"/>
  <c r="A175" i="31"/>
  <c r="A273" i="31"/>
  <c r="A227" i="26"/>
  <c r="A231" i="26"/>
  <c r="A489" i="26"/>
  <c r="A203" i="23"/>
  <c r="A341" i="31"/>
  <c r="A179" i="31"/>
  <c r="A321" i="31"/>
  <c r="A500" i="26"/>
  <c r="A199" i="33"/>
  <c r="A288" i="33"/>
  <c r="A45" i="31"/>
  <c r="A289" i="26"/>
  <c r="A57" i="23"/>
  <c r="A162" i="23"/>
  <c r="A131" i="26"/>
  <c r="A91" i="26"/>
  <c r="A150" i="33"/>
  <c r="A297" i="31"/>
  <c r="A334" i="26"/>
  <c r="A129" i="33"/>
  <c r="A391" i="31"/>
  <c r="A105" i="23"/>
  <c r="A79" i="31"/>
  <c r="A203" i="31"/>
  <c r="A133" i="33"/>
  <c r="A370" i="26"/>
  <c r="A280" i="33"/>
  <c r="A202" i="23"/>
  <c r="A495" i="31"/>
  <c r="A120" i="26"/>
  <c r="A338" i="31"/>
  <c r="A157" i="31"/>
  <c r="A99" i="33"/>
  <c r="A403" i="26"/>
  <c r="A126" i="31"/>
  <c r="A144" i="26"/>
  <c r="A25" i="23"/>
  <c r="A193" i="23"/>
  <c r="A404" i="26"/>
  <c r="A442" i="31"/>
  <c r="A67" i="33"/>
  <c r="A250" i="26"/>
  <c r="A199" i="26"/>
  <c r="A367" i="26"/>
  <c r="A16" i="31"/>
  <c r="A87" i="33"/>
  <c r="A118" i="23"/>
  <c r="A263" i="26"/>
  <c r="A130" i="23"/>
  <c r="A315" i="31"/>
  <c r="A140" i="31"/>
  <c r="A151" i="31"/>
  <c r="A175" i="26"/>
  <c r="A104" i="33"/>
  <c r="A415" i="26"/>
  <c r="A61" i="26"/>
  <c r="A274" i="31"/>
  <c r="A36" i="31"/>
  <c r="A259" i="26"/>
  <c r="A198" i="26"/>
  <c r="A180" i="33"/>
  <c r="A204" i="26"/>
  <c r="A328" i="26"/>
  <c r="A365" i="26"/>
  <c r="A18" i="31"/>
  <c r="A437" i="26"/>
  <c r="A47" i="31"/>
  <c r="A363" i="26"/>
  <c r="A235" i="33"/>
  <c r="A81" i="31"/>
  <c r="A95" i="26"/>
  <c r="A183" i="33"/>
  <c r="A339" i="26"/>
  <c r="A238" i="26"/>
  <c r="A311" i="26"/>
  <c r="A188" i="33"/>
  <c r="A134" i="26"/>
  <c r="A373" i="26"/>
  <c r="A142" i="33"/>
  <c r="A287" i="26"/>
  <c r="A70" i="23"/>
  <c r="A92" i="31"/>
  <c r="A35" i="23"/>
  <c r="A230" i="33"/>
  <c r="A96" i="33"/>
  <c r="A351" i="31"/>
  <c r="A210" i="26"/>
  <c r="A197" i="26"/>
  <c r="A182" i="26"/>
  <c r="A211" i="23"/>
  <c r="A227" i="31"/>
  <c r="A248" i="33"/>
  <c r="A380" i="31"/>
  <c r="A402" i="26"/>
  <c r="A169" i="33"/>
  <c r="A264" i="26"/>
  <c r="A409" i="26"/>
  <c r="A105" i="33"/>
  <c r="A396" i="26"/>
  <c r="A73" i="31"/>
  <c r="A362" i="33"/>
  <c r="A135" i="33"/>
  <c r="A459" i="31"/>
  <c r="A71" i="23"/>
  <c r="A43" i="26"/>
  <c r="A254" i="23"/>
  <c r="A85" i="23"/>
  <c r="A122" i="33"/>
  <c r="A360" i="33"/>
  <c r="A243" i="23"/>
  <c r="A47" i="23"/>
  <c r="A497" i="26"/>
  <c r="A69" i="31"/>
  <c r="A399" i="26"/>
  <c r="A97" i="33"/>
  <c r="A440" i="26"/>
  <c r="A154" i="26"/>
  <c r="A431" i="26"/>
  <c r="A24" i="31"/>
  <c r="A125" i="31"/>
  <c r="A249" i="33"/>
  <c r="A238" i="33"/>
  <c r="A345" i="33"/>
  <c r="A75" i="33"/>
  <c r="A479" i="31"/>
  <c r="A125" i="26"/>
  <c r="A49" i="31"/>
  <c r="A212" i="33"/>
  <c r="A222" i="31"/>
  <c r="A200" i="23"/>
  <c r="A224" i="33"/>
  <c r="A483" i="31"/>
  <c r="A378" i="26"/>
  <c r="A247" i="23"/>
  <c r="A267" i="23"/>
  <c r="A264" i="31"/>
  <c r="A135" i="31"/>
  <c r="A473" i="26"/>
  <c r="A158" i="26"/>
  <c r="A405" i="31"/>
  <c r="A67" i="23"/>
  <c r="A288" i="23"/>
  <c r="A123" i="26"/>
  <c r="A21" i="23"/>
  <c r="A106" i="31"/>
  <c r="A400" i="26"/>
  <c r="A54" i="23"/>
  <c r="A305" i="26"/>
  <c r="A128" i="31"/>
  <c r="A67" i="31"/>
  <c r="A366" i="31"/>
  <c r="A272" i="26"/>
  <c r="A287" i="33"/>
  <c r="A111" i="26"/>
  <c r="A60" i="33"/>
  <c r="A99" i="23"/>
  <c r="A267" i="33"/>
  <c r="A126" i="33"/>
  <c r="A393" i="31"/>
  <c r="A21" i="33"/>
  <c r="A452" i="31"/>
  <c r="A308" i="33"/>
  <c r="A142" i="23"/>
  <c r="A178" i="33"/>
  <c r="A251" i="23"/>
  <c r="A111" i="31"/>
  <c r="A14" i="31"/>
  <c r="A327" i="26"/>
  <c r="A265" i="33"/>
  <c r="A417" i="26"/>
  <c r="A42" i="33"/>
  <c r="A224" i="26"/>
  <c r="A51" i="23"/>
  <c r="A191" i="33"/>
  <c r="A48" i="23"/>
  <c r="A155" i="26"/>
  <c r="A216" i="26"/>
  <c r="A307" i="26"/>
  <c r="A176" i="31"/>
  <c r="A113" i="33"/>
  <c r="A197" i="33"/>
  <c r="A206" i="33"/>
  <c r="A151" i="26"/>
  <c r="A201" i="23"/>
  <c r="A366" i="26"/>
  <c r="A163" i="31"/>
  <c r="A293" i="33"/>
  <c r="A28" i="26"/>
  <c r="A280" i="26"/>
  <c r="A256" i="33"/>
  <c r="A13" i="33"/>
  <c r="A118" i="26"/>
  <c r="A367" i="33"/>
  <c r="A29" i="33"/>
  <c r="A468" i="26"/>
  <c r="A225" i="33"/>
  <c r="A105" i="26"/>
  <c r="A485" i="31"/>
  <c r="A408" i="26"/>
  <c r="A190" i="26"/>
  <c r="A81" i="33"/>
  <c r="A45" i="26"/>
  <c r="A360" i="26"/>
  <c r="A68" i="26"/>
  <c r="A447" i="26"/>
  <c r="A49" i="26"/>
  <c r="A339" i="31"/>
  <c r="A294" i="31"/>
  <c r="A374" i="26"/>
  <c r="A162" i="33"/>
  <c r="A252" i="23"/>
  <c r="A117" i="31"/>
  <c r="A92" i="26"/>
  <c r="A318" i="31"/>
  <c r="A344" i="33"/>
  <c r="A363" i="33"/>
  <c r="A169" i="23"/>
  <c r="A336" i="26"/>
  <c r="A18" i="23"/>
  <c r="A377" i="26"/>
  <c r="A237" i="23"/>
  <c r="A175" i="33"/>
  <c r="A220" i="31"/>
  <c r="A473" i="31"/>
  <c r="A104" i="31"/>
  <c r="A237" i="33"/>
  <c r="A51" i="26"/>
  <c r="A108" i="23"/>
  <c r="A154" i="31"/>
  <c r="A20" i="33"/>
  <c r="A453" i="31"/>
  <c r="A31" i="33"/>
  <c r="A241" i="26"/>
  <c r="A139" i="31"/>
  <c r="A184" i="26"/>
  <c r="A410" i="31"/>
  <c r="A118" i="31"/>
  <c r="A217" i="33"/>
  <c r="A364" i="31"/>
  <c r="A490" i="31"/>
  <c r="A27" i="33"/>
  <c r="A488" i="31"/>
  <c r="A18" i="26"/>
  <c r="A41" i="33"/>
  <c r="A275" i="33"/>
  <c r="A147" i="23"/>
  <c r="A236" i="33"/>
  <c r="A288" i="31"/>
  <c r="A246" i="31"/>
  <c r="A31" i="26"/>
  <c r="A352" i="31"/>
  <c r="A374" i="33"/>
  <c r="A159" i="23"/>
  <c r="A66" i="31"/>
  <c r="A96" i="23"/>
  <c r="A203" i="26"/>
  <c r="A442" i="26"/>
  <c r="A443" i="31"/>
  <c r="A32" i="26"/>
  <c r="A213" i="33"/>
  <c r="A86" i="26"/>
  <c r="A205" i="31"/>
  <c r="A154" i="23"/>
  <c r="A292" i="26"/>
  <c r="A343" i="26"/>
  <c r="A82" i="23"/>
  <c r="A234" i="31"/>
  <c r="A125" i="23"/>
  <c r="A35" i="26"/>
  <c r="A279" i="31"/>
  <c r="A397" i="31"/>
  <c r="A425" i="31"/>
  <c r="A390" i="31"/>
  <c r="A70" i="33"/>
  <c r="A48" i="26"/>
  <c r="A247" i="26"/>
  <c r="A28" i="33"/>
  <c r="A106" i="33"/>
  <c r="A69" i="23"/>
  <c r="A318" i="33"/>
  <c r="A133" i="23"/>
  <c r="A77" i="33"/>
  <c r="A228" i="23"/>
  <c r="A82" i="33"/>
  <c r="A158" i="31"/>
  <c r="A284" i="23"/>
  <c r="A77" i="31"/>
  <c r="A83" i="33"/>
  <c r="A242" i="26"/>
  <c r="A351" i="26"/>
  <c r="A313" i="31"/>
  <c r="A34" i="26"/>
  <c r="A120" i="33"/>
  <c r="A166" i="33"/>
  <c r="A499" i="26"/>
  <c r="A167" i="23"/>
  <c r="A300" i="31"/>
  <c r="A492" i="26"/>
  <c r="A209" i="23"/>
  <c r="A198" i="31"/>
  <c r="A213" i="26"/>
  <c r="A359" i="31"/>
  <c r="A191" i="23"/>
  <c r="A209" i="31"/>
  <c r="A205" i="33"/>
  <c r="A130" i="33"/>
  <c r="A149" i="26"/>
  <c r="A160" i="26"/>
  <c r="A26" i="33"/>
  <c r="A99" i="26"/>
  <c r="A290" i="31"/>
  <c r="A169" i="26"/>
  <c r="A302" i="26"/>
  <c r="A44" i="26"/>
  <c r="A207" i="31"/>
  <c r="A370" i="33"/>
  <c r="A143" i="23"/>
  <c r="A258" i="23"/>
  <c r="A165" i="26"/>
  <c r="A332" i="26"/>
  <c r="A24" i="33"/>
  <c r="A395" i="26"/>
  <c r="A346" i="31"/>
  <c r="A119" i="31"/>
  <c r="A416" i="31"/>
  <c r="A53" i="31"/>
  <c r="A218" i="31"/>
  <c r="A174" i="26"/>
  <c r="A151" i="33"/>
  <c r="A220" i="26"/>
  <c r="A324" i="33"/>
  <c r="A455" i="26"/>
  <c r="A144" i="33"/>
  <c r="A168" i="23"/>
  <c r="A235" i="31"/>
  <c r="A174" i="23"/>
  <c r="A180" i="26"/>
  <c r="A40" i="33"/>
  <c r="A361" i="31"/>
  <c r="A102" i="33"/>
  <c r="A64" i="26"/>
  <c r="A277" i="31"/>
  <c r="A389" i="26"/>
  <c r="A329" i="33"/>
  <c r="A246" i="26"/>
  <c r="A127" i="23"/>
  <c r="A103" i="31"/>
  <c r="A313" i="26"/>
  <c r="A262" i="26"/>
  <c r="A350" i="31"/>
  <c r="A147" i="26"/>
  <c r="A269" i="33"/>
  <c r="A102" i="26"/>
  <c r="A248" i="26"/>
  <c r="A43" i="31"/>
  <c r="A330" i="33"/>
  <c r="A155" i="33"/>
  <c r="A469" i="31"/>
  <c r="A19" i="33"/>
  <c r="A328" i="31"/>
  <c r="A302" i="33"/>
  <c r="A206" i="23"/>
  <c r="A284" i="33"/>
  <c r="A62" i="26"/>
  <c r="A67" i="26"/>
  <c r="A285" i="33"/>
  <c r="A24" i="26"/>
  <c r="A273" i="23"/>
  <c r="A314" i="26"/>
  <c r="A482" i="31"/>
  <c r="A350" i="26"/>
  <c r="A235" i="23"/>
  <c r="A243" i="26"/>
  <c r="A155" i="23"/>
  <c r="A461" i="26"/>
  <c r="A371" i="31"/>
  <c r="A96" i="31"/>
  <c r="A110" i="26"/>
  <c r="A140" i="23"/>
  <c r="A171" i="26"/>
  <c r="A218" i="33"/>
  <c r="A258" i="26"/>
  <c r="A377" i="31"/>
  <c r="A55" i="23"/>
  <c r="A112" i="31"/>
  <c r="A161" i="23"/>
  <c r="A94" i="31"/>
  <c r="A52" i="31"/>
  <c r="A303" i="33"/>
  <c r="A255" i="26"/>
  <c r="A148" i="23"/>
  <c r="A324" i="26"/>
  <c r="A414" i="31"/>
  <c r="A365" i="31"/>
  <c r="A478" i="31"/>
  <c r="A262" i="23"/>
  <c r="A251" i="31"/>
  <c r="A38" i="23"/>
  <c r="A456" i="31"/>
  <c r="A83" i="23"/>
  <c r="A300" i="33"/>
  <c r="A136" i="26"/>
  <c r="A358" i="26"/>
  <c r="A37" i="23"/>
  <c r="A16" i="26"/>
  <c r="A266" i="23"/>
  <c r="A152" i="31"/>
  <c r="A332" i="31"/>
  <c r="A257" i="23"/>
  <c r="A58" i="33"/>
  <c r="A116" i="23"/>
  <c r="A272" i="31"/>
  <c r="A186" i="33"/>
  <c r="A153" i="33"/>
  <c r="A58" i="31"/>
  <c r="A112" i="26"/>
  <c r="A87" i="23"/>
  <c r="A18" i="33"/>
  <c r="A144" i="23"/>
  <c r="A348" i="33"/>
  <c r="A418" i="31"/>
  <c r="A426" i="26"/>
  <c r="A257" i="31"/>
  <c r="A26" i="26"/>
  <c r="A61" i="31"/>
  <c r="A265" i="31"/>
  <c r="A348" i="31"/>
  <c r="A385" i="26"/>
  <c r="A472" i="31"/>
  <c r="A226" i="33"/>
  <c r="A462" i="31"/>
  <c r="A493" i="26"/>
  <c r="A330" i="31"/>
  <c r="A279" i="23"/>
  <c r="A394" i="26"/>
  <c r="A261" i="23"/>
  <c r="A286" i="31"/>
  <c r="A59" i="31"/>
  <c r="A417" i="31"/>
  <c r="A244" i="31"/>
  <c r="A383" i="33"/>
  <c r="A150" i="23"/>
  <c r="A38" i="26"/>
  <c r="A419" i="31"/>
  <c r="A85" i="31"/>
  <c r="A114" i="26"/>
  <c r="A420" i="31"/>
  <c r="A217" i="26"/>
  <c r="A314" i="33"/>
  <c r="A46" i="31"/>
  <c r="A65" i="26"/>
  <c r="A337" i="26"/>
  <c r="A104" i="26"/>
  <c r="A338" i="33"/>
  <c r="A225" i="26"/>
  <c r="A484" i="26"/>
  <c r="A378" i="33"/>
  <c r="A231" i="33"/>
  <c r="A199" i="23"/>
  <c r="A168" i="31"/>
  <c r="A79" i="33"/>
  <c r="A325" i="26"/>
  <c r="A196" i="33"/>
  <c r="A240" i="31"/>
  <c r="A179" i="33"/>
  <c r="A52" i="23"/>
  <c r="A380" i="26"/>
  <c r="A98" i="33"/>
  <c r="A95" i="33"/>
  <c r="A449" i="26"/>
  <c r="A241" i="31"/>
  <c r="A296" i="23"/>
  <c r="A385" i="31"/>
  <c r="A354" i="31"/>
  <c r="A20" i="31"/>
  <c r="A271" i="26"/>
  <c r="A240" i="33"/>
  <c r="A251" i="26"/>
  <c r="A15" i="23"/>
  <c r="A230" i="31"/>
  <c r="A262" i="31"/>
  <c r="A76" i="23"/>
  <c r="A433" i="31"/>
  <c r="A173" i="23"/>
  <c r="A165" i="31"/>
  <c r="A145" i="31"/>
  <c r="A176" i="26"/>
  <c r="A132" i="33"/>
  <c r="A398" i="26"/>
  <c r="A406" i="31"/>
  <c r="A502" i="26"/>
  <c r="A310" i="26"/>
  <c r="A11" i="31"/>
  <c r="A25" i="26"/>
  <c r="A313" i="33"/>
  <c r="A220" i="23"/>
  <c r="A267" i="31"/>
  <c r="A491" i="31"/>
  <c r="A309" i="33"/>
  <c r="A198" i="33"/>
  <c r="A268" i="26"/>
  <c r="A172" i="33"/>
  <c r="A74" i="31"/>
  <c r="A452" i="26"/>
  <c r="A160" i="33"/>
  <c r="A292" i="31"/>
  <c r="A172" i="23"/>
  <c r="A223" i="33"/>
  <c r="A434" i="26"/>
  <c r="A56" i="26"/>
  <c r="A266" i="26"/>
  <c r="A58" i="26"/>
  <c r="A475" i="26"/>
  <c r="A370" i="31"/>
  <c r="A471" i="26"/>
  <c r="A384" i="31"/>
  <c r="A344" i="31"/>
  <c r="A68" i="31"/>
  <c r="A415" i="31"/>
  <c r="A427" i="26"/>
  <c r="A73" i="33"/>
  <c r="A457" i="26"/>
  <c r="A312" i="26"/>
  <c r="A137" i="23"/>
  <c r="A278" i="33"/>
  <c r="A504" i="26"/>
  <c r="A109" i="31"/>
  <c r="A56" i="33"/>
  <c r="A55" i="31"/>
  <c r="A222" i="23"/>
  <c r="A222" i="26"/>
  <c r="A464" i="31"/>
  <c r="A388" i="31"/>
  <c r="A207" i="23"/>
  <c r="A20" i="23"/>
  <c r="A316" i="31"/>
  <c r="A76" i="31"/>
  <c r="A192" i="31"/>
  <c r="A123" i="23"/>
  <c r="A39" i="26"/>
  <c r="A194" i="31"/>
  <c r="A170" i="33"/>
  <c r="A128" i="23"/>
  <c r="A266" i="33"/>
  <c r="A331" i="26"/>
  <c r="A141" i="33"/>
  <c r="A86" i="23"/>
  <c r="A134" i="23"/>
  <c r="A269" i="31"/>
  <c r="A300" i="26"/>
  <c r="A393" i="26"/>
  <c r="A236" i="31"/>
  <c r="A251" i="33"/>
  <c r="A131" i="33"/>
  <c r="A369" i="31"/>
  <c r="A128" i="33"/>
  <c r="A483" i="26"/>
  <c r="A125" i="33"/>
  <c r="A32" i="33"/>
  <c r="A296" i="26"/>
  <c r="A202" i="26"/>
  <c r="A279" i="33"/>
  <c r="A16" i="33"/>
  <c r="A23" i="33"/>
  <c r="A161" i="31"/>
  <c r="A253" i="23"/>
  <c r="A229" i="33"/>
  <c r="A256" i="26"/>
  <c r="A95" i="23"/>
  <c r="A45" i="23"/>
  <c r="A110" i="33"/>
  <c r="A93" i="26"/>
  <c r="A124" i="23"/>
  <c r="A124" i="33"/>
  <c r="A66" i="26"/>
  <c r="A76" i="26"/>
  <c r="A253" i="33"/>
  <c r="A356" i="31"/>
  <c r="A93" i="23"/>
  <c r="A249" i="23"/>
  <c r="A115" i="23"/>
  <c r="A342" i="33"/>
  <c r="A195" i="23"/>
  <c r="A225" i="31"/>
  <c r="A232" i="31"/>
  <c r="A236" i="23"/>
  <c r="A22" i="26"/>
  <c r="A291" i="33"/>
  <c r="A17" i="23"/>
  <c r="A486" i="26"/>
  <c r="A210" i="33"/>
  <c r="A189" i="33"/>
  <c r="A219" i="31"/>
  <c r="A291" i="26"/>
  <c r="A184" i="23"/>
  <c r="A304" i="31"/>
  <c r="A70" i="26"/>
  <c r="A162" i="26"/>
  <c r="A75" i="23"/>
  <c r="A221" i="33"/>
  <c r="A428" i="26"/>
  <c r="A168" i="26"/>
  <c r="A121" i="23"/>
  <c r="A167" i="31"/>
  <c r="A193" i="31"/>
  <c r="A365" i="33"/>
  <c r="A242" i="31"/>
  <c r="A457" i="31"/>
  <c r="A412" i="31"/>
  <c r="A435" i="31"/>
  <c r="A493" i="31"/>
  <c r="A375" i="26"/>
  <c r="A49" i="33"/>
  <c r="A275" i="26"/>
  <c r="A361" i="26"/>
  <c r="A489" i="31"/>
  <c r="A200" i="31"/>
  <c r="A403" i="31"/>
  <c r="A261" i="31"/>
  <c r="A99" i="31"/>
  <c r="A239" i="23"/>
  <c r="A183" i="31"/>
  <c r="A413" i="26"/>
  <c r="A212" i="26"/>
  <c r="A490" i="26"/>
  <c r="A229" i="23"/>
  <c r="A24" i="23"/>
  <c r="A88" i="23"/>
  <c r="A19" i="31"/>
  <c r="A129" i="31"/>
  <c r="A122" i="23"/>
  <c r="A234" i="23"/>
  <c r="A261" i="33"/>
  <c r="A192" i="33"/>
  <c r="A335" i="26"/>
  <c r="A349" i="31"/>
  <c r="A107" i="26"/>
  <c r="A430" i="31"/>
  <c r="A337" i="31"/>
  <c r="A107" i="23"/>
  <c r="A214" i="23"/>
  <c r="A460" i="26"/>
  <c r="A271" i="31"/>
  <c r="A153" i="31"/>
  <c r="A82" i="26"/>
  <c r="A362" i="31"/>
  <c r="A413" i="31"/>
  <c r="A276" i="23"/>
  <c r="A43" i="23"/>
  <c r="A163" i="23"/>
  <c r="A282" i="31"/>
  <c r="A153" i="23"/>
  <c r="A369" i="33"/>
  <c r="A301" i="33"/>
  <c r="A214" i="33"/>
  <c r="A241" i="33"/>
  <c r="A416" i="26"/>
  <c r="A152" i="33"/>
  <c r="A90" i="23"/>
  <c r="A383" i="26"/>
  <c r="A15" i="26"/>
  <c r="A182" i="23"/>
  <c r="A78" i="23"/>
  <c r="A54" i="33"/>
  <c r="A122" i="26"/>
  <c r="A177" i="23"/>
  <c r="A54" i="31"/>
  <c r="A126" i="23"/>
  <c r="A33" i="33"/>
  <c r="A404" i="31"/>
  <c r="A89" i="33"/>
  <c r="A134" i="33"/>
  <c r="A108" i="26"/>
  <c r="A323" i="33"/>
  <c r="A114" i="31"/>
  <c r="A101" i="23"/>
  <c r="A400" i="31"/>
  <c r="A108" i="33"/>
  <c r="A189" i="31"/>
  <c r="A190" i="23"/>
  <c r="A160" i="31"/>
  <c r="A269" i="23"/>
  <c r="A441" i="31"/>
  <c r="A41" i="26"/>
  <c r="A90" i="31"/>
  <c r="A97" i="31"/>
  <c r="A47" i="33"/>
  <c r="A295" i="23"/>
  <c r="A226" i="23"/>
  <c r="A135" i="23"/>
  <c r="A379" i="33"/>
  <c r="A227" i="33"/>
  <c r="A177" i="26"/>
  <c r="A315" i="26"/>
  <c r="A478" i="26"/>
  <c r="A412" i="26"/>
  <c r="A438" i="26"/>
  <c r="A178" i="23"/>
  <c r="A148" i="33"/>
  <c r="A335"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AEFBFBDD-9AF2-43F3-B487-4654DA3F6965}">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6E4B2F0F-3B7F-4778-B9E0-678359BD5968}">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8A4C8A02-BF74-4CD4-9883-F51627945261}">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1B84F69F-5537-4FA7-A1F8-A11E392A3064}">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62E79EE2-F613-45A4-9512-B3EB96D615AA}">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7E9D0A35-9F19-41FA-BAF3-9572BEE624A5}">
      <text>
        <r>
          <rPr>
            <sz val="9"/>
            <color indexed="81"/>
            <rFont val="ＭＳ Ｐゴシック"/>
            <family val="3"/>
            <charset val="128"/>
          </rPr>
          <t>ケースNoは数値で以下の形式で付与する.
　A-B-C
A：確認観点2の項目が変わったらインクリメント
B：確認観点3の項目が変わったらインクリメント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<sst xmlns="http://schemas.openxmlformats.org/spreadsheetml/2006/main" count="5958" uniqueCount="1051">
  <si>
    <t>更新者：</t>
    <rPh sb="0" eb="3">
      <t>コウシンシャ</t>
    </rPh>
    <phoneticPr fontId="2"/>
  </si>
  <si>
    <t>更新日：</t>
    <rPh sb="0" eb="3">
      <t>コウシンビ</t>
    </rPh>
    <phoneticPr fontId="2"/>
  </si>
  <si>
    <t>テスト内容</t>
    <rPh sb="3" eb="5">
      <t>ナイヨウ</t>
    </rPh>
    <phoneticPr fontId="2"/>
  </si>
  <si>
    <t>想定結果</t>
    <rPh sb="0" eb="2">
      <t>ソウテイ</t>
    </rPh>
    <rPh sb="2" eb="4">
      <t>ケッカ</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</si>
  <si>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</si>
  <si>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</si>
  <si>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</si>
  <si>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</si>
  <si>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区分</t>
    <rPh sb="0" eb="2">
      <t>クブン</t>
    </rPh>
    <phoneticPr fontId="4"/>
  </si>
  <si>
    <t>対応設計書</t>
    <rPh sb="0" eb="2">
      <t>タイオウ</t>
    </rPh>
    <rPh sb="2" eb="4">
      <t>セッケイ</t>
    </rPh>
    <rPh sb="4" eb="5">
      <t>ショ</t>
    </rPh>
    <phoneticPr fontId="4"/>
  </si>
  <si>
    <t>対応箇所</t>
    <rPh sb="0" eb="2">
      <t>タイオウ</t>
    </rPh>
    <rPh sb="2" eb="4">
      <t>カショ</t>
    </rPh>
    <phoneticPr fontId="4"/>
  </si>
  <si>
    <t>実施日</t>
    <rPh sb="0" eb="3">
      <t>ジッシビ</t>
    </rPh>
    <phoneticPr fontId="2"/>
  </si>
  <si>
    <t>作成者：</t>
    <rPh sb="0" eb="3">
      <t>サクセイシャ</t>
    </rPh>
    <phoneticPr fontId="2"/>
  </si>
  <si>
    <t>作成日：</t>
    <rPh sb="0" eb="3">
      <t>サクセイビ</t>
    </rPh>
    <phoneticPr fontId="2"/>
  </si>
  <si>
    <t>実施日</t>
    <rPh sb="0" eb="2">
      <t>ジッシ</t>
    </rPh>
    <rPh sb="2" eb="3">
      <t>ヒ</t>
    </rPh>
    <phoneticPr fontId="2"/>
  </si>
  <si>
    <t>実行結果</t>
    <rPh sb="0" eb="2">
      <t>ジッコウ</t>
    </rPh>
    <rPh sb="2" eb="4">
      <t>ケッカ</t>
    </rPh>
    <phoneticPr fontId="2"/>
  </si>
  <si>
    <t>第１．０版</t>
    <rPh sb="0" eb="1">
      <t>ダイ</t>
    </rPh>
    <rPh sb="4" eb="5">
      <t>ハン</t>
    </rPh>
    <phoneticPr fontId="12"/>
  </si>
  <si>
    <t>[会社名]</t>
    <rPh sb="1" eb="4">
      <t>カイシャメイ</t>
    </rPh>
    <phoneticPr fontId="12"/>
  </si>
  <si>
    <t>[部門名]</t>
    <rPh sb="1" eb="4">
      <t>ブモンメイ</t>
    </rPh>
    <phoneticPr fontId="12"/>
  </si>
  <si>
    <t>PJ名</t>
  </si>
  <si>
    <t>成果物名</t>
  </si>
  <si>
    <t>作成</t>
  </si>
  <si>
    <t>システム名</t>
  </si>
  <si>
    <t>変更</t>
  </si>
  <si>
    <t>サブシステム名</t>
  </si>
  <si>
    <t>変更履歴（ 1　/ 1 ）</t>
  </si>
  <si>
    <t>No.</t>
    <phoneticPr fontId="4"/>
  </si>
  <si>
    <t>版数</t>
    <rPh sb="0" eb="2">
      <t>ハンスウ</t>
    </rPh>
    <phoneticPr fontId="4"/>
  </si>
  <si>
    <t>変更日</t>
    <rPh sb="0" eb="3">
      <t>ヘンコウビ</t>
    </rPh>
    <phoneticPr fontId="4"/>
  </si>
  <si>
    <t>変更箇所（項番等）</t>
    <rPh sb="0" eb="2">
      <t>ヘンコウ</t>
    </rPh>
    <rPh sb="2" eb="4">
      <t>カショ</t>
    </rPh>
    <rPh sb="5" eb="8">
      <t>コウバンナド</t>
    </rPh>
    <phoneticPr fontId="4"/>
  </si>
  <si>
    <t>変更内容</t>
    <rPh sb="0" eb="2">
      <t>ヘンコウ</t>
    </rPh>
    <rPh sb="2" eb="4">
      <t>ナイヨウ</t>
    </rPh>
    <phoneticPr fontId="4"/>
  </si>
  <si>
    <t>担当者</t>
    <rPh sb="0" eb="3">
      <t>タントウシャ</t>
    </rPh>
    <phoneticPr fontId="4"/>
  </si>
  <si>
    <t>ケースNo</t>
    <phoneticPr fontId="4"/>
  </si>
  <si>
    <t>一覧</t>
    <rPh sb="0" eb="2">
      <t>イチラン</t>
    </rPh>
    <phoneticPr fontId="2"/>
  </si>
  <si>
    <t>1.0版</t>
    <rPh sb="3" eb="4">
      <t>ハン</t>
    </rPh>
    <phoneticPr fontId="2"/>
  </si>
  <si>
    <t>新規</t>
    <rPh sb="0" eb="2">
      <t>シンキ</t>
    </rPh>
    <phoneticPr fontId="2"/>
  </si>
  <si>
    <t>(新規作成)</t>
    <rPh sb="1" eb="5">
      <t>シンキサクセイ</t>
    </rPh>
    <phoneticPr fontId="2"/>
  </si>
  <si>
    <t>TIS</t>
    <phoneticPr fontId="2"/>
  </si>
  <si>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</si>
  <si>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</si>
  <si>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</si>
  <si>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</si>
  <si>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</si>
  <si>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対応設計書</t>
    <rPh sb="0" eb="2">
      <t>タイオウ</t>
    </rPh>
    <rPh sb="2" eb="4">
      <t>セッケイ</t>
    </rPh>
    <rPh sb="4" eb="5">
      <t>ショ</t>
    </rPh>
    <phoneticPr fontId="2"/>
  </si>
  <si>
    <t>対応箇所</t>
    <rPh sb="0" eb="2">
      <t>タイオウ</t>
    </rPh>
    <rPh sb="2" eb="4">
      <t>カショ</t>
    </rPh>
    <phoneticPr fontId="2"/>
  </si>
  <si>
    <t>エビデンスNo</t>
    <phoneticPr fontId="2"/>
  </si>
  <si>
    <t>バリデーション</t>
  </si>
  <si>
    <t>単項目バリデーション</t>
    <rPh sb="0" eb="1">
      <t>タン</t>
    </rPh>
    <rPh sb="1" eb="3">
      <t>コウモク</t>
    </rPh>
    <phoneticPr fontId="19"/>
  </si>
  <si>
    <t>必須バリデーション</t>
  </si>
  <si>
    <t>必須項目</t>
    <rPh sb="0" eb="2">
      <t>ヒッス</t>
    </rPh>
    <rPh sb="2" eb="4">
      <t>コウモク</t>
    </rPh>
    <phoneticPr fontId="19"/>
  </si>
  <si>
    <t>必須項目が未入力の場合、エラーとなること。</t>
    <rPh sb="0" eb="2">
      <t>ヒッス</t>
    </rPh>
    <rPh sb="2" eb="4">
      <t>コウモク</t>
    </rPh>
    <rPh sb="5" eb="8">
      <t>ミニュウリョク</t>
    </rPh>
    <rPh sb="9" eb="11">
      <t>バアイ</t>
    </rPh>
    <phoneticPr fontId="4"/>
  </si>
  <si>
    <t>任意項目</t>
    <rPh sb="0" eb="2">
      <t>ニンイ</t>
    </rPh>
    <rPh sb="2" eb="4">
      <t>コウモク</t>
    </rPh>
    <phoneticPr fontId="19"/>
  </si>
  <si>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19"/>
  </si>
  <si>
    <t>文字列長バリデーション</t>
    <rPh sb="0" eb="3">
      <t>モジレツ</t>
    </rPh>
    <rPh sb="3" eb="4">
      <t>チョウ</t>
    </rPh>
    <phoneticPr fontId="2"/>
  </si>
  <si>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</si>
  <si>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19"/>
  </si>
  <si>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19"/>
  </si>
  <si>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19"/>
  </si>
  <si>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19"/>
  </si>
  <si>
    <t>サロゲートペア文字を許容する設計となっている場合、サロゲートペア文字を含んだ値が入力された結果がエラーとならないこと。</t>
    <rPh sb="38" eb="39">
      <t>アタイ</t>
    </rPh>
    <rPh sb="40" eb="42">
      <t>ニュウリョク</t>
    </rPh>
    <phoneticPr fontId="19"/>
  </si>
  <si>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</si>
  <si>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</si>
  <si>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19"/>
  </si>
  <si>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19"/>
  </si>
  <si>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19"/>
  </si>
  <si>
    <t>有効範囲</t>
    <rPh sb="0" eb="2">
      <t>ユウコウ</t>
    </rPh>
    <rPh sb="2" eb="4">
      <t>ハンイ</t>
    </rPh>
    <phoneticPr fontId="19"/>
  </si>
  <si>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19"/>
  </si>
  <si>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19"/>
  </si>
  <si>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</si>
  <si>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</si>
  <si>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</si>
  <si>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19"/>
  </si>
  <si>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19"/>
  </si>
  <si>
    <t>その他のバリデーション</t>
    <rPh sb="2" eb="3">
      <t>タ</t>
    </rPh>
    <phoneticPr fontId="19"/>
  </si>
  <si>
    <t>コード値</t>
    <rPh sb="3" eb="4">
      <t>チ</t>
    </rPh>
    <phoneticPr fontId="19"/>
  </si>
  <si>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19"/>
  </si>
  <si>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19"/>
  </si>
  <si>
    <t>日付</t>
    <rPh sb="0" eb="2">
      <t>ヒヅケ</t>
    </rPh>
    <phoneticPr fontId="19"/>
  </si>
  <si>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19"/>
  </si>
  <si>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19"/>
  </si>
  <si>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19"/>
  </si>
  <si>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19"/>
  </si>
  <si>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</si>
  <si>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0"/>
  </si>
  <si>
    <t>メールアドレス項目に無効な値が入力された場合、エラーとなること。</t>
    <rPh sb="7" eb="9">
      <t>コウモク</t>
    </rPh>
    <rPh sb="10" eb="12">
      <t>ムコウ</t>
    </rPh>
    <rPh sb="13" eb="14">
      <t>アタイ</t>
    </rPh>
    <rPh sb="15" eb="17">
      <t>ニュウリョク</t>
    </rPh>
    <rPh sb="20" eb="22">
      <t>バアイ</t>
    </rPh>
    <phoneticPr fontId="20"/>
  </si>
  <si>
    <t>アプリケーション固有のバリデーション</t>
    <rPh sb="8" eb="10">
      <t>コユウ</t>
    </rPh>
    <phoneticPr fontId="19"/>
  </si>
  <si>
    <t>アプリケーション固有のバリデーションがある場合、バリデーションの結果が［システム機能設計書の記載通り］であること。</t>
    <rPh sb="8" eb="10">
      <t>コユウ</t>
    </rPh>
    <rPh sb="32" eb="34">
      <t>ケッカ</t>
    </rPh>
    <rPh sb="40" eb="42">
      <t>キノウ</t>
    </rPh>
    <rPh sb="42" eb="44">
      <t>セッケイ</t>
    </rPh>
    <rPh sb="44" eb="45">
      <t>ショ</t>
    </rPh>
    <rPh sb="46" eb="48">
      <t>キサイ</t>
    </rPh>
    <rPh sb="48" eb="49">
      <t>ドオ</t>
    </rPh>
    <phoneticPr fontId="19"/>
  </si>
  <si>
    <t>相関バリデーション</t>
    <rPh sb="0" eb="2">
      <t>ソウカン</t>
    </rPh>
    <phoneticPr fontId="2"/>
  </si>
  <si>
    <t>特定の条件により必須・任意が変わる項目について、該当項目が必須となっている状態で、値が未入力の場合、エラーとなること。</t>
    <rPh sb="29" eb="31">
      <t>ヒッス</t>
    </rPh>
    <phoneticPr fontId="19"/>
  </si>
  <si>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</si>
  <si>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19"/>
  </si>
  <si>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19"/>
  </si>
  <si>
    <t>DBとの相関バリデーション</t>
    <rPh sb="4" eb="6">
      <t>ソウカン</t>
    </rPh>
    <phoneticPr fontId="19"/>
  </si>
  <si>
    <t>有効なレコードが存在する場合、エラーとならないこと。</t>
  </si>
  <si>
    <t>有効なレコードが存在しない場合、エラーとなること。</t>
  </si>
  <si>
    <t>DB操作</t>
    <rPh sb="2" eb="4">
      <t>ソウサ</t>
    </rPh>
    <phoneticPr fontId="19"/>
  </si>
  <si>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</si>
  <si>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</si>
  <si>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19"/>
  </si>
  <si>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19"/>
  </si>
  <si>
    <t>無効な値が条件に指定された場合、レコードが取得、更新、削除されないこと。</t>
    <rPh sb="0" eb="2">
      <t>ムコウ</t>
    </rPh>
    <rPh sb="3" eb="4">
      <t>アタイ</t>
    </rPh>
    <rPh sb="5" eb="7">
      <t>ジョウケン</t>
    </rPh>
    <rPh sb="8" eb="10">
      <t>シテイ</t>
    </rPh>
    <rPh sb="13" eb="15">
      <t>バアイ</t>
    </rPh>
    <phoneticPr fontId="19"/>
  </si>
  <si>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19"/>
  </si>
  <si>
    <t>複数条件</t>
    <rPh sb="0" eb="2">
      <t>フクスウ</t>
    </rPh>
    <rPh sb="2" eb="4">
      <t>ジョウケン</t>
    </rPh>
    <phoneticPr fontId="19"/>
  </si>
  <si>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19"/>
  </si>
  <si>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19"/>
  </si>
  <si>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</si>
  <si>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</si>
  <si>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</si>
  <si>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19"/>
  </si>
  <si>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</si>
  <si>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</si>
  <si>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</si>
  <si>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</si>
  <si>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</si>
  <si>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</si>
  <si>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19"/>
  </si>
  <si>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19"/>
  </si>
  <si>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</si>
  <si>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</si>
  <si>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19"/>
  </si>
  <si>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19"/>
  </si>
  <si>
    <t>登録/更新内容</t>
    <rPh sb="0" eb="2">
      <t>トウロク</t>
    </rPh>
    <rPh sb="3" eb="5">
      <t>コウシン</t>
    </rPh>
    <rPh sb="5" eb="7">
      <t>ナイヨウ</t>
    </rPh>
    <phoneticPr fontId="2"/>
  </si>
  <si>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</si>
  <si>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</si>
  <si>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</si>
  <si>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</si>
  <si>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</si>
  <si>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19"/>
  </si>
  <si>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</si>
  <si>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19"/>
  </si>
  <si>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19"/>
  </si>
  <si>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19"/>
  </si>
  <si>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19"/>
  </si>
  <si>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19"/>
  </si>
  <si>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19"/>
  </si>
  <si>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19"/>
  </si>
  <si>
    <t>データ型</t>
    <rPh sb="3" eb="4">
      <t>ガタ</t>
    </rPh>
    <phoneticPr fontId="19"/>
  </si>
  <si>
    <t>カラムのデータ型に合わせて、指定された値が登録、更新されること。</t>
    <rPh sb="7" eb="8">
      <t>カタ</t>
    </rPh>
    <rPh sb="9" eb="10">
      <t>ア</t>
    </rPh>
    <rPh sb="14" eb="16">
      <t>シテイ</t>
    </rPh>
    <phoneticPr fontId="19"/>
  </si>
  <si>
    <t>桁数</t>
    <rPh sb="0" eb="2">
      <t>ケタスウ</t>
    </rPh>
    <phoneticPr fontId="19"/>
  </si>
  <si>
    <t>最大長が指定された場合、登録、更新されること。</t>
    <rPh sb="0" eb="2">
      <t>サイダイ</t>
    </rPh>
    <rPh sb="2" eb="3">
      <t>チョウ</t>
    </rPh>
    <rPh sb="4" eb="6">
      <t>シテイ</t>
    </rPh>
    <rPh sb="9" eb="11">
      <t>バアイ</t>
    </rPh>
    <phoneticPr fontId="19"/>
  </si>
  <si>
    <t>最大長＋1が指定された場合、登録、更新されないこと。</t>
    <rPh sb="0" eb="2">
      <t>サイダイ</t>
    </rPh>
    <rPh sb="2" eb="3">
      <t>チョウ</t>
    </rPh>
    <rPh sb="6" eb="8">
      <t>シテイ</t>
    </rPh>
    <rPh sb="11" eb="13">
      <t>バアイ</t>
    </rPh>
    <phoneticPr fontId="19"/>
  </si>
  <si>
    <t>最小長が指定された場合、登録、更新されること。</t>
    <rPh sb="0" eb="2">
      <t>サイショウ</t>
    </rPh>
    <rPh sb="2" eb="3">
      <t>チョウ</t>
    </rPh>
    <rPh sb="4" eb="6">
      <t>シテイ</t>
    </rPh>
    <rPh sb="9" eb="11">
      <t>バアイ</t>
    </rPh>
    <phoneticPr fontId="19"/>
  </si>
  <si>
    <t>最小長－1が指定された場合、登録、更新されないこと。</t>
    <rPh sb="0" eb="2">
      <t>サイショウ</t>
    </rPh>
    <rPh sb="2" eb="3">
      <t>チョウ</t>
    </rPh>
    <rPh sb="6" eb="8">
      <t>シテイ</t>
    </rPh>
    <rPh sb="11" eb="13">
      <t>バアイ</t>
    </rPh>
    <phoneticPr fontId="19"/>
  </si>
  <si>
    <t>サロゲートペア文字を許容する設計となっている場合、サロゲートペア文字を含む値が登録、更新されること。</t>
    <rPh sb="39" eb="41">
      <t>トウロク</t>
    </rPh>
    <rPh sb="42" eb="44">
      <t>コウシン</t>
    </rPh>
    <phoneticPr fontId="19"/>
  </si>
  <si>
    <t>検索</t>
    <rPh sb="0" eb="2">
      <t>ケンサク</t>
    </rPh>
    <phoneticPr fontId="19"/>
  </si>
  <si>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19"/>
  </si>
  <si>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19"/>
  </si>
  <si>
    <t>件数</t>
    <rPh sb="0" eb="2">
      <t>ケンスウ</t>
    </rPh>
    <phoneticPr fontId="19"/>
  </si>
  <si>
    <t>期待したレコード件数を取得できること。</t>
    <rPh sb="0" eb="2">
      <t>キタイ</t>
    </rPh>
    <rPh sb="8" eb="10">
      <t>ケンスウ</t>
    </rPh>
    <rPh sb="11" eb="13">
      <t>シュトク</t>
    </rPh>
    <phoneticPr fontId="19"/>
  </si>
  <si>
    <t>結合</t>
    <rPh sb="0" eb="2">
      <t>ケツゴウ</t>
    </rPh>
    <phoneticPr fontId="19"/>
  </si>
  <si>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19"/>
  </si>
  <si>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19"/>
  </si>
  <si>
    <t>ソート順</t>
    <rPh sb="3" eb="4">
      <t>ジュン</t>
    </rPh>
    <phoneticPr fontId="19"/>
  </si>
  <si>
    <t>ORDER BY句に指定した条件でソートされた結果を取得できること。</t>
    <rPh sb="8" eb="9">
      <t>ク</t>
    </rPh>
    <rPh sb="10" eb="12">
      <t>シテイ</t>
    </rPh>
    <rPh sb="14" eb="16">
      <t>ジョウケン</t>
    </rPh>
    <rPh sb="23" eb="25">
      <t>ケッカ</t>
    </rPh>
    <rPh sb="26" eb="28">
      <t>シュトク</t>
    </rPh>
    <phoneticPr fontId="19"/>
  </si>
  <si>
    <t>グループ化</t>
    <rPh sb="4" eb="5">
      <t>カ</t>
    </rPh>
    <phoneticPr fontId="19"/>
  </si>
  <si>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19"/>
  </si>
  <si>
    <t>登録</t>
  </si>
  <si>
    <t>登録対象のテーブルに期待したレコードが追加されること。</t>
    <rPh sb="0" eb="2">
      <t>トウロク</t>
    </rPh>
    <rPh sb="2" eb="4">
      <t>タイショウ</t>
    </rPh>
    <rPh sb="10" eb="12">
      <t>キタイ</t>
    </rPh>
    <rPh sb="19" eb="21">
      <t>ツイカ</t>
    </rPh>
    <phoneticPr fontId="19"/>
  </si>
  <si>
    <t>期待したレコード件数を登録できること。</t>
    <rPh sb="0" eb="2">
      <t>キタイ</t>
    </rPh>
    <rPh sb="8" eb="10">
      <t>ケンスウ</t>
    </rPh>
    <rPh sb="11" eb="13">
      <t>トウロク</t>
    </rPh>
    <phoneticPr fontId="19"/>
  </si>
  <si>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</si>
  <si>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19"/>
  </si>
  <si>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</si>
  <si>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19"/>
  </si>
  <si>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19"/>
  </si>
  <si>
    <t>期待したレコード件数を更新できること。</t>
    <rPh sb="0" eb="2">
      <t>キタイ</t>
    </rPh>
    <rPh sb="8" eb="10">
      <t>ケンスウ</t>
    </rPh>
    <rPh sb="11" eb="13">
      <t>コウシン</t>
    </rPh>
    <phoneticPr fontId="19"/>
  </si>
  <si>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19"/>
  </si>
  <si>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19"/>
  </si>
  <si>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19"/>
  </si>
  <si>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</si>
  <si>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</si>
  <si>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19"/>
  </si>
  <si>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19"/>
  </si>
  <si>
    <t>期待したレコード件数を論理削除できること。</t>
    <rPh sb="0" eb="2">
      <t>キタイ</t>
    </rPh>
    <rPh sb="8" eb="10">
      <t>ケンスウ</t>
    </rPh>
    <rPh sb="11" eb="13">
      <t>ロンリ</t>
    </rPh>
    <rPh sb="13" eb="15">
      <t>サクジョ</t>
    </rPh>
    <phoneticPr fontId="19"/>
  </si>
  <si>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19"/>
  </si>
  <si>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19"/>
  </si>
  <si>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</si>
  <si>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19"/>
  </si>
  <si>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19"/>
  </si>
  <si>
    <t>期待したレコード件数を物理削除できること。</t>
    <rPh sb="0" eb="2">
      <t>キタイ</t>
    </rPh>
    <rPh sb="8" eb="10">
      <t>ケンスウ</t>
    </rPh>
    <rPh sb="11" eb="13">
      <t>ブツリ</t>
    </rPh>
    <rPh sb="13" eb="15">
      <t>サクジョ</t>
    </rPh>
    <phoneticPr fontId="19"/>
  </si>
  <si>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19"/>
  </si>
  <si>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19"/>
  </si>
  <si>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19"/>
  </si>
  <si>
    <t>DB制御</t>
    <rPh sb="2" eb="4">
      <t>セイギョ</t>
    </rPh>
    <phoneticPr fontId="19"/>
  </si>
  <si>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</si>
  <si>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</si>
  <si>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19"/>
  </si>
  <si>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19"/>
  </si>
  <si>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19"/>
  </si>
  <si>
    <t>ロールバック</t>
  </si>
  <si>
    <t>エラーが発生した場合、ロールバックされること。</t>
    <rPh sb="4" eb="6">
      <t>ハッセイ</t>
    </rPh>
    <rPh sb="8" eb="10">
      <t>バアイ</t>
    </rPh>
    <phoneticPr fontId="19"/>
  </si>
  <si>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</si>
  <si>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</si>
  <si>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</si>
  <si>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</si>
  <si>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19"/>
  </si>
  <si>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</si>
  <si>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</si>
  <si>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</si>
  <si>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</si>
  <si>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</si>
  <si>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19"/>
  </si>
  <si>
    <t>取り込まれたファイルに含まれるレコードの長さが最大長＋1の場合、エラーとなること。</t>
    <rPh sb="11" eb="12">
      <t>フク</t>
    </rPh>
    <rPh sb="20" eb="21">
      <t>ナガ</t>
    </rPh>
    <rPh sb="23" eb="25">
      <t>サイダイ</t>
    </rPh>
    <rPh sb="29" eb="31">
      <t>バアイ</t>
    </rPh>
    <phoneticPr fontId="19"/>
  </si>
  <si>
    <t>取り込まれたファイルに含まれるレコードの長さが最小長の場合、エラーとならないこと。</t>
    <rPh sb="11" eb="12">
      <t>フク</t>
    </rPh>
    <rPh sb="20" eb="21">
      <t>ナガ</t>
    </rPh>
    <rPh sb="23" eb="25">
      <t>サイショウ</t>
    </rPh>
    <rPh sb="27" eb="29">
      <t>バアイ</t>
    </rPh>
    <phoneticPr fontId="19"/>
  </si>
  <si>
    <t>取り込まれたファイルに含まれるレコードの長さが最小長-1の場合、エラーとなること。</t>
    <rPh sb="11" eb="12">
      <t>フク</t>
    </rPh>
    <rPh sb="20" eb="21">
      <t>ナガ</t>
    </rPh>
    <rPh sb="23" eb="25">
      <t>サイショウ</t>
    </rPh>
    <rPh sb="29" eb="31">
      <t>バアイ</t>
    </rPh>
    <phoneticPr fontId="19"/>
  </si>
  <si>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19"/>
  </si>
  <si>
    <t>レコード件数</t>
    <rPh sb="4" eb="6">
      <t>ケンスウ</t>
    </rPh>
    <phoneticPr fontId="19"/>
  </si>
  <si>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19"/>
  </si>
  <si>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19"/>
  </si>
  <si>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19"/>
  </si>
  <si>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19"/>
  </si>
  <si>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19"/>
  </si>
  <si>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</si>
  <si>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19"/>
  </si>
  <si>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19"/>
  </si>
  <si>
    <t>フォーマット定義</t>
    <rPh sb="6" eb="8">
      <t>テイギ</t>
    </rPh>
    <phoneticPr fontId="19"/>
  </si>
  <si>
    <t>レコード構成</t>
    <rPh sb="4" eb="6">
      <t>コウセイ</t>
    </rPh>
    <phoneticPr fontId="19"/>
  </si>
  <si>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19"/>
  </si>
  <si>
    <t>ファイルサイズ</t>
  </si>
  <si>
    <t>取り込まれたファイルのサイズをバリデーションする場合、有効なサイズのファイルがエラーとならないこと。</t>
    <rPh sb="24" eb="26">
      <t>バアイ</t>
    </rPh>
    <rPh sb="27" eb="29">
      <t>ユウコウ</t>
    </rPh>
    <phoneticPr fontId="19"/>
  </si>
  <si>
    <t>取り込まれたファイルのサイズバリデーションする場合、無効なサイズのファイルがエラーとなること。</t>
    <rPh sb="23" eb="25">
      <t>バアイ</t>
    </rPh>
    <rPh sb="26" eb="28">
      <t>ムコウ</t>
    </rPh>
    <phoneticPr fontId="19"/>
  </si>
  <si>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19"/>
  </si>
  <si>
    <t>ファイル出力</t>
    <rPh sb="4" eb="6">
      <t>シュツリョク</t>
    </rPh>
    <phoneticPr fontId="2"/>
  </si>
  <si>
    <t>出力したファイルが、指定したディレクトリに格納されること。</t>
    <rPh sb="10" eb="12">
      <t>シテイ</t>
    </rPh>
    <rPh sb="21" eb="23">
      <t>カクノウ</t>
    </rPh>
    <phoneticPr fontId="2"/>
  </si>
  <si>
    <t>※ファイルダウンロードを含む</t>
    <rPh sb="12" eb="13">
      <t>フク</t>
    </rPh>
    <phoneticPr fontId="19"/>
  </si>
  <si>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</si>
  <si>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</si>
  <si>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</si>
  <si>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</si>
  <si>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19"/>
  </si>
  <si>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19"/>
  </si>
  <si>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19"/>
  </si>
  <si>
    <t>データ出力</t>
    <rPh sb="3" eb="5">
      <t>シュツリョク</t>
    </rPh>
    <phoneticPr fontId="19"/>
  </si>
  <si>
    <t>文字コード</t>
    <rPh sb="0" eb="2">
      <t>モジ</t>
    </rPh>
    <phoneticPr fontId="19"/>
  </si>
  <si>
    <t>出力したファイルの文字コードが［外部インターフェース設計書/サブシステムインターフェース設計書の記載通り］であること。</t>
    <rPh sb="9" eb="11">
      <t>モジ</t>
    </rPh>
    <phoneticPr fontId="19"/>
  </si>
  <si>
    <t>改行コード</t>
    <rPh sb="0" eb="2">
      <t>カイギョウ</t>
    </rPh>
    <phoneticPr fontId="19"/>
  </si>
  <si>
    <t>出力したファイルの改行コードが［外部インターフェース設計書/サブシステムインターフェース設計書の記載通り］であること。</t>
    <rPh sb="9" eb="11">
      <t>カイギョウ</t>
    </rPh>
    <phoneticPr fontId="19"/>
  </si>
  <si>
    <t>区切り文字</t>
    <rPh sb="0" eb="2">
      <t>クギ</t>
    </rPh>
    <rPh sb="3" eb="5">
      <t>モジ</t>
    </rPh>
    <phoneticPr fontId="19"/>
  </si>
  <si>
    <t>出力したファイルの区切り文字が［外部インターフェース設計書/サブシステムインターフェース設計書の記載通り］であること。</t>
    <rPh sb="9" eb="11">
      <t>クギ</t>
    </rPh>
    <rPh sb="12" eb="14">
      <t>モジ</t>
    </rPh>
    <phoneticPr fontId="19"/>
  </si>
  <si>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19"/>
  </si>
  <si>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</si>
  <si>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19"/>
  </si>
  <si>
    <t>レイアウト</t>
  </si>
  <si>
    <t>帳票の場合、出力したレイアウトが［帳票設計書の記載通り］であること。</t>
    <rPh sb="6" eb="8">
      <t>シュツリョク</t>
    </rPh>
    <rPh sb="23" eb="25">
      <t>キサイ</t>
    </rPh>
    <rPh sb="25" eb="26">
      <t>ドオ</t>
    </rPh>
    <phoneticPr fontId="19"/>
  </si>
  <si>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19"/>
  </si>
  <si>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</si>
  <si>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</si>
  <si>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</si>
  <si>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19"/>
  </si>
  <si>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</si>
  <si>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</si>
  <si>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19"/>
  </si>
  <si>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19"/>
  </si>
  <si>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</si>
  <si>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</si>
  <si>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</si>
  <si>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19"/>
  </si>
  <si>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19"/>
  </si>
  <si>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19"/>
  </si>
  <si>
    <t>取得した値に改行、タブ、メタキャラクタが含まれる場合、出力された値がエンコーディング、サニタイジングされること。</t>
    <rPh sb="27" eb="29">
      <t>シュツリョク</t>
    </rPh>
    <phoneticPr fontId="19"/>
  </si>
  <si>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19"/>
  </si>
  <si>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19"/>
  </si>
  <si>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19"/>
  </si>
  <si>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1"/>
  </si>
  <si>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1"/>
  </si>
  <si>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1"/>
  </si>
  <si>
    <t>出力するレコードの長さが最大の場合、エラーとならないこと。</t>
    <rPh sb="0" eb="2">
      <t>シュツリョク</t>
    </rPh>
    <rPh sb="9" eb="10">
      <t>ナガ</t>
    </rPh>
    <rPh sb="12" eb="14">
      <t>サイダイ</t>
    </rPh>
    <rPh sb="15" eb="17">
      <t>バアイ</t>
    </rPh>
    <phoneticPr fontId="19"/>
  </si>
  <si>
    <t>出力するレコードの長さが最小の場合、エラーとならないこと。</t>
    <rPh sb="0" eb="2">
      <t>シュツリョク</t>
    </rPh>
    <rPh sb="9" eb="10">
      <t>ナガ</t>
    </rPh>
    <rPh sb="12" eb="14">
      <t>サイショウ</t>
    </rPh>
    <rPh sb="15" eb="17">
      <t>バアイ</t>
    </rPh>
    <phoneticPr fontId="19"/>
  </si>
  <si>
    <t>サロゲートペア文字を許容する設計となっている場合、サロゲートペア文字を含むレコードを出力した結果がエラーとならないこと。</t>
    <rPh sb="42" eb="44">
      <t>シュツリョク</t>
    </rPh>
    <phoneticPr fontId="19"/>
  </si>
  <si>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1"/>
  </si>
  <si>
    <t>ファイルに期待通りの件数分、レコードが出力されること。</t>
    <rPh sb="5" eb="7">
      <t>キタイ</t>
    </rPh>
    <rPh sb="7" eb="8">
      <t>ドオ</t>
    </rPh>
    <rPh sb="10" eb="12">
      <t>ケンスウ</t>
    </rPh>
    <rPh sb="12" eb="13">
      <t>ブン</t>
    </rPh>
    <rPh sb="19" eb="21">
      <t>シュツリョク</t>
    </rPh>
    <phoneticPr fontId="19"/>
  </si>
  <si>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19"/>
  </si>
  <si>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19"/>
  </si>
  <si>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19"/>
  </si>
  <si>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19"/>
  </si>
  <si>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19"/>
  </si>
  <si>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19"/>
  </si>
  <si>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19"/>
  </si>
  <si>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19"/>
  </si>
  <si>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19"/>
  </si>
  <si>
    <t>画像</t>
    <rPh sb="0" eb="2">
      <t>ガゾウ</t>
    </rPh>
    <phoneticPr fontId="19"/>
  </si>
  <si>
    <t>出力された画像が［システム機能設計書/共通コンポーネント設計書/帳票設計書の記載通り］であること。</t>
    <rPh sb="0" eb="2">
      <t>シュツリョク</t>
    </rPh>
    <phoneticPr fontId="19"/>
  </si>
  <si>
    <t>ファイル操作</t>
    <rPh sb="4" eb="6">
      <t>ソウサ</t>
    </rPh>
    <phoneticPr fontId="2"/>
  </si>
  <si>
    <t>削除</t>
    <rPh sb="0" eb="2">
      <t>サクジョ</t>
    </rPh>
    <phoneticPr fontId="2"/>
  </si>
  <si>
    <t>ファイルが削除されること。</t>
  </si>
  <si>
    <t>移動・リネーム</t>
    <rPh sb="0" eb="2">
      <t>イドウ</t>
    </rPh>
    <phoneticPr fontId="2"/>
  </si>
  <si>
    <t>ファイルが移動、リネームされること。</t>
  </si>
  <si>
    <t>コピー</t>
  </si>
  <si>
    <t>ファイルがコピーされること。</t>
  </si>
  <si>
    <t>メール処理</t>
    <rPh sb="3" eb="5">
      <t>ショリ</t>
    </rPh>
    <phoneticPr fontId="19"/>
  </si>
  <si>
    <t>送信・転送</t>
    <rPh sb="0" eb="2">
      <t>ソウシン</t>
    </rPh>
    <rPh sb="3" eb="5">
      <t>テンソウ</t>
    </rPh>
    <phoneticPr fontId="19"/>
  </si>
  <si>
    <t>指定した宛先（メールアドレス）への送信、転送が正常終了すること。</t>
    <rPh sb="0" eb="2">
      <t>シテイ</t>
    </rPh>
    <rPh sb="4" eb="6">
      <t>アテサキ</t>
    </rPh>
    <rPh sb="25" eb="27">
      <t>シュウリョウ</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</si>
  <si>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</si>
  <si>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</si>
  <si>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19"/>
  </si>
  <si>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</si>
  <si>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</si>
  <si>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19"/>
  </si>
  <si>
    <t>メール編集</t>
    <rPh sb="3" eb="5">
      <t>ヘンシュウ</t>
    </rPh>
    <phoneticPr fontId="2"/>
  </si>
  <si>
    <t>ヘッダ</t>
  </si>
  <si>
    <t>設定</t>
    <rPh sb="0" eb="2">
      <t>セッテイ</t>
    </rPh>
    <phoneticPr fontId="19"/>
  </si>
  <si>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</si>
  <si>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</si>
  <si>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</si>
  <si>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</si>
  <si>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</si>
  <si>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</si>
  <si>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</si>
  <si>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</si>
  <si>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</si>
  <si>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</si>
  <si>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</si>
  <si>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19"/>
  </si>
  <si>
    <t>埋め込み必須項目が未入力の場合、エラーとなること。</t>
    <rPh sb="0" eb="1">
      <t>ウ</t>
    </rPh>
    <rPh sb="2" eb="3">
      <t>コ</t>
    </rPh>
    <rPh sb="4" eb="6">
      <t>ヒッス</t>
    </rPh>
    <rPh sb="6" eb="8">
      <t>コウモク</t>
    </rPh>
    <rPh sb="9" eb="12">
      <t>ミニュウリョク</t>
    </rPh>
    <rPh sb="13" eb="15">
      <t>バアイ</t>
    </rPh>
    <phoneticPr fontId="19"/>
  </si>
  <si>
    <t>埋め込み任意項目が未入力の場合、エラーとならないこと。</t>
    <rPh sb="0" eb="1">
      <t>ウ</t>
    </rPh>
    <rPh sb="2" eb="3">
      <t>コ</t>
    </rPh>
    <rPh sb="4" eb="6">
      <t>ニンイ</t>
    </rPh>
    <rPh sb="6" eb="8">
      <t>コウモク</t>
    </rPh>
    <rPh sb="9" eb="12">
      <t>ミニュウリョク</t>
    </rPh>
    <rPh sb="13" eb="15">
      <t>バアイ</t>
    </rPh>
    <phoneticPr fontId="19"/>
  </si>
  <si>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19"/>
  </si>
  <si>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</si>
  <si>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</si>
  <si>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</si>
  <si>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</si>
  <si>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19"/>
  </si>
  <si>
    <t>取得した値をマスキングする設計となっている場合、件名に設定された値がマスキングされること。</t>
    <rPh sb="0" eb="2">
      <t>シュトク</t>
    </rPh>
    <rPh sb="4" eb="5">
      <t>アタイ</t>
    </rPh>
    <rPh sb="13" eb="15">
      <t>セッケイ</t>
    </rPh>
    <rPh sb="21" eb="23">
      <t>バアイ</t>
    </rPh>
    <phoneticPr fontId="19"/>
  </si>
  <si>
    <t>取得した値に改行、タブ、メタキャラクタが含まれる場合、件名に設定された値がエンコーディング、サニタイジングされること。</t>
    <rPh sb="27" eb="29">
      <t>ケンメイ</t>
    </rPh>
    <rPh sb="30" eb="32">
      <t>セッテイ</t>
    </rPh>
    <phoneticPr fontId="19"/>
  </si>
  <si>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19"/>
  </si>
  <si>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</si>
  <si>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</si>
  <si>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19"/>
  </si>
  <si>
    <t>本文のデザインが［メール設計書の記載通り］であること。</t>
    <rPh sb="0" eb="2">
      <t>ホンブン</t>
    </rPh>
    <rPh sb="12" eb="15">
      <t>セッケイショ</t>
    </rPh>
    <rPh sb="16" eb="18">
      <t>キサイ</t>
    </rPh>
    <rPh sb="18" eb="19">
      <t>ドオ</t>
    </rPh>
    <phoneticPr fontId="19"/>
  </si>
  <si>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19"/>
  </si>
  <si>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19"/>
  </si>
  <si>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</si>
  <si>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</si>
  <si>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</si>
  <si>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19"/>
  </si>
  <si>
    <t>取得した値をマスキングする設計となっている場合、本文に設定された値がマスキングされること。</t>
    <rPh sb="0" eb="2">
      <t>シュトク</t>
    </rPh>
    <rPh sb="4" eb="5">
      <t>アタイ</t>
    </rPh>
    <rPh sb="13" eb="15">
      <t>セッケイ</t>
    </rPh>
    <rPh sb="21" eb="23">
      <t>バアイ</t>
    </rPh>
    <phoneticPr fontId="19"/>
  </si>
  <si>
    <t>取得した値に改行、タブ、メタキャラクタが含まれる場合、本文に設定された値がエンコーディング、サニタイジングされること。</t>
    <rPh sb="27" eb="29">
      <t>ホンブン</t>
    </rPh>
    <rPh sb="30" eb="32">
      <t>セッテイ</t>
    </rPh>
    <phoneticPr fontId="19"/>
  </si>
  <si>
    <t>データ件数</t>
    <rPh sb="3" eb="5">
      <t>ケンスウ</t>
    </rPh>
    <phoneticPr fontId="19"/>
  </si>
  <si>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19"/>
  </si>
  <si>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19"/>
  </si>
  <si>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</si>
  <si>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</si>
  <si>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19"/>
  </si>
  <si>
    <t>ファイルを添付する場合、指定したファイルが添付されること。</t>
    <rPh sb="5" eb="7">
      <t>テンプ</t>
    </rPh>
    <rPh sb="9" eb="11">
      <t>バアイ</t>
    </rPh>
    <rPh sb="12" eb="14">
      <t>シテイ</t>
    </rPh>
    <rPh sb="21" eb="23">
      <t>テンプ</t>
    </rPh>
    <phoneticPr fontId="19"/>
  </si>
  <si>
    <t>受信処理</t>
    <rPh sb="0" eb="2">
      <t>ジュシン</t>
    </rPh>
    <rPh sb="2" eb="4">
      <t>ショリ</t>
    </rPh>
    <phoneticPr fontId="19"/>
  </si>
  <si>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19"/>
  </si>
  <si>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19"/>
  </si>
  <si>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19"/>
  </si>
  <si>
    <t>受信した電文の長さが最小長の場合、エラーとならないこと。</t>
    <rPh sb="10" eb="12">
      <t>サイショウ</t>
    </rPh>
    <rPh sb="12" eb="13">
      <t>チョウ</t>
    </rPh>
    <rPh sb="14" eb="16">
      <t>バアイ</t>
    </rPh>
    <phoneticPr fontId="19"/>
  </si>
  <si>
    <t>受信した電文の長さが最小長-1の場合、エラーとなること。</t>
    <rPh sb="10" eb="12">
      <t>サイショウ</t>
    </rPh>
    <rPh sb="12" eb="13">
      <t>チョウ</t>
    </rPh>
    <rPh sb="16" eb="18">
      <t>バアイ</t>
    </rPh>
    <phoneticPr fontId="19"/>
  </si>
  <si>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19"/>
  </si>
  <si>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19"/>
  </si>
  <si>
    <t>受信した電文のレコードが0件の場合、［システム機能設計書/共通コンポーネント設計書の記載通りの挙動］となること。</t>
    <rPh sb="13" eb="14">
      <t>ケン</t>
    </rPh>
    <rPh sb="15" eb="17">
      <t>バアイ</t>
    </rPh>
    <phoneticPr fontId="19"/>
  </si>
  <si>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9"/>
  </si>
  <si>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19"/>
  </si>
  <si>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19"/>
  </si>
  <si>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19"/>
  </si>
  <si>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19"/>
  </si>
  <si>
    <t>送信処理</t>
    <rPh sb="0" eb="2">
      <t>ソウシン</t>
    </rPh>
    <rPh sb="2" eb="4">
      <t>ショリ</t>
    </rPh>
    <phoneticPr fontId="19"/>
  </si>
  <si>
    <t>実行結果</t>
    <rPh sb="0" eb="4">
      <t>ジッコウケッカ</t>
    </rPh>
    <phoneticPr fontId="19"/>
  </si>
  <si>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9"/>
  </si>
  <si>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9"/>
  </si>
  <si>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19"/>
  </si>
  <si>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19"/>
  </si>
  <si>
    <t>電文編集</t>
    <rPh sb="0" eb="2">
      <t>デンブン</t>
    </rPh>
    <rPh sb="2" eb="4">
      <t>ヘンシュウ</t>
    </rPh>
    <phoneticPr fontId="19"/>
  </si>
  <si>
    <t>送信した電文の文字コードが［外部インターフェース設計書/サブシステムインターフェース設計書の記載通り］であること。</t>
    <rPh sb="7" eb="9">
      <t>モジ</t>
    </rPh>
    <phoneticPr fontId="19"/>
  </si>
  <si>
    <t>送信した電文の区切り文字が［外部インターフェース設計書/サブシステムインターフェース設計書の記載通り］であること。</t>
    <rPh sb="7" eb="9">
      <t>クギ</t>
    </rPh>
    <rPh sb="10" eb="12">
      <t>モジ</t>
    </rPh>
    <phoneticPr fontId="19"/>
  </si>
  <si>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19"/>
  </si>
  <si>
    <t>送信した電文の項目並び順が［外部インターフェース設計書/サブシステムインターフェース設計書の記載通り］であること。</t>
    <rPh sb="7" eb="9">
      <t>コウモク</t>
    </rPh>
    <rPh sb="9" eb="10">
      <t>ナラ</t>
    </rPh>
    <rPh sb="11" eb="12">
      <t>ジュン</t>
    </rPh>
    <phoneticPr fontId="19"/>
  </si>
  <si>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</si>
  <si>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19"/>
  </si>
  <si>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19"/>
  </si>
  <si>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</si>
  <si>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</si>
  <si>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</si>
  <si>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19"/>
  </si>
  <si>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19"/>
  </si>
  <si>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19"/>
  </si>
  <si>
    <t>取得した値に改行、タブ、メタキャラクタが含まれる場合、送信された値がエンコーディング、サニタイジングされること。</t>
    <rPh sb="27" eb="29">
      <t>ソウシン</t>
    </rPh>
    <phoneticPr fontId="19"/>
  </si>
  <si>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19"/>
  </si>
  <si>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19"/>
  </si>
  <si>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19"/>
  </si>
  <si>
    <t>送信項目の値が最大長の場合、エラーとならないこと。</t>
    <rPh sb="0" eb="2">
      <t>ソウシン</t>
    </rPh>
    <rPh sb="2" eb="4">
      <t>コウモク</t>
    </rPh>
    <rPh sb="5" eb="6">
      <t>アタイ</t>
    </rPh>
    <rPh sb="7" eb="9">
      <t>サイダイ</t>
    </rPh>
    <rPh sb="9" eb="10">
      <t>チョウ</t>
    </rPh>
    <rPh sb="11" eb="13">
      <t>バアイ</t>
    </rPh>
    <phoneticPr fontId="21"/>
  </si>
  <si>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1"/>
  </si>
  <si>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1"/>
  </si>
  <si>
    <t>送信する電文の長さが最大の場合、エラーとならないこと。</t>
    <rPh sb="0" eb="2">
      <t>ソウシン</t>
    </rPh>
    <rPh sb="4" eb="6">
      <t>デンブン</t>
    </rPh>
    <rPh sb="7" eb="8">
      <t>ナガ</t>
    </rPh>
    <rPh sb="10" eb="12">
      <t>サイダイ</t>
    </rPh>
    <rPh sb="13" eb="15">
      <t>バアイ</t>
    </rPh>
    <phoneticPr fontId="19"/>
  </si>
  <si>
    <t>送信する電文の長さが最小の場合、エラーとならないこと。</t>
    <rPh sb="0" eb="2">
      <t>ソウシン</t>
    </rPh>
    <rPh sb="4" eb="6">
      <t>デンブン</t>
    </rPh>
    <rPh sb="7" eb="8">
      <t>ナガ</t>
    </rPh>
    <rPh sb="10" eb="12">
      <t>サイショウ</t>
    </rPh>
    <rPh sb="13" eb="15">
      <t>バアイ</t>
    </rPh>
    <phoneticPr fontId="19"/>
  </si>
  <si>
    <t>サロゲートペア文字を許容する設計となっている場合、サロゲートペア文字を含む電文を送信した結果がエラーとならないこと。</t>
    <rPh sb="37" eb="39">
      <t>デンブン</t>
    </rPh>
    <rPh sb="40" eb="42">
      <t>ソウシン</t>
    </rPh>
    <phoneticPr fontId="19"/>
  </si>
  <si>
    <t>期待通りの件数分、レコードが送信されること。</t>
    <rPh sb="5" eb="7">
      <t>ケンスウ</t>
    </rPh>
    <rPh sb="7" eb="8">
      <t>ブン</t>
    </rPh>
    <phoneticPr fontId="19"/>
  </si>
  <si>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19"/>
  </si>
  <si>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19"/>
  </si>
  <si>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19"/>
  </si>
  <si>
    <t>送信するレコードが0件の場合、［システム機能設計書/共通コンポーネント設計書の記載通りの挙動］となること。</t>
    <rPh sb="0" eb="2">
      <t>ソウシン</t>
    </rPh>
    <rPh sb="10" eb="11">
      <t>ケン</t>
    </rPh>
    <rPh sb="12" eb="14">
      <t>バアイ</t>
    </rPh>
    <phoneticPr fontId="19"/>
  </si>
  <si>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9"/>
  </si>
  <si>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19"/>
  </si>
  <si>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19"/>
  </si>
  <si>
    <t>送信するレコードのソート順が［システム機能設計書/共通コンポーネント設計書の記載通り］であること。</t>
    <rPh sb="0" eb="2">
      <t>ソウシン</t>
    </rPh>
    <rPh sb="12" eb="13">
      <t>ジュン</t>
    </rPh>
    <phoneticPr fontId="19"/>
  </si>
  <si>
    <t>ログ出力</t>
    <rPh sb="2" eb="4">
      <t>シュツリョク</t>
    </rPh>
    <phoneticPr fontId="19"/>
  </si>
  <si>
    <t>ファイル操作</t>
    <rPh sb="4" eb="6">
      <t>ソウサ</t>
    </rPh>
    <phoneticPr fontId="19"/>
  </si>
  <si>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</si>
  <si>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</si>
  <si>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</si>
  <si>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</si>
  <si>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19"/>
  </si>
  <si>
    <t>ログファイルの文字コードが［方式設計書の記載通り］であること。</t>
    <rPh sb="14" eb="16">
      <t>ホウシキ</t>
    </rPh>
    <rPh sb="16" eb="19">
      <t>セッケイショ</t>
    </rPh>
    <rPh sb="20" eb="22">
      <t>キサイ</t>
    </rPh>
    <rPh sb="22" eb="23">
      <t>ドオ</t>
    </rPh>
    <phoneticPr fontId="19"/>
  </si>
  <si>
    <t>ログファイルの改行コードが［方式設計書の記載通り］であること。</t>
    <rPh sb="7" eb="9">
      <t>カイギョウ</t>
    </rPh>
    <phoneticPr fontId="19"/>
  </si>
  <si>
    <t>ログファイルの区切り文字が［方式設計書の記載通り］であること。</t>
    <rPh sb="7" eb="9">
      <t>クギ</t>
    </rPh>
    <rPh sb="10" eb="12">
      <t>モジ</t>
    </rPh>
    <phoneticPr fontId="19"/>
  </si>
  <si>
    <t>ログファイルの項目並び順が［方式設計書の記載通り］であること。</t>
    <rPh sb="7" eb="9">
      <t>コウモク</t>
    </rPh>
    <rPh sb="9" eb="10">
      <t>ナラ</t>
    </rPh>
    <rPh sb="11" eb="12">
      <t>ジュン</t>
    </rPh>
    <phoneticPr fontId="19"/>
  </si>
  <si>
    <t>出力内容</t>
    <rPh sb="0" eb="2">
      <t>シュツリョク</t>
    </rPh>
    <rPh sb="2" eb="4">
      <t>ナイヨウ</t>
    </rPh>
    <phoneticPr fontId="19"/>
  </si>
  <si>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</si>
  <si>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19"/>
  </si>
  <si>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19"/>
  </si>
  <si>
    <t>取得した値を変換する設計となっている場合、出力された値が［システム機能設計書/共通コンポーネント設計書の記載通り］であること。</t>
    <rPh sb="21" eb="23">
      <t>シュツリョク</t>
    </rPh>
    <rPh sb="26" eb="27">
      <t>アタイ</t>
    </rPh>
    <phoneticPr fontId="19"/>
  </si>
  <si>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</si>
  <si>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19"/>
  </si>
  <si>
    <t>取得した値をマスキングする設計となっている場合、出力された値がマスキングされること。</t>
    <rPh sb="0" eb="2">
      <t>シュトク</t>
    </rPh>
    <rPh sb="4" eb="5">
      <t>アタイ</t>
    </rPh>
    <rPh sb="13" eb="15">
      <t>セッケイ</t>
    </rPh>
    <rPh sb="21" eb="23">
      <t>バアイ</t>
    </rPh>
    <phoneticPr fontId="19"/>
  </si>
  <si>
    <t>画面表示</t>
    <rPh sb="0" eb="2">
      <t>ガメン</t>
    </rPh>
    <rPh sb="2" eb="4">
      <t>ヒョウジ</t>
    </rPh>
    <phoneticPr fontId="2"/>
  </si>
  <si>
    <t>表示結果</t>
    <rPh sb="0" eb="2">
      <t>ヒョウジ</t>
    </rPh>
    <rPh sb="2" eb="4">
      <t>ケッカ</t>
    </rPh>
    <phoneticPr fontId="2"/>
  </si>
  <si>
    <t>画面レイアウト</t>
    <rPh sb="0" eb="2">
      <t>ガメン</t>
    </rPh>
    <phoneticPr fontId="19"/>
  </si>
  <si>
    <t>画面の幅が［UI標準の記載通り］であること。</t>
    <rPh sb="0" eb="2">
      <t>ガメン</t>
    </rPh>
    <rPh sb="3" eb="4">
      <t>ハバ</t>
    </rPh>
    <rPh sb="8" eb="10">
      <t>ヒョウジュン</t>
    </rPh>
    <rPh sb="11" eb="13">
      <t>キサイ</t>
    </rPh>
    <rPh sb="13" eb="14">
      <t>ドオ</t>
    </rPh>
    <phoneticPr fontId="2"/>
  </si>
  <si>
    <t>画面の高さが［UI標準の記載通り］であること。</t>
    <rPh sb="0" eb="2">
      <t>ガメン</t>
    </rPh>
    <rPh sb="3" eb="4">
      <t>タカ</t>
    </rPh>
    <rPh sb="9" eb="11">
      <t>ヒョウジュン</t>
    </rPh>
    <rPh sb="12" eb="14">
      <t>キサイ</t>
    </rPh>
    <rPh sb="14" eb="15">
      <t>ドオ</t>
    </rPh>
    <phoneticPr fontId="2"/>
  </si>
  <si>
    <t>画面のタイトルが［UI標準の記載通り］であること。</t>
    <rPh sb="0" eb="2">
      <t>ガメン</t>
    </rPh>
    <rPh sb="11" eb="13">
      <t>ヒョウジュン</t>
    </rPh>
    <rPh sb="14" eb="16">
      <t>キサイ</t>
    </rPh>
    <rPh sb="16" eb="17">
      <t>ドオ</t>
    </rPh>
    <phoneticPr fontId="2"/>
  </si>
  <si>
    <t>画面のヘッダーが［UI標準の記載通り］であること。</t>
    <rPh sb="0" eb="2">
      <t>ガメン</t>
    </rPh>
    <rPh sb="11" eb="13">
      <t>ヒョウジュン</t>
    </rPh>
    <rPh sb="14" eb="16">
      <t>キサイ</t>
    </rPh>
    <rPh sb="16" eb="17">
      <t>ドオ</t>
    </rPh>
    <phoneticPr fontId="2"/>
  </si>
  <si>
    <t>画面のフッターが［UI標準の記載通り］であること。</t>
    <rPh sb="0" eb="2">
      <t>ガメン</t>
    </rPh>
    <rPh sb="11" eb="13">
      <t>ヒョウジュン</t>
    </rPh>
    <rPh sb="14" eb="16">
      <t>キサイ</t>
    </rPh>
    <rPh sb="16" eb="17">
      <t>ドオ</t>
    </rPh>
    <phoneticPr fontId="2"/>
  </si>
  <si>
    <t>画面の縦スクロールが［UI標準の記載通り］であること。</t>
    <rPh sb="0" eb="2">
      <t>ガメン</t>
    </rPh>
    <rPh sb="3" eb="4">
      <t>タテ</t>
    </rPh>
    <rPh sb="13" eb="15">
      <t>ヒョウジュン</t>
    </rPh>
    <rPh sb="16" eb="18">
      <t>キサイ</t>
    </rPh>
    <rPh sb="18" eb="19">
      <t>ドオ</t>
    </rPh>
    <phoneticPr fontId="2"/>
  </si>
  <si>
    <t>画面の横スクロールが［UI標準の記載通り］であること。</t>
    <rPh sb="0" eb="2">
      <t>ガメン</t>
    </rPh>
    <rPh sb="3" eb="4">
      <t>ヨコ</t>
    </rPh>
    <rPh sb="13" eb="15">
      <t>ヒョウジュン</t>
    </rPh>
    <rPh sb="16" eb="18">
      <t>キサイ</t>
    </rPh>
    <rPh sb="18" eb="19">
      <t>ドオ</t>
    </rPh>
    <phoneticPr fontId="2"/>
  </si>
  <si>
    <t>フォントが［UI標準の記載通り］であること。</t>
    <rPh sb="8" eb="10">
      <t>ヒョウジュン</t>
    </rPh>
    <rPh sb="11" eb="13">
      <t>キサイ</t>
    </rPh>
    <rPh sb="13" eb="14">
      <t>ドオ</t>
    </rPh>
    <phoneticPr fontId="2"/>
  </si>
  <si>
    <t>文字スタイル（太字斜体など）が［UI標準の記載通り］であること。</t>
    <rPh sb="0" eb="2">
      <t>モジ</t>
    </rPh>
    <rPh sb="7" eb="9">
      <t>フトジ</t>
    </rPh>
    <rPh sb="9" eb="11">
      <t>シャタイ</t>
    </rPh>
    <rPh sb="18" eb="20">
      <t>ヒョウジュン</t>
    </rPh>
    <rPh sb="21" eb="23">
      <t>キサイ</t>
    </rPh>
    <rPh sb="23" eb="24">
      <t>ドオ</t>
    </rPh>
    <phoneticPr fontId="2"/>
  </si>
  <si>
    <t>文字サイズが［UI標準の記載通り］であること。</t>
    <rPh sb="0" eb="2">
      <t>モジ</t>
    </rPh>
    <rPh sb="9" eb="11">
      <t>ヒョウジュン</t>
    </rPh>
    <rPh sb="12" eb="14">
      <t>キサイ</t>
    </rPh>
    <rPh sb="14" eb="15">
      <t>ドオ</t>
    </rPh>
    <phoneticPr fontId="2"/>
  </si>
  <si>
    <t>文字色が［UI標準の記載通り］であること。</t>
    <rPh sb="0" eb="2">
      <t>モジ</t>
    </rPh>
    <rPh sb="2" eb="3">
      <t>イロ</t>
    </rPh>
    <rPh sb="7" eb="9">
      <t>ヒョウジュン</t>
    </rPh>
    <rPh sb="10" eb="12">
      <t>キサイ</t>
    </rPh>
    <rPh sb="12" eb="13">
      <t>ドオ</t>
    </rPh>
    <phoneticPr fontId="2"/>
  </si>
  <si>
    <t>背景色が［UI標準の記載通り］であること。</t>
    <rPh sb="0" eb="2">
      <t>ハイケイ</t>
    </rPh>
    <rPh sb="2" eb="3">
      <t>イロ</t>
    </rPh>
    <rPh sb="7" eb="9">
      <t>ヒョウジュン</t>
    </rPh>
    <rPh sb="10" eb="12">
      <t>キサイ</t>
    </rPh>
    <rPh sb="12" eb="13">
      <t>ドオ</t>
    </rPh>
    <phoneticPr fontId="2"/>
  </si>
  <si>
    <t>表示項目の名称が［システム機能設計書の記載通り］であること。</t>
    <rPh sb="0" eb="2">
      <t>ヒョウジ</t>
    </rPh>
    <rPh sb="2" eb="4">
      <t>コウモク</t>
    </rPh>
    <rPh sb="5" eb="7">
      <t>メイショウ</t>
    </rPh>
    <rPh sb="13" eb="15">
      <t>キノウ</t>
    </rPh>
    <rPh sb="15" eb="17">
      <t>セッケイ</t>
    </rPh>
    <rPh sb="17" eb="18">
      <t>ショ</t>
    </rPh>
    <rPh sb="19" eb="21">
      <t>キサイ</t>
    </rPh>
    <rPh sb="21" eb="22">
      <t>ドオ</t>
    </rPh>
    <phoneticPr fontId="2"/>
  </si>
  <si>
    <t>固定表示文言が［システム機能設計書の記載通り］であること。</t>
    <rPh sb="0" eb="2">
      <t>コテイ</t>
    </rPh>
    <rPh sb="2" eb="4">
      <t>ヒョウジ</t>
    </rPh>
    <rPh sb="4" eb="6">
      <t>モンゴン</t>
    </rPh>
    <rPh sb="12" eb="14">
      <t>キノウ</t>
    </rPh>
    <rPh sb="14" eb="16">
      <t>セッケイ</t>
    </rPh>
    <rPh sb="16" eb="17">
      <t>ショ</t>
    </rPh>
    <rPh sb="18" eb="20">
      <t>キサイ</t>
    </rPh>
    <rPh sb="20" eb="21">
      <t>ドオ</t>
    </rPh>
    <phoneticPr fontId="2"/>
  </si>
  <si>
    <t>表示メッセージが［システム機能設計書の記載通り］であること。</t>
    <rPh sb="0" eb="2">
      <t>ヒョウジ</t>
    </rPh>
    <rPh sb="13" eb="15">
      <t>キノウ</t>
    </rPh>
    <rPh sb="15" eb="17">
      <t>セッケイ</t>
    </rPh>
    <rPh sb="17" eb="18">
      <t>ショ</t>
    </rPh>
    <rPh sb="19" eb="21">
      <t>キサイ</t>
    </rPh>
    <rPh sb="21" eb="22">
      <t>ドオ</t>
    </rPh>
    <phoneticPr fontId="2"/>
  </si>
  <si>
    <t>各UI部品の表示位置が［システム機能設計書の記載通り］であること。</t>
    <rPh sb="0" eb="1">
      <t>カク</t>
    </rPh>
    <rPh sb="3" eb="5">
      <t>ブヒン</t>
    </rPh>
    <rPh sb="6" eb="8">
      <t>ヒョウジ</t>
    </rPh>
    <rPh sb="8" eb="10">
      <t>イチ</t>
    </rPh>
    <rPh sb="16" eb="18">
      <t>キノウ</t>
    </rPh>
    <rPh sb="18" eb="20">
      <t>セッケイ</t>
    </rPh>
    <rPh sb="20" eb="21">
      <t>ショ</t>
    </rPh>
    <rPh sb="22" eb="24">
      <t>キサイ</t>
    </rPh>
    <rPh sb="24" eb="25">
      <t>ドオ</t>
    </rPh>
    <phoneticPr fontId="2"/>
  </si>
  <si>
    <t>各UI部品の表示サイズ（幅、高さ、行数）が［システム機能設計書の記載通り］であること。</t>
    <rPh sb="0" eb="1">
      <t>カク</t>
    </rPh>
    <rPh sb="3" eb="5">
      <t>ブヒン</t>
    </rPh>
    <rPh sb="6" eb="8">
      <t>ヒョウジ</t>
    </rPh>
    <rPh sb="12" eb="13">
      <t>ハバ</t>
    </rPh>
    <rPh sb="14" eb="15">
      <t>タカ</t>
    </rPh>
    <rPh sb="17" eb="19">
      <t>ギョウスウ</t>
    </rPh>
    <rPh sb="26" eb="28">
      <t>キノウ</t>
    </rPh>
    <rPh sb="28" eb="30">
      <t>セッケイ</t>
    </rPh>
    <rPh sb="30" eb="31">
      <t>ショ</t>
    </rPh>
    <rPh sb="32" eb="34">
      <t>キサイ</t>
    </rPh>
    <rPh sb="34" eb="35">
      <t>ドオ</t>
    </rPh>
    <phoneticPr fontId="2"/>
  </si>
  <si>
    <t>必須/任意の表示が［システム機能設計書の記載通り］であること。</t>
    <rPh sb="0" eb="2">
      <t>ヒッス</t>
    </rPh>
    <rPh sb="3" eb="5">
      <t>ニンイ</t>
    </rPh>
    <rPh sb="6" eb="8">
      <t>ヒョウジ</t>
    </rPh>
    <rPh sb="14" eb="16">
      <t>キノウ</t>
    </rPh>
    <rPh sb="16" eb="18">
      <t>セッケイ</t>
    </rPh>
    <rPh sb="18" eb="19">
      <t>ショ</t>
    </rPh>
    <rPh sb="20" eb="22">
      <t>キサイ</t>
    </rPh>
    <rPh sb="22" eb="23">
      <t>ドオ</t>
    </rPh>
    <phoneticPr fontId="2"/>
  </si>
  <si>
    <t>画像の表示が［システム機能設計書の記載通り］であること。</t>
    <rPh sb="0" eb="2">
      <t>ガゾウ</t>
    </rPh>
    <rPh sb="3" eb="5">
      <t>ヒョウジ</t>
    </rPh>
    <rPh sb="11" eb="13">
      <t>キノウ</t>
    </rPh>
    <rPh sb="13" eb="15">
      <t>セッケイ</t>
    </rPh>
    <rPh sb="15" eb="16">
      <t>ショ</t>
    </rPh>
    <rPh sb="17" eb="19">
      <t>キサイ</t>
    </rPh>
    <rPh sb="19" eb="20">
      <t>ドオ</t>
    </rPh>
    <phoneticPr fontId="2"/>
  </si>
  <si>
    <t>バナー広告の表示が［システム機能設計書の記載通り］であること。</t>
    <rPh sb="3" eb="5">
      <t>コウコク</t>
    </rPh>
    <rPh sb="6" eb="8">
      <t>ヒョウジ</t>
    </rPh>
    <rPh sb="14" eb="16">
      <t>キノウ</t>
    </rPh>
    <rPh sb="16" eb="18">
      <t>セッケイ</t>
    </rPh>
    <rPh sb="18" eb="19">
      <t>ショ</t>
    </rPh>
    <rPh sb="20" eb="22">
      <t>キサイ</t>
    </rPh>
    <rPh sb="22" eb="23">
      <t>ドオ</t>
    </rPh>
    <phoneticPr fontId="2"/>
  </si>
  <si>
    <t>活性/非活性</t>
    <rPh sb="0" eb="2">
      <t>カッセイ</t>
    </rPh>
    <rPh sb="3" eb="4">
      <t>ヒ</t>
    </rPh>
    <rPh sb="4" eb="6">
      <t>カッセイ</t>
    </rPh>
    <phoneticPr fontId="19"/>
  </si>
  <si>
    <t>活性となる状態の場合、該当UI部品が活性となっていること。</t>
    <rPh sb="0" eb="2">
      <t>カッセイ</t>
    </rPh>
    <rPh sb="5" eb="7">
      <t>ジョウタイ</t>
    </rPh>
    <rPh sb="8" eb="10">
      <t>バアイ</t>
    </rPh>
    <rPh sb="11" eb="13">
      <t>ガイトウ</t>
    </rPh>
    <rPh sb="15" eb="17">
      <t>ブヒン</t>
    </rPh>
    <rPh sb="18" eb="20">
      <t>カッセイ</t>
    </rPh>
    <phoneticPr fontId="19"/>
  </si>
  <si>
    <t>非活性となる状態の場合、該当UI部品が非活性となっていること。</t>
    <rPh sb="0" eb="1">
      <t>ヒ</t>
    </rPh>
    <rPh sb="1" eb="3">
      <t>カッセイ</t>
    </rPh>
    <rPh sb="6" eb="8">
      <t>ジョウタイ</t>
    </rPh>
    <rPh sb="9" eb="11">
      <t>バアイ</t>
    </rPh>
    <rPh sb="12" eb="14">
      <t>ガイトウ</t>
    </rPh>
    <rPh sb="19" eb="20">
      <t>ヒ</t>
    </rPh>
    <rPh sb="20" eb="22">
      <t>カッセイ</t>
    </rPh>
    <phoneticPr fontId="19"/>
  </si>
  <si>
    <t>表示/非表示</t>
    <rPh sb="0" eb="2">
      <t>ヒョウジ</t>
    </rPh>
    <rPh sb="3" eb="6">
      <t>ヒヒョウジ</t>
    </rPh>
    <phoneticPr fontId="19"/>
  </si>
  <si>
    <t>表示の状態の場合、該当項目、文言が表示されること。</t>
    <rPh sb="0" eb="2">
      <t>ヒョウジ</t>
    </rPh>
    <rPh sb="3" eb="5">
      <t>ジョウタイ</t>
    </rPh>
    <rPh sb="6" eb="8">
      <t>バアイ</t>
    </rPh>
    <rPh sb="9" eb="11">
      <t>ガイトウ</t>
    </rPh>
    <rPh sb="11" eb="13">
      <t>コウモク</t>
    </rPh>
    <rPh sb="14" eb="16">
      <t>モンゴン</t>
    </rPh>
    <rPh sb="17" eb="19">
      <t>ヒョウジ</t>
    </rPh>
    <phoneticPr fontId="19"/>
  </si>
  <si>
    <t>非表示の状態の場合、該当項目、文言が表示されないこと。</t>
    <rPh sb="0" eb="1">
      <t>ヒ</t>
    </rPh>
    <rPh sb="1" eb="3">
      <t>ヒョウジ</t>
    </rPh>
    <rPh sb="4" eb="6">
      <t>ジョウタイ</t>
    </rPh>
    <rPh sb="7" eb="9">
      <t>バアイ</t>
    </rPh>
    <rPh sb="10" eb="12">
      <t>ガイトウ</t>
    </rPh>
    <rPh sb="12" eb="14">
      <t>コウモク</t>
    </rPh>
    <rPh sb="15" eb="17">
      <t>モンゴン</t>
    </rPh>
    <rPh sb="18" eb="20">
      <t>ヒョウジ</t>
    </rPh>
    <phoneticPr fontId="19"/>
  </si>
  <si>
    <t>ランダム表示</t>
    <rPh sb="4" eb="6">
      <t>ヒョウジ</t>
    </rPh>
    <phoneticPr fontId="19"/>
  </si>
  <si>
    <t>該当項目について、ランダム表示処理ができること。</t>
    <rPh sb="0" eb="2">
      <t>ガイトウ</t>
    </rPh>
    <rPh sb="2" eb="4">
      <t>コウモク</t>
    </rPh>
    <rPh sb="13" eb="15">
      <t>ヒョウジ</t>
    </rPh>
    <rPh sb="15" eb="17">
      <t>ショリ</t>
    </rPh>
    <phoneticPr fontId="19"/>
  </si>
  <si>
    <t>エラーの場合、そのエラーに対応した画面レイアウトが表示されること。</t>
    <rPh sb="4" eb="6">
      <t>バアイ</t>
    </rPh>
    <rPh sb="13" eb="15">
      <t>タイオウ</t>
    </rPh>
    <rPh sb="17" eb="19">
      <t>ガメン</t>
    </rPh>
    <rPh sb="25" eb="27">
      <t>ヒョウジ</t>
    </rPh>
    <phoneticPr fontId="20"/>
  </si>
  <si>
    <t>エラーの場合、そのエラーに対応したエラーメッセージが表示されること。</t>
    <rPh sb="4" eb="6">
      <t>バアイ</t>
    </rPh>
    <rPh sb="13" eb="15">
      <t>タイオウ</t>
    </rPh>
    <rPh sb="26" eb="28">
      <t>ヒョウジ</t>
    </rPh>
    <phoneticPr fontId="19"/>
  </si>
  <si>
    <t>複数の単項目バリデーションを実施し、その結果をまとめて表示する画面に対し、エラーが複数件発生した場合、対象のエラーがすべて送出されること。</t>
    <rPh sb="27" eb="29">
      <t>ヒョウジ</t>
    </rPh>
    <rPh sb="31" eb="33">
      <t>ガメン</t>
    </rPh>
    <phoneticPr fontId="19"/>
  </si>
  <si>
    <t>複数の単項目バリデーションを実施し、その結果をまとめて表示する画面に対し、エラーが複数件発生した場合、エラーメッセージのソート順が［システム機能設計書の記載通り］であること。</t>
    <rPh sb="63" eb="64">
      <t>ジュン</t>
    </rPh>
    <phoneticPr fontId="19"/>
  </si>
  <si>
    <t>複数の相関バリデーションを実施し、その結果をまとめて表示する画面に対し、エラーが複数件発生した場合、対象のエラーがすべて送出されること。</t>
    <rPh sb="3" eb="5">
      <t>ソウカン</t>
    </rPh>
    <rPh sb="26" eb="28">
      <t>ヒョウジ</t>
    </rPh>
    <rPh sb="30" eb="32">
      <t>ガメン</t>
    </rPh>
    <phoneticPr fontId="19"/>
  </si>
  <si>
    <t>複数の相関バリデーションを実施し、その結果をまとめて表示する画面に対し、エラーが複数件発生した場合、エラーメッセージのソート順が［システム機能設計書の記載通り］であること。</t>
    <rPh sb="3" eb="5">
      <t>ソウカン</t>
    </rPh>
    <rPh sb="62" eb="63">
      <t>ジュン</t>
    </rPh>
    <phoneticPr fontId="19"/>
  </si>
  <si>
    <t>DBとの相関バリデーションを複数実施し、その結果をまとめて表示する画面に対し、エラーが複数件発生した場合、対象のエラーがすべて送出されること。</t>
    <rPh sb="29" eb="31">
      <t>ヒョウジ</t>
    </rPh>
    <rPh sb="33" eb="35">
      <t>ガメン</t>
    </rPh>
    <phoneticPr fontId="19"/>
  </si>
  <si>
    <t>DBとの相関バリデーションを複数実施し、その結果をまとめて表示する画面に対し、エラーが複数件発生した場合、エラーメッセージのソート順が［システム機能設計書の記載通り］であること。</t>
    <rPh sb="65" eb="66">
      <t>ジュン</t>
    </rPh>
    <phoneticPr fontId="19"/>
  </si>
  <si>
    <t>タイムアウトした場合、［システム機能設計書/UI標準の記載通りの挙動］となること。</t>
    <rPh sb="8" eb="10">
      <t>バアイ</t>
    </rPh>
    <phoneticPr fontId="19"/>
  </si>
  <si>
    <t>スタイルシートが［システム機能設計書/UI標準の記載通りの挙動］となること。</t>
    <rPh sb="13" eb="15">
      <t>キノウ</t>
    </rPh>
    <rPh sb="15" eb="17">
      <t>セッケイ</t>
    </rPh>
    <rPh sb="17" eb="18">
      <t>ショ</t>
    </rPh>
    <rPh sb="21" eb="23">
      <t>ヒョウジュン</t>
    </rPh>
    <rPh sb="24" eb="26">
      <t>キサイ</t>
    </rPh>
    <rPh sb="26" eb="27">
      <t>ドオ</t>
    </rPh>
    <rPh sb="29" eb="31">
      <t>キョドウ</t>
    </rPh>
    <phoneticPr fontId="2"/>
  </si>
  <si>
    <t>JavaScriptエラーが発生しないこと。</t>
    <rPh sb="14" eb="16">
      <t>ハッセイ</t>
    </rPh>
    <phoneticPr fontId="19"/>
  </si>
  <si>
    <t>UI部品</t>
    <rPh sb="2" eb="4">
      <t>ブヒン</t>
    </rPh>
    <phoneticPr fontId="19"/>
  </si>
  <si>
    <t>使用しているUI部品の種類が、［システム機能設計書の記載通り］であること。</t>
    <rPh sb="0" eb="2">
      <t>シヨウ</t>
    </rPh>
    <rPh sb="8" eb="10">
      <t>ブヒン</t>
    </rPh>
    <rPh sb="11" eb="13">
      <t>シュルイ</t>
    </rPh>
    <phoneticPr fontId="19"/>
  </si>
  <si>
    <t>UI部品で表示するデフォルト値が［システム機能設計書の記載通り］であること。</t>
    <rPh sb="2" eb="4">
      <t>ブヒン</t>
    </rPh>
    <rPh sb="5" eb="7">
      <t>ヒョウジ</t>
    </rPh>
    <rPh sb="14" eb="15">
      <t>チ</t>
    </rPh>
    <phoneticPr fontId="19"/>
  </si>
  <si>
    <t>UI部品で表示するデータの取得元が［システム機能設計書の記載通り］であること。</t>
    <rPh sb="2" eb="4">
      <t>ブヒン</t>
    </rPh>
    <rPh sb="5" eb="7">
      <t>ヒョウジ</t>
    </rPh>
    <rPh sb="13" eb="15">
      <t>シュトク</t>
    </rPh>
    <rPh sb="15" eb="16">
      <t>モト</t>
    </rPh>
    <phoneticPr fontId="19"/>
  </si>
  <si>
    <t>UI部品で表示するデータの編集仕様が［システム機能設計書の記載通り］であること。</t>
    <rPh sb="2" eb="4">
      <t>ブヒン</t>
    </rPh>
    <rPh sb="5" eb="7">
      <t>ヒョウジ</t>
    </rPh>
    <rPh sb="13" eb="15">
      <t>ヘンシュウ</t>
    </rPh>
    <rPh sb="15" eb="17">
      <t>シヨウ</t>
    </rPh>
    <phoneticPr fontId="19"/>
  </si>
  <si>
    <t>UI部品で表示するデータのソート順が［システム機能設計書の記載通り］であること。</t>
    <rPh sb="2" eb="4">
      <t>ブヒン</t>
    </rPh>
    <rPh sb="5" eb="7">
      <t>ヒョウジ</t>
    </rPh>
    <rPh sb="16" eb="17">
      <t>ジュン</t>
    </rPh>
    <phoneticPr fontId="19"/>
  </si>
  <si>
    <t>一覧の表示可能件数が上限以内であること。</t>
    <rPh sb="0" eb="2">
      <t>イチラン</t>
    </rPh>
    <rPh sb="5" eb="7">
      <t>カノウ</t>
    </rPh>
    <rPh sb="10" eb="12">
      <t>ジョウゲン</t>
    </rPh>
    <phoneticPr fontId="2"/>
  </si>
  <si>
    <t>一覧の表示件数が上限を超えた場合、ページングされること。</t>
    <rPh sb="0" eb="2">
      <t>イチラン</t>
    </rPh>
    <rPh sb="3" eb="5">
      <t>ヒョウジ</t>
    </rPh>
    <rPh sb="5" eb="7">
      <t>ケンスウ</t>
    </rPh>
    <rPh sb="8" eb="10">
      <t>ジョウゲン</t>
    </rPh>
    <rPh sb="11" eb="12">
      <t>コ</t>
    </rPh>
    <rPh sb="14" eb="16">
      <t>バアイ</t>
    </rPh>
    <phoneticPr fontId="19"/>
  </si>
  <si>
    <t>一覧に表示されるデータのソート順が［システム機能設計書の記載通り］であること。</t>
    <rPh sb="0" eb="2">
      <t>イチラン</t>
    </rPh>
    <rPh sb="3" eb="5">
      <t>ヒョウジ</t>
    </rPh>
    <rPh sb="15" eb="16">
      <t>ジュン</t>
    </rPh>
    <phoneticPr fontId="19"/>
  </si>
  <si>
    <t>画面表示データ</t>
    <rPh sb="0" eb="2">
      <t>ガメン</t>
    </rPh>
    <rPh sb="2" eb="4">
      <t>ヒョウジ</t>
    </rPh>
    <phoneticPr fontId="2"/>
  </si>
  <si>
    <t>画面に表示されるデータの取得元が［システム機能設計書の記載通り］であること。</t>
    <rPh sb="0" eb="2">
      <t>ガメン</t>
    </rPh>
    <rPh sb="3" eb="5">
      <t>ヒョウジ</t>
    </rPh>
    <rPh sb="12" eb="14">
      <t>シュトク</t>
    </rPh>
    <rPh sb="14" eb="15">
      <t>モト</t>
    </rPh>
    <phoneticPr fontId="19"/>
  </si>
  <si>
    <t>画面に表示されるデータが最大長の場合、エラーとならないこと。</t>
    <rPh sb="0" eb="2">
      <t>ガメン</t>
    </rPh>
    <rPh sb="3" eb="5">
      <t>ヒョウジ</t>
    </rPh>
    <rPh sb="12" eb="14">
      <t>サイダイ</t>
    </rPh>
    <rPh sb="14" eb="15">
      <t>チョウ</t>
    </rPh>
    <rPh sb="16" eb="18">
      <t>バアイ</t>
    </rPh>
    <phoneticPr fontId="19"/>
  </si>
  <si>
    <t>画面に表示されるデータが最大長の場合、レイアウト崩れがないこと。</t>
    <rPh sb="0" eb="2">
      <t>ガメン</t>
    </rPh>
    <rPh sb="3" eb="5">
      <t>ヒョウジ</t>
    </rPh>
    <rPh sb="12" eb="14">
      <t>サイダイ</t>
    </rPh>
    <rPh sb="14" eb="15">
      <t>チョウ</t>
    </rPh>
    <rPh sb="16" eb="18">
      <t>バアイ</t>
    </rPh>
    <rPh sb="24" eb="25">
      <t>クズ</t>
    </rPh>
    <phoneticPr fontId="19"/>
  </si>
  <si>
    <t>画面に表示されるデータが最小長の場合、エラーとならないこと。</t>
    <rPh sb="0" eb="2">
      <t>ガメン</t>
    </rPh>
    <rPh sb="3" eb="5">
      <t>ヒョウジ</t>
    </rPh>
    <rPh sb="12" eb="14">
      <t>サイショウ</t>
    </rPh>
    <rPh sb="14" eb="15">
      <t>チョウ</t>
    </rPh>
    <rPh sb="16" eb="18">
      <t>バアイ</t>
    </rPh>
    <phoneticPr fontId="19"/>
  </si>
  <si>
    <t>画面に表示されるデータが取得できない場合、［システム機能設計書の記載通りの挙動］となること。</t>
    <rPh sb="0" eb="2">
      <t>ガメン</t>
    </rPh>
    <rPh sb="3" eb="5">
      <t>ヒョウジ</t>
    </rPh>
    <rPh sb="12" eb="14">
      <t>シュトク</t>
    </rPh>
    <rPh sb="18" eb="20">
      <t>バアイ</t>
    </rPh>
    <rPh sb="26" eb="31">
      <t>キノウセッケイショ</t>
    </rPh>
    <rPh sb="32" eb="35">
      <t>キサイドオ</t>
    </rPh>
    <rPh sb="37" eb="39">
      <t>キョドウ</t>
    </rPh>
    <phoneticPr fontId="19"/>
  </si>
  <si>
    <t>サロゲートペア文字を許容する設計となっている場合、サロゲートペア文字を含む値を表示した結果がエラーとならないこと。</t>
    <rPh sb="39" eb="41">
      <t>ヒョウジ</t>
    </rPh>
    <phoneticPr fontId="19"/>
  </si>
  <si>
    <t>画面に表示されるデータの件数が最大件数の場合、エラーとならないこと。</t>
    <rPh sb="0" eb="2">
      <t>ガメン</t>
    </rPh>
    <rPh sb="3" eb="5">
      <t>ヒョウジ</t>
    </rPh>
    <rPh sb="12" eb="14">
      <t>ケンスウ</t>
    </rPh>
    <rPh sb="15" eb="17">
      <t>サイダイ</t>
    </rPh>
    <rPh sb="17" eb="19">
      <t>ケンスウ</t>
    </rPh>
    <rPh sb="20" eb="22">
      <t>バアイ</t>
    </rPh>
    <phoneticPr fontId="19"/>
  </si>
  <si>
    <t>画面に表示されるデータの件数が最大件数+1の場合、［システム機能設計書の記載通りの挙動］となること。</t>
    <rPh sb="0" eb="2">
      <t>ガメン</t>
    </rPh>
    <rPh sb="3" eb="5">
      <t>ヒョウジ</t>
    </rPh>
    <rPh sb="12" eb="14">
      <t>ケンスウ</t>
    </rPh>
    <rPh sb="15" eb="17">
      <t>サイダイ</t>
    </rPh>
    <rPh sb="17" eb="19">
      <t>ケンスウ</t>
    </rPh>
    <rPh sb="22" eb="24">
      <t>バアイ</t>
    </rPh>
    <phoneticPr fontId="19"/>
  </si>
  <si>
    <t>画面に表示されるデータの件数が最小件数の場合、エラーとならないこと。</t>
    <rPh sb="0" eb="2">
      <t>ガメン</t>
    </rPh>
    <rPh sb="3" eb="5">
      <t>ヒョウジ</t>
    </rPh>
    <rPh sb="12" eb="14">
      <t>ケンスウ</t>
    </rPh>
    <rPh sb="15" eb="17">
      <t>サイショウ</t>
    </rPh>
    <rPh sb="17" eb="19">
      <t>ケンスウ</t>
    </rPh>
    <rPh sb="20" eb="22">
      <t>バアイ</t>
    </rPh>
    <phoneticPr fontId="19"/>
  </si>
  <si>
    <t>画面に表示されるデータの件数が最小件数-1の場合、［システム機能設計書の記載通りの挙動］となること。</t>
    <rPh sb="0" eb="2">
      <t>ガメン</t>
    </rPh>
    <rPh sb="3" eb="5">
      <t>ヒョウジ</t>
    </rPh>
    <rPh sb="12" eb="14">
      <t>ケンスウ</t>
    </rPh>
    <rPh sb="15" eb="17">
      <t>サイショウ</t>
    </rPh>
    <rPh sb="17" eb="19">
      <t>ケンスウ</t>
    </rPh>
    <rPh sb="22" eb="24">
      <t>バアイ</t>
    </rPh>
    <phoneticPr fontId="19"/>
  </si>
  <si>
    <t>画面に表示されるデータの件数が0件の場合、［システム機能設計書の記載通りの挙動］となること。</t>
    <rPh sb="0" eb="2">
      <t>ガメン</t>
    </rPh>
    <rPh sb="3" eb="5">
      <t>ヒョウジ</t>
    </rPh>
    <rPh sb="12" eb="14">
      <t>ケンスウ</t>
    </rPh>
    <rPh sb="16" eb="17">
      <t>ケン</t>
    </rPh>
    <rPh sb="18" eb="20">
      <t>バアイ</t>
    </rPh>
    <phoneticPr fontId="19"/>
  </si>
  <si>
    <t>画面に表示されるデータの編集仕様が［システム機能設計書の記載通り］であること。</t>
    <rPh sb="12" eb="14">
      <t>ヘンシュウ</t>
    </rPh>
    <rPh sb="14" eb="16">
      <t>シヨウ</t>
    </rPh>
    <rPh sb="22" eb="24">
      <t>キノウ</t>
    </rPh>
    <rPh sb="24" eb="26">
      <t>セッケイ</t>
    </rPh>
    <rPh sb="26" eb="27">
      <t>ショ</t>
    </rPh>
    <rPh sb="28" eb="30">
      <t>キサイ</t>
    </rPh>
    <rPh sb="30" eb="31">
      <t>ドオ</t>
    </rPh>
    <phoneticPr fontId="19"/>
  </si>
  <si>
    <t>画面に表示されるデータのソート順が［システム機能設計書の記載通り］であること。</t>
    <rPh sb="15" eb="16">
      <t>ジュン</t>
    </rPh>
    <rPh sb="22" eb="24">
      <t>キノウ</t>
    </rPh>
    <rPh sb="24" eb="26">
      <t>セッケイ</t>
    </rPh>
    <rPh sb="26" eb="27">
      <t>ショ</t>
    </rPh>
    <rPh sb="28" eb="30">
      <t>キサイ</t>
    </rPh>
    <rPh sb="30" eb="31">
      <t>ドオ</t>
    </rPh>
    <phoneticPr fontId="19"/>
  </si>
  <si>
    <t>画面に表示されるデータに改行が含まれる場合、［システム機能設計書の記載通りの挙動］となること。</t>
    <rPh sb="0" eb="2">
      <t>ガメン</t>
    </rPh>
    <rPh sb="3" eb="5">
      <t>ヒョウジ</t>
    </rPh>
    <rPh sb="12" eb="14">
      <t>カイギョウ</t>
    </rPh>
    <rPh sb="15" eb="16">
      <t>フク</t>
    </rPh>
    <rPh sb="19" eb="21">
      <t>バアイ</t>
    </rPh>
    <phoneticPr fontId="19"/>
  </si>
  <si>
    <t>取得した値を変換する設計となっている場合、表示された値が［システム機能設計書の記載通り］であること。</t>
    <rPh sb="21" eb="23">
      <t>ヒョウジ</t>
    </rPh>
    <phoneticPr fontId="19"/>
  </si>
  <si>
    <t>取得した値を編集する処理が分岐する設計となっている場合、表示された値が［システム機能設計書の記載通り］であること。</t>
    <rPh sb="6" eb="8">
      <t>ヘンシュウ</t>
    </rPh>
    <rPh sb="10" eb="12">
      <t>ショリ</t>
    </rPh>
    <rPh sb="13" eb="15">
      <t>ブンキ</t>
    </rPh>
    <rPh sb="17" eb="19">
      <t>セッケイ</t>
    </rPh>
    <rPh sb="25" eb="27">
      <t>バアイ</t>
    </rPh>
    <phoneticPr fontId="19"/>
  </si>
  <si>
    <t>取得した値を使用して計算する設計となっている場合、表示された値が［システム機能設計書の記載通り］であること。</t>
    <rPh sb="0" eb="2">
      <t>シュトク</t>
    </rPh>
    <rPh sb="4" eb="5">
      <t>アタイ</t>
    </rPh>
    <rPh sb="6" eb="8">
      <t>シヨウ</t>
    </rPh>
    <rPh sb="10" eb="12">
      <t>ケイサン</t>
    </rPh>
    <rPh sb="14" eb="16">
      <t>セッケイ</t>
    </rPh>
    <rPh sb="22" eb="24">
      <t>バアイ</t>
    </rPh>
    <phoneticPr fontId="19"/>
  </si>
  <si>
    <t>取得した値を連結する設計となっている場合、表示された値が［システム機能設計書の記載通り］であること。</t>
    <rPh sb="0" eb="2">
      <t>シュトク</t>
    </rPh>
    <rPh sb="4" eb="5">
      <t>アタイ</t>
    </rPh>
    <rPh sb="6" eb="8">
      <t>レンケツ</t>
    </rPh>
    <rPh sb="10" eb="12">
      <t>セッケイ</t>
    </rPh>
    <rPh sb="18" eb="20">
      <t>バアイ</t>
    </rPh>
    <phoneticPr fontId="19"/>
  </si>
  <si>
    <t>取得した値を暗号化する設計となっている場合、表示された値が暗号化されること。</t>
    <rPh sb="0" eb="2">
      <t>シュトク</t>
    </rPh>
    <rPh sb="4" eb="5">
      <t>アタイ</t>
    </rPh>
    <rPh sb="6" eb="9">
      <t>アンゴウカ</t>
    </rPh>
    <rPh sb="11" eb="13">
      <t>セッケイ</t>
    </rPh>
    <rPh sb="19" eb="21">
      <t>バアイ</t>
    </rPh>
    <rPh sb="22" eb="24">
      <t>ヒョウジ</t>
    </rPh>
    <rPh sb="27" eb="28">
      <t>アタイ</t>
    </rPh>
    <rPh sb="29" eb="32">
      <t>アンゴウカ</t>
    </rPh>
    <phoneticPr fontId="19"/>
  </si>
  <si>
    <t>取得した値をマスキングする設計となっている場合、表示された値がマスキングされること。</t>
    <rPh sb="0" eb="2">
      <t>シュトク</t>
    </rPh>
    <rPh sb="4" eb="5">
      <t>アタイ</t>
    </rPh>
    <rPh sb="13" eb="15">
      <t>セッケイ</t>
    </rPh>
    <rPh sb="21" eb="23">
      <t>バアイ</t>
    </rPh>
    <rPh sb="24" eb="26">
      <t>ヒョウジ</t>
    </rPh>
    <rPh sb="29" eb="30">
      <t>アタイ</t>
    </rPh>
    <phoneticPr fontId="19"/>
  </si>
  <si>
    <t>イベント実行結果</t>
    <rPh sb="4" eb="6">
      <t>ジッコウ</t>
    </rPh>
    <rPh sb="6" eb="8">
      <t>ケッカ</t>
    </rPh>
    <phoneticPr fontId="19"/>
  </si>
  <si>
    <t>画面遷移</t>
    <rPh sb="0" eb="2">
      <t>ガメン</t>
    </rPh>
    <rPh sb="2" eb="4">
      <t>センイ</t>
    </rPh>
    <phoneticPr fontId="19"/>
  </si>
  <si>
    <t>DB操作</t>
    <rPh sb="2" eb="4">
      <t>ソウサ</t>
    </rPh>
    <phoneticPr fontId="20"/>
  </si>
  <si>
    <t>二重サブミット防止</t>
    <rPh sb="0" eb="2">
      <t>ニジュウ</t>
    </rPh>
    <rPh sb="7" eb="9">
      <t>ボウシ</t>
    </rPh>
    <phoneticPr fontId="20"/>
  </si>
  <si>
    <t>DB更新後、一度前画面に戻り、再びDB更新のある画面へ遷移した場合、再度DBが更新されないこと。</t>
    <rPh sb="2" eb="4">
      <t>コウシン</t>
    </rPh>
    <rPh sb="4" eb="5">
      <t>ゴ</t>
    </rPh>
    <rPh sb="6" eb="8">
      <t>イチド</t>
    </rPh>
    <rPh sb="8" eb="9">
      <t>ゼン</t>
    </rPh>
    <rPh sb="9" eb="11">
      <t>ガメン</t>
    </rPh>
    <rPh sb="12" eb="13">
      <t>モド</t>
    </rPh>
    <rPh sb="15" eb="16">
      <t>フタタ</t>
    </rPh>
    <rPh sb="19" eb="21">
      <t>コウシン</t>
    </rPh>
    <rPh sb="24" eb="26">
      <t>ガメン</t>
    </rPh>
    <rPh sb="27" eb="29">
      <t>センイ</t>
    </rPh>
    <rPh sb="31" eb="33">
      <t>バアイ</t>
    </rPh>
    <rPh sb="34" eb="36">
      <t>サイド</t>
    </rPh>
    <rPh sb="39" eb="41">
      <t>コウシン</t>
    </rPh>
    <phoneticPr fontId="20"/>
  </si>
  <si>
    <t>DB更新後、同画面の更新を行った場合、再度DBが更新されないこと。</t>
    <rPh sb="2" eb="4">
      <t>コウシン</t>
    </rPh>
    <rPh sb="4" eb="5">
      <t>ゴ</t>
    </rPh>
    <rPh sb="6" eb="7">
      <t>ドウ</t>
    </rPh>
    <rPh sb="7" eb="9">
      <t>ガメン</t>
    </rPh>
    <rPh sb="10" eb="12">
      <t>コウシン</t>
    </rPh>
    <rPh sb="13" eb="14">
      <t>オコナ</t>
    </rPh>
    <rPh sb="16" eb="18">
      <t>バアイ</t>
    </rPh>
    <rPh sb="19" eb="21">
      <t>サイド</t>
    </rPh>
    <rPh sb="24" eb="26">
      <t>コウシン</t>
    </rPh>
    <phoneticPr fontId="20"/>
  </si>
  <si>
    <t>取得した値を編集する処理が分岐する設計となっている場合、本文に設定された値が［システム機能設計書/共通コンポーネント設計書/メール設計書の記載通り］であること。</t>
    <phoneticPr fontId="2"/>
  </si>
  <si>
    <t>クラス単体テストではデータベースアクセスはスタブ化する方針のため対象外</t>
    <rPh sb="32" eb="35">
      <t>タイショウガイ</t>
    </rPh>
    <phoneticPr fontId="2"/>
  </si>
  <si>
    <t>サンプルプロジェクトにはファイル操作機能が無いため対象外</t>
    <rPh sb="16" eb="18">
      <t>ソウサ</t>
    </rPh>
    <rPh sb="18" eb="20">
      <t>キノウ</t>
    </rPh>
    <rPh sb="21" eb="22">
      <t>ナ</t>
    </rPh>
    <phoneticPr fontId="2"/>
  </si>
  <si>
    <t>-</t>
    <phoneticPr fontId="2"/>
  </si>
  <si>
    <t>エラー</t>
    <phoneticPr fontId="19"/>
  </si>
  <si>
    <t>スタイルシート</t>
    <phoneticPr fontId="2"/>
  </si>
  <si>
    <t>JavaScriptエラー</t>
    <phoneticPr fontId="19"/>
  </si>
  <si>
    <t>-</t>
    <phoneticPr fontId="19"/>
  </si>
  <si>
    <t>データ</t>
    <phoneticPr fontId="19"/>
  </si>
  <si>
    <t>ループ処理によって、取得した値の編集を繰り返す設計となっている場合、表示された値が［システム機能設計書の記載通り］であること。</t>
    <phoneticPr fontId="19"/>
  </si>
  <si>
    <t>データベースアクセス</t>
    <phoneticPr fontId="20"/>
  </si>
  <si>
    <t>画面操作</t>
  </si>
  <si>
    <t>入力済みの項目をクリアする処理がある場合、対象項目がクリアされること。</t>
    <phoneticPr fontId="2"/>
  </si>
  <si>
    <t>表示されたデータをソートする処理がある場合、ソート順が［UI標準/システム機能設計書の記載通り］であること。</t>
    <phoneticPr fontId="2"/>
  </si>
  <si>
    <t>ブラウザのウィンドウサイズについて、変更可否が［UI標準の記載通り］であること。</t>
    <phoneticPr fontId="2"/>
  </si>
  <si>
    <t>ブラウザのウィンドウサイズを変更して、レイアウト崩れがないこと。</t>
    <phoneticPr fontId="2"/>
  </si>
  <si>
    <t>フォーカスの移動（Tabキー押下による入力フィールドの移動）が、［UI標準の記載通り］であること。</t>
    <phoneticPr fontId="2"/>
  </si>
  <si>
    <t>UI部品</t>
    <phoneticPr fontId="2"/>
  </si>
  <si>
    <t>対象外理由</t>
    <rPh sb="0" eb="3">
      <t>タイショウガイ</t>
    </rPh>
    <rPh sb="3" eb="5">
      <t>リユウ</t>
    </rPh>
    <phoneticPr fontId="2"/>
  </si>
  <si>
    <t>ボタンは、二度押し防止の制御がされていること。</t>
  </si>
  <si>
    <t>ラジオボタンで選択可能なデータは1つであること。</t>
  </si>
  <si>
    <t>テキスト入力が可能なUI部品は、デフォルトで指定された入力方式（ひらがな入力など）が［UI標準の記載通り］であること。</t>
  </si>
  <si>
    <t>テキスト入力が可能なUI部品に最大長を入力した場合、レイアウト崩れがないこと。</t>
  </si>
  <si>
    <t>ページングされた一覧がページ切り替えできること。</t>
  </si>
  <si>
    <t>遷移結果</t>
  </si>
  <si>
    <t>詳細</t>
    <rPh sb="0" eb="2">
      <t>ショウサイ</t>
    </rPh>
    <phoneticPr fontId="2"/>
  </si>
  <si>
    <t>異常処理時の遷移先URLが［画面遷移図の記載通り］であること。</t>
  </si>
  <si>
    <t>遷移先の画面が同ウィンドウで開かれること。</t>
  </si>
  <si>
    <t>遷移先の画面が別ウィンドウで開かれること。</t>
  </si>
  <si>
    <t>ブラウザの「戻る」ボタン押下時の遷移が［画面遷移図の記載通り］であること。</t>
  </si>
  <si>
    <t>異常処理後の正常処理など、処理の連続実行を行った場合の遷移が［画面遷移図の記載通り］であること。</t>
  </si>
  <si>
    <t>URL直接アクセス</t>
  </si>
  <si>
    <t>HTTPステータス</t>
  </si>
  <si>
    <t>ブラウザキャッシュ</t>
  </si>
  <si>
    <t>URLを直接指定しアクセスした場合の遷移が［画面遷移図の記載通り］であること。</t>
  </si>
  <si>
    <t>画面遷移の結果に応じたHTTPステータスコードとなること。</t>
  </si>
  <si>
    <t>バリデーション</t>
    <phoneticPr fontId="19"/>
  </si>
  <si>
    <t>数値項目に有効範囲の下限値が入力された場合、エラーとならないこと。</t>
    <rPh sb="0" eb="2">
      <t>スウチ</t>
    </rPh>
    <rPh sb="2" eb="4">
      <t>コウモク</t>
    </rPh>
    <rPh sb="5" eb="7">
      <t>ユウコウ</t>
    </rPh>
    <rPh sb="7" eb="9">
      <t>ハンイ</t>
    </rPh>
    <rPh sb="10" eb="12">
      <t>カゲン</t>
    </rPh>
    <rPh sb="12" eb="13">
      <t>チ</t>
    </rPh>
    <rPh sb="14" eb="16">
      <t>ニュウリョク</t>
    </rPh>
    <rPh sb="19" eb="21">
      <t>バアイ</t>
    </rPh>
    <phoneticPr fontId="19"/>
  </si>
  <si>
    <t>メールアドレス</t>
    <phoneticPr fontId="20"/>
  </si>
  <si>
    <t>特定の条件により必須・任意が変わる項目について、該当項目が任意となっている状態で、値が未入力の場合、エラーとならないこと。</t>
    <phoneticPr fontId="19"/>
  </si>
  <si>
    <t>有効なレコードが存在する場合、エラーとならないこと。</t>
    <phoneticPr fontId="19"/>
  </si>
  <si>
    <t>有効なレコードが存在しない場合、エラーとなること。</t>
    <phoneticPr fontId="19"/>
  </si>
  <si>
    <t>エスケープ</t>
    <phoneticPr fontId="2"/>
  </si>
  <si>
    <t>全項目に値が指定された場合、レコードが登録されること。</t>
    <phoneticPr fontId="2"/>
  </si>
  <si>
    <t>更新対象の項目すべてに値が指定された場合、レコードが更新されること。</t>
    <phoneticPr fontId="19"/>
  </si>
  <si>
    <t>必須項目に値が指定されていない場合、レコードが登録されないこと。</t>
    <phoneticPr fontId="2"/>
  </si>
  <si>
    <t>更新対象の必須項目に値が指定されていない場合、レコードが更新されないこと。</t>
    <phoneticPr fontId="19"/>
  </si>
  <si>
    <t>ロールバック</t>
    <phoneticPr fontId="19"/>
  </si>
  <si>
    <t>コミット</t>
    <phoneticPr fontId="19"/>
  </si>
  <si>
    <t>※ファイルアップロードを含む</t>
    <phoneticPr fontId="19"/>
  </si>
  <si>
    <t>インターフェース仕様</t>
    <phoneticPr fontId="19"/>
  </si>
  <si>
    <t>ファイルサイズ</t>
    <phoneticPr fontId="19"/>
  </si>
  <si>
    <t>ソート順</t>
    <phoneticPr fontId="19"/>
  </si>
  <si>
    <t>レイアウト</t>
    <phoneticPr fontId="19"/>
  </si>
  <si>
    <t>ループ処理によって、取得した値の編集を繰り返す設計となっている場合、出力された値が［システム機能設計書/共通コンポーネント設計書の記載通り］であること。</t>
    <phoneticPr fontId="19"/>
  </si>
  <si>
    <t>取得した値を使用して計算する設計となっている場合、出力された値が［システム機能設計書/共通コンポーネント設計書の記載通り］であること。</t>
    <phoneticPr fontId="19"/>
  </si>
  <si>
    <t>コピー</t>
    <phoneticPr fontId="2"/>
  </si>
  <si>
    <t>ヘッダ</t>
    <phoneticPr fontId="2"/>
  </si>
  <si>
    <t>ヘッダがエンコードされること。</t>
    <phoneticPr fontId="2"/>
  </si>
  <si>
    <t>ループ処理によって、取得した値の編集を繰り返す設計となっている場合、件名に設定された値が［システム機能設計書/共通コンポーネント設計書/メール設計書の記載通り］であること。</t>
    <phoneticPr fontId="19"/>
  </si>
  <si>
    <t>本文</t>
    <phoneticPr fontId="19"/>
  </si>
  <si>
    <t>取得した値を編集する処理が分岐する設計となっている場合、本文に設定された値が［システム機能設計書/共通コンポーネント設計書/メール設計書の記載通り］であること。</t>
  </si>
  <si>
    <t>ループ処理によって、取得した値の編集を繰り返す設計となっている場合、本文に設定された値が［システム機能設計書/共通コンポーネント設計書/メール設計書の記載通り］であること。</t>
    <phoneticPr fontId="19"/>
  </si>
  <si>
    <t>1通のメールに埋め込み項目などを複数件繰り返し出力する設計の場合、ソート順が［システム機能設計書/共通コンポーネント設計書/メール設計書の記載通り］であること。</t>
    <phoneticPr fontId="19"/>
  </si>
  <si>
    <t>ループ処理によって、取得した値の編集を繰り返す設計となっている場合、送信された値が［システム機能設計書/共通コンポーネント設計書の記載通り］であること。</t>
    <phoneticPr fontId="19"/>
  </si>
  <si>
    <t>取得した値を編集する処理が分岐する設計となっている場合、出力された値が［システム機能設計書/共通コンポーネント設計書の記載通り］であること。</t>
    <phoneticPr fontId="19"/>
  </si>
  <si>
    <t>取得した値を連結する設計となっている場合、出力された値が［システム機能設計書/共通コンポーネント設計書の記載通り］であること。</t>
    <phoneticPr fontId="19"/>
  </si>
  <si>
    <t>クラス単体で確認済。対象外</t>
    <rPh sb="3" eb="5">
      <t>タンタイ</t>
    </rPh>
    <rPh sb="6" eb="8">
      <t>カクニン</t>
    </rPh>
    <rPh sb="8" eb="9">
      <t>スミ</t>
    </rPh>
    <rPh sb="10" eb="13">
      <t>タイショウガイ</t>
    </rPh>
    <phoneticPr fontId="2"/>
  </si>
  <si>
    <t>机上で確認済。対象外</t>
    <rPh sb="0" eb="2">
      <t>キジョウ</t>
    </rPh>
    <rPh sb="3" eb="5">
      <t>カクニン</t>
    </rPh>
    <rPh sb="5" eb="6">
      <t>スミ</t>
    </rPh>
    <rPh sb="7" eb="10">
      <t>タイショウガイ</t>
    </rPh>
    <phoneticPr fontId="2"/>
  </si>
  <si>
    <t>アノテーションを机上確認するため対象外</t>
    <rPh sb="8" eb="10">
      <t>キジョウ</t>
    </rPh>
    <rPh sb="10" eb="12">
      <t>カクニン</t>
    </rPh>
    <rPh sb="16" eb="19">
      <t>タイショウガイ</t>
    </rPh>
    <phoneticPr fontId="2"/>
  </si>
  <si>
    <t>サンプルプロジェクトにはメール処理が無いため対象外</t>
    <rPh sb="15" eb="17">
      <t>ショリ</t>
    </rPh>
    <phoneticPr fontId="2"/>
  </si>
  <si>
    <t>サンプルプロジェクトにメール処理が無いため対象外</t>
    <rPh sb="14" eb="16">
      <t>ショリ</t>
    </rPh>
    <rPh sb="17" eb="18">
      <t>ナ</t>
    </rPh>
    <rPh sb="21" eb="24">
      <t>タイショウガイ</t>
    </rPh>
    <phoneticPr fontId="2"/>
  </si>
  <si>
    <t>サンプルプロジェクト</t>
    <phoneticPr fontId="2"/>
  </si>
  <si>
    <t>サブシステム名：プロジェクト管理システム</t>
    <rPh sb="6" eb="7">
      <t>メイ</t>
    </rPh>
    <phoneticPr fontId="2"/>
  </si>
  <si>
    <t>確認観点1</t>
    <rPh sb="0" eb="2">
      <t>カクニン</t>
    </rPh>
    <rPh sb="2" eb="4">
      <t>カンテン</t>
    </rPh>
    <phoneticPr fontId="4"/>
  </si>
  <si>
    <t>確認観点2</t>
    <rPh sb="0" eb="2">
      <t>カクニン</t>
    </rPh>
    <rPh sb="2" eb="4">
      <t>カンテン</t>
    </rPh>
    <phoneticPr fontId="4"/>
  </si>
  <si>
    <t>確認観点3</t>
    <rPh sb="0" eb="2">
      <t>カクニン</t>
    </rPh>
    <rPh sb="2" eb="4">
      <t>カンテン</t>
    </rPh>
    <phoneticPr fontId="4"/>
  </si>
  <si>
    <t>取引実行確認</t>
    <rPh sb="0" eb="2">
      <t>トリヒキ</t>
    </rPh>
    <rPh sb="2" eb="4">
      <t>ジッコウ</t>
    </rPh>
    <rPh sb="4" eb="6">
      <t>カクニン</t>
    </rPh>
    <phoneticPr fontId="2"/>
  </si>
  <si>
    <t>正常取引</t>
    <rPh sb="0" eb="2">
      <t>セイジョウ</t>
    </rPh>
    <rPh sb="2" eb="4">
      <t>トリヒキ</t>
    </rPh>
    <phoneticPr fontId="2"/>
  </si>
  <si>
    <t>画面遷移図
システム機能設計書</t>
    <phoneticPr fontId="4"/>
  </si>
  <si>
    <t xml:space="preserve">画面遷移図
画面イベント一覧
(バリエーションがある場合は、バリエーションを整理した上でバリエーションごとに実行すること)
</t>
    <rPh sb="0" eb="5">
      <t>ガメンセンイズ</t>
    </rPh>
    <rPh sb="26" eb="28">
      <t>バアイ</t>
    </rPh>
    <rPh sb="38" eb="40">
      <t>セイリ</t>
    </rPh>
    <rPh sb="42" eb="43">
      <t>ウエ</t>
    </rPh>
    <rPh sb="54" eb="56">
      <t>ジッコウ</t>
    </rPh>
    <phoneticPr fontId="4"/>
  </si>
  <si>
    <t>戻るイベント</t>
    <rPh sb="0" eb="1">
      <t>モド</t>
    </rPh>
    <phoneticPr fontId="2"/>
  </si>
  <si>
    <t>検索結果0件</t>
    <rPh sb="0" eb="2">
      <t>ケンサク</t>
    </rPh>
    <rPh sb="2" eb="4">
      <t>ケッカ</t>
    </rPh>
    <rPh sb="5" eb="6">
      <t>ケン</t>
    </rPh>
    <phoneticPr fontId="2"/>
  </si>
  <si>
    <t>サブウィンドウ連携</t>
    <rPh sb="7" eb="9">
      <t>レンケイ</t>
    </rPh>
    <phoneticPr fontId="2"/>
  </si>
  <si>
    <t>異常取引</t>
    <rPh sb="0" eb="2">
      <t>イジョウ</t>
    </rPh>
    <rPh sb="2" eb="4">
      <t>トリヒキ</t>
    </rPh>
    <phoneticPr fontId="2"/>
  </si>
  <si>
    <t>精査エラー</t>
    <rPh sb="0" eb="2">
      <t>セイサ</t>
    </rPh>
    <phoneticPr fontId="2"/>
  </si>
  <si>
    <t>検索結果上限超過エラー</t>
    <rPh sb="0" eb="2">
      <t>ケンサク</t>
    </rPh>
    <rPh sb="2" eb="4">
      <t>ケッカ</t>
    </rPh>
    <rPh sb="4" eb="6">
      <t>ジョウゲン</t>
    </rPh>
    <rPh sb="6" eb="8">
      <t>チョウカ</t>
    </rPh>
    <phoneticPr fontId="2"/>
  </si>
  <si>
    <t>排他制御エラー</t>
    <rPh sb="0" eb="2">
      <t>ハイタ</t>
    </rPh>
    <rPh sb="2" eb="4">
      <t>セイギョ</t>
    </rPh>
    <phoneticPr fontId="2"/>
  </si>
  <si>
    <t>その他エラー</t>
    <rPh sb="2" eb="3">
      <t>タ</t>
    </rPh>
    <phoneticPr fontId="2"/>
  </si>
  <si>
    <t>その他のイベント</t>
    <phoneticPr fontId="2"/>
  </si>
  <si>
    <t>ページング処理、ソート処理　など</t>
    <rPh sb="11" eb="13">
      <t>ショリ</t>
    </rPh>
    <phoneticPr fontId="2"/>
  </si>
  <si>
    <t>取引の連続実行</t>
    <rPh sb="0" eb="2">
      <t>トリヒキ</t>
    </rPh>
    <rPh sb="3" eb="5">
      <t>レンゾク</t>
    </rPh>
    <rPh sb="5" eb="7">
      <t>ジッコウ</t>
    </rPh>
    <phoneticPr fontId="2"/>
  </si>
  <si>
    <t>異常取引→正常取引　など</t>
    <phoneticPr fontId="2"/>
  </si>
  <si>
    <t>画面遷移図
画面イベント一覧</t>
    <rPh sb="0" eb="5">
      <t>ガメンセンイズ</t>
    </rPh>
    <phoneticPr fontId="4"/>
  </si>
  <si>
    <t>処理仕様</t>
    <rPh sb="0" eb="2">
      <t>ショリ</t>
    </rPh>
    <rPh sb="2" eb="4">
      <t>シヨウ</t>
    </rPh>
    <phoneticPr fontId="4"/>
  </si>
  <si>
    <t>2重サブミット防止（クライアントサイド）</t>
    <rPh sb="1" eb="2">
      <t>ジュウ</t>
    </rPh>
    <rPh sb="7" eb="9">
      <t>ボウシ</t>
    </rPh>
    <phoneticPr fontId="2"/>
  </si>
  <si>
    <t>ブラウザキャッシュ制御</t>
    <rPh sb="9" eb="11">
      <t>セイギョ</t>
    </rPh>
    <phoneticPr fontId="2"/>
  </si>
  <si>
    <t>UI部品動作確認</t>
    <rPh sb="2" eb="4">
      <t>ブヒン</t>
    </rPh>
    <rPh sb="4" eb="6">
      <t>ドウサ</t>
    </rPh>
    <rPh sb="6" eb="8">
      <t>カクニン</t>
    </rPh>
    <phoneticPr fontId="2"/>
  </si>
  <si>
    <t>UI部品</t>
    <rPh sb="2" eb="4">
      <t>ブヒン</t>
    </rPh>
    <phoneticPr fontId="2"/>
  </si>
  <si>
    <t>JavaScriptエラーチェック</t>
    <phoneticPr fontId="2"/>
  </si>
  <si>
    <t>単体テスト仕様書(リクエスト単体テスト)</t>
    <rPh sb="0" eb="2">
      <t>タンタイ</t>
    </rPh>
    <rPh sb="5" eb="7">
      <t>シヨウ</t>
    </rPh>
    <rPh sb="7" eb="8">
      <t>ショ</t>
    </rPh>
    <rPh sb="14" eb="16">
      <t>タンタイ</t>
    </rPh>
    <phoneticPr fontId="2"/>
  </si>
  <si>
    <t>画面のメニューが［UI標準の記載通り］であること。</t>
    <phoneticPr fontId="2"/>
  </si>
  <si>
    <t>ブラウザのキャッシュ保持が［UI標準の記載通り］であること。</t>
    <phoneticPr fontId="2"/>
  </si>
  <si>
    <t>単体テスト仕様書（クラス単体テスト）</t>
    <rPh sb="0" eb="2">
      <t>タンタイ</t>
    </rPh>
    <rPh sb="5" eb="8">
      <t>シヨウショ</t>
    </rPh>
    <rPh sb="12" eb="14">
      <t>タンタイ</t>
    </rPh>
    <phoneticPr fontId="2"/>
  </si>
  <si>
    <t>単体テスト仕様書（取引単体テスト）</t>
    <rPh sb="0" eb="2">
      <t>タンタイ</t>
    </rPh>
    <rPh sb="5" eb="7">
      <t>シヨウ</t>
    </rPh>
    <rPh sb="7" eb="8">
      <t>ショ</t>
    </rPh>
    <rPh sb="9" eb="13">
      <t>トリヒキタンタイ</t>
    </rPh>
    <phoneticPr fontId="2"/>
  </si>
  <si>
    <t>アプリケーション固有のバリデーションがある場合、バリデーションの結果が［システム機能設計書の記載通り］であること。</t>
    <phoneticPr fontId="19"/>
  </si>
  <si>
    <t>共通コンポーネントのクラス単体テストで実施するため対象外</t>
    <rPh sb="0" eb="2">
      <t>キョウツウ</t>
    </rPh>
    <rPh sb="13" eb="15">
      <t>タンタイ</t>
    </rPh>
    <rPh sb="19" eb="21">
      <t>ジッシ</t>
    </rPh>
    <rPh sb="25" eb="28">
      <t>タイショウガイ</t>
    </rPh>
    <phoneticPr fontId="2"/>
  </si>
  <si>
    <t>サンプルプロジェクトではマルチレイアウトのファイルアップロード機能は無いため対象外</t>
    <rPh sb="31" eb="33">
      <t>キノウ</t>
    </rPh>
    <rPh sb="34" eb="35">
      <t>ナ</t>
    </rPh>
    <rPh sb="38" eb="41">
      <t>タイショウガイ</t>
    </rPh>
    <phoneticPr fontId="2"/>
  </si>
  <si>
    <t>サンプルプロジェクトにはファイルシステム上へのファイル出力機能は無いため対象外</t>
    <rPh sb="20" eb="21">
      <t>ジョウ</t>
    </rPh>
    <rPh sb="27" eb="29">
      <t>シュツリョク</t>
    </rPh>
    <rPh sb="29" eb="31">
      <t>キノウ</t>
    </rPh>
    <rPh sb="32" eb="33">
      <t>ナ</t>
    </rPh>
    <rPh sb="36" eb="39">
      <t>タイショウガイ</t>
    </rPh>
    <phoneticPr fontId="2"/>
  </si>
  <si>
    <t>クラス単体テストでは確認できないので対象外</t>
    <rPh sb="3" eb="5">
      <t>タンタイ</t>
    </rPh>
    <rPh sb="10" eb="12">
      <t>カクニン</t>
    </rPh>
    <rPh sb="18" eb="21">
      <t>タイショウガイ</t>
    </rPh>
    <phoneticPr fontId="2"/>
  </si>
  <si>
    <t>サンプルプロジェクトにはマルチレイアウトのファイル出力機能は無いので対象外</t>
    <rPh sb="25" eb="27">
      <t>シュツリョク</t>
    </rPh>
    <rPh sb="27" eb="29">
      <t>キノウ</t>
    </rPh>
    <rPh sb="30" eb="31">
      <t>ナ</t>
    </rPh>
    <rPh sb="34" eb="37">
      <t>タイショウガイ</t>
    </rPh>
    <phoneticPr fontId="2"/>
  </si>
  <si>
    <t>サンプルプロジェクトには帳票出力機能は無いので対象外</t>
    <rPh sb="12" eb="16">
      <t>チョウヒョウシュツリョク</t>
    </rPh>
    <rPh sb="16" eb="18">
      <t>キノウ</t>
    </rPh>
    <rPh sb="19" eb="20">
      <t>ナ</t>
    </rPh>
    <rPh sb="23" eb="26">
      <t>タイショウガイ</t>
    </rPh>
    <phoneticPr fontId="2"/>
  </si>
  <si>
    <t>サンプルプロジェクトには画像出力機能は無いので対象外</t>
    <rPh sb="12" eb="16">
      <t>ガゾウシュツリョク</t>
    </rPh>
    <rPh sb="16" eb="18">
      <t>キノウ</t>
    </rPh>
    <rPh sb="19" eb="20">
      <t>ナ</t>
    </rPh>
    <rPh sb="23" eb="26">
      <t>タイショウガイ</t>
    </rPh>
    <phoneticPr fontId="2"/>
  </si>
  <si>
    <t>処理方式が異なるので対象外</t>
    <rPh sb="0" eb="4">
      <t>ショリホウシキ</t>
    </rPh>
    <rPh sb="5" eb="6">
      <t>コト</t>
    </rPh>
    <rPh sb="10" eb="13">
      <t>タイショウガイ</t>
    </rPh>
    <phoneticPr fontId="2"/>
  </si>
  <si>
    <t>システム機能設計書
ドメイン定義書
メッセージ設計書</t>
    <rPh sb="4" eb="9">
      <t>キノウセッケイショ</t>
    </rPh>
    <rPh sb="14" eb="17">
      <t>テイギショ</t>
    </rPh>
    <rPh sb="23" eb="26">
      <t>セッケイショ</t>
    </rPh>
    <phoneticPr fontId="2"/>
  </si>
  <si>
    <t>バリデーション処理
ドメイン定義
メッセージ設計（日本語）</t>
    <rPh sb="7" eb="9">
      <t>ショリ</t>
    </rPh>
    <rPh sb="14" eb="16">
      <t>テイギ</t>
    </rPh>
    <rPh sb="22" eb="24">
      <t>セッケイ</t>
    </rPh>
    <rPh sb="25" eb="28">
      <t>ニホンゴ</t>
    </rPh>
    <phoneticPr fontId="2"/>
  </si>
  <si>
    <t>バリデーション処理
ドメイン定義</t>
    <rPh sb="7" eb="9">
      <t>ショリ</t>
    </rPh>
    <rPh sb="14" eb="16">
      <t>テイギ</t>
    </rPh>
    <phoneticPr fontId="2"/>
  </si>
  <si>
    <t>システム機能設計書
ドメイン定義書</t>
    <rPh sb="4" eb="9">
      <t>キノウセッケイショ</t>
    </rPh>
    <rPh sb="14" eb="17">
      <t>テイギショ</t>
    </rPh>
    <phoneticPr fontId="2"/>
  </si>
  <si>
    <t>入力精査実施</t>
    <rPh sb="0" eb="4">
      <t>ニュウリョクセイサ</t>
    </rPh>
    <rPh sb="4" eb="6">
      <t>ジッシ</t>
    </rPh>
    <phoneticPr fontId="2"/>
  </si>
  <si>
    <t>精査エラー無し</t>
    <phoneticPr fontId="2"/>
  </si>
  <si>
    <t>精査エラー有り</t>
    <phoneticPr fontId="2"/>
  </si>
  <si>
    <t>URL直接入力
※ログイン画面等、直接URLを入力する想定の画面のみ実施</t>
    <rPh sb="3" eb="5">
      <t>チョクセツ</t>
    </rPh>
    <rPh sb="5" eb="7">
      <t>ニュウリョク</t>
    </rPh>
    <phoneticPr fontId="2"/>
  </si>
  <si>
    <t>テスト不要
アーキがテストをするため</t>
    <phoneticPr fontId="2"/>
  </si>
  <si>
    <t>同上</t>
    <rPh sb="0" eb="2">
      <t>ドウジョウ</t>
    </rPh>
    <phoneticPr fontId="2"/>
  </si>
  <si>
    <t>対象外理由</t>
    <rPh sb="2" eb="3">
      <t>ガイ</t>
    </rPh>
    <rPh sb="3" eb="5">
      <t>リユウ</t>
    </rPh>
    <phoneticPr fontId="2"/>
  </si>
  <si>
    <t>サブシステム名：プロジェクト管理システム</t>
    <rPh sb="6" eb="7">
      <t>メイ</t>
    </rPh>
    <rPh sb="14" eb="16">
      <t>カンリ</t>
    </rPh>
    <phoneticPr fontId="2"/>
  </si>
  <si>
    <t>サンプルプロジェクトにはバナー広告はないため対象外</t>
    <rPh sb="15" eb="17">
      <t>コウコク</t>
    </rPh>
    <rPh sb="22" eb="25">
      <t>タイショウガイ</t>
    </rPh>
    <phoneticPr fontId="2"/>
  </si>
  <si>
    <t>正常処理時の遷移先URLが［画面遷移図の記載通り］であること。</t>
    <phoneticPr fontId="2"/>
  </si>
  <si>
    <t>クラス単体テストで確認済みのため対象外</t>
    <rPh sb="3" eb="5">
      <t>タンタイ</t>
    </rPh>
    <rPh sb="9" eb="12">
      <t>カクニンズ</t>
    </rPh>
    <rPh sb="16" eb="19">
      <t>タイショウガイ</t>
    </rPh>
    <phoneticPr fontId="2"/>
  </si>
  <si>
    <t>サンプルシステム</t>
    <phoneticPr fontId="2"/>
  </si>
  <si>
    <t>プロジェクト管理システム</t>
    <rPh sb="6" eb="8">
      <t>カンリ</t>
    </rPh>
    <phoneticPr fontId="2"/>
  </si>
  <si>
    <t>ブラウザの戻るは動作保証しない方針なので対象外</t>
    <rPh sb="5" eb="6">
      <t>モド</t>
    </rPh>
    <rPh sb="8" eb="10">
      <t>ドウサ</t>
    </rPh>
    <rPh sb="10" eb="12">
      <t>ホショウ</t>
    </rPh>
    <rPh sb="15" eb="17">
      <t>ホウシン</t>
    </rPh>
    <rPh sb="20" eb="23">
      <t>タイショウガイ</t>
    </rPh>
    <phoneticPr fontId="2"/>
  </si>
  <si>
    <t>リクエスト単体テストで確認するので対象外</t>
    <phoneticPr fontId="2"/>
  </si>
  <si>
    <t>Formで完結するバリデーション</t>
    <rPh sb="5" eb="7">
      <t>カンケツ</t>
    </rPh>
    <phoneticPr fontId="2"/>
  </si>
  <si>
    <t>Formで完結しないバリデーション</t>
    <rPh sb="5" eb="7">
      <t>カンケツ</t>
    </rPh>
    <phoneticPr fontId="2"/>
  </si>
  <si>
    <t>サロゲートペアは許容しないので対象外</t>
    <rPh sb="8" eb="10">
      <t>キョヨウ</t>
    </rPh>
    <rPh sb="15" eb="18">
      <t>タイショウガイ</t>
    </rPh>
    <phoneticPr fontId="2"/>
  </si>
  <si>
    <t>サイズ固定とはしないので対象外</t>
    <phoneticPr fontId="2"/>
  </si>
  <si>
    <t>画面遷移パターン</t>
    <rPh sb="0" eb="2">
      <t>ガメン</t>
    </rPh>
    <rPh sb="2" eb="4">
      <t>センイ</t>
    </rPh>
    <phoneticPr fontId="2"/>
  </si>
  <si>
    <t>テストコード</t>
    <phoneticPr fontId="2"/>
  </si>
  <si>
    <t>機能名：プロジェクト管理</t>
    <rPh sb="0" eb="3">
      <t>キノウメイ</t>
    </rPh>
    <rPh sb="10" eb="12">
      <t>カンリ</t>
    </rPh>
    <phoneticPr fontId="2"/>
  </si>
  <si>
    <t>取引名：プロジェクト登録</t>
    <rPh sb="0" eb="3">
      <t>トリヒキメイ</t>
    </rPh>
    <rPh sb="10" eb="12">
      <t>トウロク</t>
    </rPh>
    <phoneticPr fontId="2"/>
  </si>
  <si>
    <t>(a)システム機能設計書
(b)メッセージ設計書</t>
    <rPh sb="7" eb="12">
      <t>キノウセッケイショ</t>
    </rPh>
    <phoneticPr fontId="0"/>
  </si>
  <si>
    <t>(a)確認イベント
   バリデーション処理
(b)メッセージ設計</t>
    <rPh sb="20" eb="22">
      <t>ショリ</t>
    </rPh>
    <rPh sb="31" eb="33">
      <t>セッケイ</t>
    </rPh>
    <phoneticPr fontId="4"/>
  </si>
  <si>
    <t>精査エラーとならない。</t>
    <rPh sb="0" eb="2">
      <t>セイサ</t>
    </rPh>
    <phoneticPr fontId="4"/>
  </si>
  <si>
    <t>以下のような値を入力した状態で登録ボタンを押下する。
・プロジェクト終了日付がプロジェクト開始日付の一日後</t>
  </si>
  <si>
    <t>入力精査エラーとなり「終了日には、開始日より後の日付を入力して下さい。」が開始日の項目直下に表示されること。</t>
    <rPh sb="37" eb="40">
      <t>カイシビ</t>
    </rPh>
    <phoneticPr fontId="4"/>
  </si>
  <si>
    <t>特定の条件により必須・任意が変わる項目が無いので対象外</t>
  </si>
  <si>
    <t>DBとの相関バリデーションが無いので対象外</t>
  </si>
  <si>
    <t>DBとの相関バリデーションが無いので対象外</t>
    <rPh sb="4" eb="6">
      <t>ソウカン</t>
    </rPh>
    <phoneticPr fontId="4"/>
  </si>
  <si>
    <t>ファイル取込を行わないので対象外</t>
    <rPh sb="4" eb="5">
      <t>ト</t>
    </rPh>
    <rPh sb="5" eb="6">
      <t>コ</t>
    </rPh>
    <rPh sb="7" eb="8">
      <t>オコナ</t>
    </rPh>
    <rPh sb="13" eb="16">
      <t>タイショウガイ</t>
    </rPh>
    <phoneticPr fontId="4"/>
  </si>
  <si>
    <t>ファイル出力を行わないので対象外</t>
    <rPh sb="4" eb="6">
      <t>シュツリョク</t>
    </rPh>
    <rPh sb="7" eb="8">
      <t>オコナ</t>
    </rPh>
    <rPh sb="13" eb="16">
      <t>タイショウガイ</t>
    </rPh>
    <phoneticPr fontId="4"/>
  </si>
  <si>
    <t>ログ出力仕様なし</t>
    <rPh sb="2" eb="6">
      <t>シュツリョクシヨウ</t>
    </rPh>
    <phoneticPr fontId="2"/>
  </si>
  <si>
    <t>以下のような値を入力した状態で登録ボタンを押下する。
・プロジェクト開始日付とプロジェクト終了日付が同日</t>
    <rPh sb="0" eb="2">
      <t>イカ</t>
    </rPh>
    <phoneticPr fontId="2"/>
  </si>
  <si>
    <t>以下のような値を入力した状態で登録ボタンを押下する。
・プロジェクト終了日付がプロジェクト開始日付の一日前</t>
  </si>
  <si>
    <t>入力された条件に基づく検索／更新／削除を行わないので対象外</t>
    <rPh sb="0" eb="2">
      <t>ニュウリョク</t>
    </rPh>
    <rPh sb="5" eb="7">
      <t>ジョウケン</t>
    </rPh>
    <rPh sb="8" eb="9">
      <t>モト</t>
    </rPh>
    <rPh sb="11" eb="13">
      <t>ケンサク</t>
    </rPh>
    <rPh sb="14" eb="16">
      <t>コウシン</t>
    </rPh>
    <rPh sb="17" eb="19">
      <t>サクジョ</t>
    </rPh>
    <rPh sb="20" eb="21">
      <t>オコナ</t>
    </rPh>
    <rPh sb="26" eb="29">
      <t>タイショウガイ</t>
    </rPh>
    <phoneticPr fontId="4"/>
  </si>
  <si>
    <t>DBへの登録/更新を行わないので対象外</t>
    <rPh sb="4" eb="6">
      <t>トウロク</t>
    </rPh>
    <rPh sb="7" eb="9">
      <t>コウシン</t>
    </rPh>
    <rPh sb="10" eb="11">
      <t>オコナ</t>
    </rPh>
    <rPh sb="16" eb="19">
      <t>タイショウガイ</t>
    </rPh>
    <phoneticPr fontId="4"/>
  </si>
  <si>
    <t>システム機能設計書</t>
  </si>
  <si>
    <t>画面項目定義、画面イベント一覧、画面イベント詳細</t>
    <rPh sb="7" eb="9">
      <t>ガメン</t>
    </rPh>
    <rPh sb="13" eb="15">
      <t>イチラン</t>
    </rPh>
    <rPh sb="16" eb="18">
      <t>ガメン</t>
    </rPh>
    <rPh sb="22" eb="24">
      <t>ショウサイ</t>
    </rPh>
    <phoneticPr fontId="4"/>
  </si>
  <si>
    <t>事業部のプルダウンに対象データが全て表示されること。</t>
    <rPh sb="10" eb="12">
      <t>タイショウ</t>
    </rPh>
    <rPh sb="16" eb="17">
      <t>スベ</t>
    </rPh>
    <rPh sb="18" eb="20">
      <t>ヒョウジ</t>
    </rPh>
    <phoneticPr fontId="4"/>
  </si>
  <si>
    <t>部門のプルダウンに対象データが全て表示されること。</t>
    <rPh sb="9" eb="11">
      <t>タイショウ</t>
    </rPh>
    <rPh sb="15" eb="16">
      <t>スベ</t>
    </rPh>
    <rPh sb="17" eb="19">
      <t>ヒョウジ</t>
    </rPh>
    <phoneticPr fontId="4"/>
  </si>
  <si>
    <t>事業部のプルダウンに表示される件数と、対象データ件数が一致すること。</t>
    <rPh sb="10" eb="12">
      <t>ヒョウジ</t>
    </rPh>
    <rPh sb="15" eb="17">
      <t>ケンスウ</t>
    </rPh>
    <rPh sb="19" eb="21">
      <t>タイショウ</t>
    </rPh>
    <rPh sb="24" eb="26">
      <t>ケンスウ</t>
    </rPh>
    <rPh sb="27" eb="29">
      <t>イッチ</t>
    </rPh>
    <phoneticPr fontId="4"/>
  </si>
  <si>
    <t>複数テーブルを結合する検索は行わないので対象外</t>
    <rPh sb="0" eb="2">
      <t>フクスウ</t>
    </rPh>
    <rPh sb="7" eb="9">
      <t>ケツゴウ</t>
    </rPh>
    <rPh sb="11" eb="13">
      <t>ケンサク</t>
    </rPh>
    <rPh sb="14" eb="15">
      <t>オコナ</t>
    </rPh>
    <rPh sb="20" eb="23">
      <t>タイショウガイ</t>
    </rPh>
    <phoneticPr fontId="4"/>
  </si>
  <si>
    <t>ORDER BY指定は行わないので対象外</t>
    <rPh sb="8" eb="10">
      <t>シテイ</t>
    </rPh>
    <rPh sb="11" eb="12">
      <t>オコナ</t>
    </rPh>
    <rPh sb="17" eb="20">
      <t>タイショウガイ</t>
    </rPh>
    <phoneticPr fontId="4"/>
  </si>
  <si>
    <t>GROUP BY指定は行わないので対象外</t>
    <rPh sb="8" eb="10">
      <t>シテイ</t>
    </rPh>
    <rPh sb="11" eb="12">
      <t>オコナ</t>
    </rPh>
    <rPh sb="17" eb="20">
      <t>タイショウガイ</t>
    </rPh>
    <phoneticPr fontId="4"/>
  </si>
  <si>
    <t>データ登録を行わないので対象外</t>
    <rPh sb="3" eb="5">
      <t>トウロク</t>
    </rPh>
    <rPh sb="6" eb="7">
      <t>オコナ</t>
    </rPh>
    <rPh sb="12" eb="15">
      <t>タイショウガイ</t>
    </rPh>
    <phoneticPr fontId="4"/>
  </si>
  <si>
    <t>データ更新を行わないので対象外</t>
    <rPh sb="3" eb="5">
      <t>コウシン</t>
    </rPh>
    <rPh sb="6" eb="7">
      <t>オコナ</t>
    </rPh>
    <rPh sb="12" eb="15">
      <t>タイショウガイ</t>
    </rPh>
    <phoneticPr fontId="4"/>
  </si>
  <si>
    <t>データ削除を行わないので対象外</t>
    <rPh sb="3" eb="5">
      <t>サクジョ</t>
    </rPh>
    <rPh sb="6" eb="7">
      <t>オコナ</t>
    </rPh>
    <rPh sb="12" eb="15">
      <t>タイショウガイ</t>
    </rPh>
    <phoneticPr fontId="4"/>
  </si>
  <si>
    <t>更新は行わないので対象外</t>
    <rPh sb="0" eb="2">
      <t>コウシン</t>
    </rPh>
    <rPh sb="3" eb="4">
      <t>オコナ</t>
    </rPh>
    <rPh sb="9" eb="12">
      <t>タイショウガイ</t>
    </rPh>
    <phoneticPr fontId="4"/>
  </si>
  <si>
    <t>UI標準</t>
    <rPh sb="2" eb="4">
      <t>ヒョウジュン</t>
    </rPh>
    <phoneticPr fontId="4"/>
  </si>
  <si>
    <t>画面領域設計</t>
    <rPh sb="0" eb="6">
      <t>ガメンリョウイキセッケイ</t>
    </rPh>
    <phoneticPr fontId="4"/>
  </si>
  <si>
    <t>画面タイトルが「UI標準」通りであること。</t>
  </si>
  <si>
    <t>画面ヘッダーが「UI標準」通りであること。</t>
  </si>
  <si>
    <t>画面フッターが「UI標準」通りであること。</t>
  </si>
  <si>
    <t>画面のメニューが「UI標準」通りであること。</t>
  </si>
  <si>
    <t>画面の基本設計指針</t>
    <rPh sb="0" eb="2">
      <t>ガメン</t>
    </rPh>
    <rPh sb="3" eb="5">
      <t>キホン</t>
    </rPh>
    <rPh sb="5" eb="7">
      <t>セッケイ</t>
    </rPh>
    <rPh sb="7" eb="9">
      <t>シシン</t>
    </rPh>
    <phoneticPr fontId="4"/>
  </si>
  <si>
    <t>ウィンドウ全体の縦スクロール以外が発生しないこと。</t>
    <rPh sb="5" eb="7">
      <t>ゼンタイ</t>
    </rPh>
    <rPh sb="8" eb="9">
      <t>タテ</t>
    </rPh>
    <rPh sb="14" eb="16">
      <t>イガイ</t>
    </rPh>
    <rPh sb="17" eb="19">
      <t>ハッセイ</t>
    </rPh>
    <phoneticPr fontId="4"/>
  </si>
  <si>
    <t>横スクロールが発生しないこと。</t>
    <rPh sb="0" eb="1">
      <t>ヨコ</t>
    </rPh>
    <rPh sb="7" eb="9">
      <t>ハッセイ</t>
    </rPh>
    <phoneticPr fontId="4"/>
  </si>
  <si>
    <t>フォント</t>
  </si>
  <si>
    <t>文字フォントが「UI標準」通りであること。</t>
    <rPh sb="10" eb="12">
      <t>ヒョウジュン</t>
    </rPh>
    <phoneticPr fontId="4"/>
  </si>
  <si>
    <t>文字スタイル（太字斜体など）が「UI標準」通りであること。</t>
    <rPh sb="18" eb="20">
      <t>ヒョウジュン</t>
    </rPh>
    <phoneticPr fontId="4"/>
  </si>
  <si>
    <t>文字サイズが「UI標準」通りであること。</t>
    <rPh sb="9" eb="11">
      <t>ヒョウジュン</t>
    </rPh>
    <phoneticPr fontId="4"/>
  </si>
  <si>
    <t>デザイン設計(色・フォント)</t>
  </si>
  <si>
    <t>文字色が「UI標準」通りであること。</t>
    <rPh sb="7" eb="9">
      <t>ヒョウジュン</t>
    </rPh>
    <phoneticPr fontId="4"/>
  </si>
  <si>
    <t>背景色が「UI標準」通りであること。</t>
    <rPh sb="7" eb="9">
      <t>ヒョウジュン</t>
    </rPh>
    <phoneticPr fontId="4"/>
  </si>
  <si>
    <t>画面レイアウト</t>
    <rPh sb="0" eb="2">
      <t>ガメン</t>
    </rPh>
    <phoneticPr fontId="4"/>
  </si>
  <si>
    <t>事業部/部門の表示名称が「システム機能設計書」通りであること。</t>
  </si>
  <si>
    <t>PJ名の表示名称が「システム機能設計書」通りであること。</t>
  </si>
  <si>
    <t>PJ種別の表示名称が「システム機能設計書」通りであること。</t>
  </si>
  <si>
    <t>PJ分類の表示名称が「システム機能設計書」通りであること。</t>
  </si>
  <si>
    <t>売上高(千円)の表示名称が「システム機能設計書」通りであること。</t>
  </si>
  <si>
    <t>顧客の表示名称が「システム機能設計書」通りであること。</t>
  </si>
  <si>
    <t>PMの表示名称が「システム機能設計書」通りであること。</t>
  </si>
  <si>
    <t>PLの表示名称が「システム機能設計書」通りであること。</t>
  </si>
  <si>
    <t>開始日の表示名称が「システム機能設計書」通りであること。</t>
  </si>
  <si>
    <t>終了日の表示名称が「システム機能設計書」通りであること。</t>
  </si>
  <si>
    <t>備考の表示名称が「システム機能設計書」通りであること。</t>
  </si>
  <si>
    <t>固定表示文言が「システム機能設計書」通りであること</t>
    <rPh sb="0" eb="6">
      <t>コテイヒョウジモンゴン</t>
    </rPh>
    <rPh sb="18" eb="19">
      <t>トオ</t>
    </rPh>
    <phoneticPr fontId="4"/>
  </si>
  <si>
    <t>入力精査エラー以外のメッセージはないので対象外</t>
    <rPh sb="7" eb="9">
      <t>イガイ</t>
    </rPh>
    <rPh sb="20" eb="23">
      <t>タイショウガイ</t>
    </rPh>
    <phoneticPr fontId="4"/>
  </si>
  <si>
    <t>事業部の表示位置が「システム機能設計書」通りであること</t>
    <rPh sb="0" eb="3">
      <t>ジギョウブ</t>
    </rPh>
    <phoneticPr fontId="4"/>
  </si>
  <si>
    <t>部門の表示位置が「システム機能設計書」通りであること</t>
  </si>
  <si>
    <t>PJ名の表示位置が「システム機能設計書」通りであること</t>
  </si>
  <si>
    <t>PJ種別の表示位置が「システム機能設計書」通りであること</t>
  </si>
  <si>
    <t>PJ分類の表示位置が「システム機能設計書」通りであること</t>
  </si>
  <si>
    <t>売上高の表示位置が「システム機能設計書」通りであること</t>
  </si>
  <si>
    <t>顧客の表示位置が「システム機能設計書」通りであること</t>
  </si>
  <si>
    <t>PMの表示位置が「システム機能設計書」通りであること</t>
  </si>
  <si>
    <t>PLの表示位置が「システム機能設計書」通りであること</t>
  </si>
  <si>
    <t>開始日の表示位置が「システム機能設計書」通りであること</t>
  </si>
  <si>
    <t>終了日の表示位置が「システム機能設計書」通りであること</t>
  </si>
  <si>
    <t>備考の表示位置が「システム機能設計書」通りであること</t>
  </si>
  <si>
    <t>事業部の表示サイズ（幅、高さ、行数）が「システム機能設計書」通りであること</t>
  </si>
  <si>
    <t>部門の表示サイズ（幅、高さ、行数）が「システム機能設計書」通りであること</t>
  </si>
  <si>
    <t>PJ名の表示サイズ（幅、高さ、行数）が「システム機能設計書」通りであること</t>
  </si>
  <si>
    <t>PJ種別の表示サイズ（幅、高さ、行数）が「システム機能設計書」通りであること</t>
  </si>
  <si>
    <t>PJ分類の表示サイズ（幅、高さ、行数）が「システム機能設計書」通りであること</t>
  </si>
  <si>
    <t>売上高の表示サイズ（幅、高さ、行数）が「システム機能設計書」通りであること</t>
  </si>
  <si>
    <t>顧客の表示サイズ（幅、高さ、行数）が「システム機能設計書」通りであること</t>
  </si>
  <si>
    <t>PMの表示サイズ（幅、高さ、行数）が「システム機能設計書」通りであること</t>
  </si>
  <si>
    <t>PLの表示サイズ（幅、高さ、行数）が「システム機能設計書」通りであること</t>
  </si>
  <si>
    <t>開始日の表示サイズ（幅、高さ、行数）が「システム機能設計書」通りであること</t>
  </si>
  <si>
    <t>終了日の表示サイズ（幅、高さ、行数）が「システム機能設計書」通りであること</t>
  </si>
  <si>
    <t>備考の表示サイズ（幅、高さ、行数）が「システム機能設計書」通りであること</t>
  </si>
  <si>
    <t>画面レイアウト、画面項目定義</t>
    <rPh sb="8" eb="14">
      <t>ガメンコウモクテイギ</t>
    </rPh>
    <phoneticPr fontId="4"/>
  </si>
  <si>
    <t>事業部/部門の必須マーク(*)が「システム機能設計書」通りであること</t>
  </si>
  <si>
    <t>PJ名の必須マーク(*)が「システム機能設計書」通りであること</t>
  </si>
  <si>
    <t>PJ種別の必須マーク(*)が「システム機能設計書」通りであること</t>
  </si>
  <si>
    <t>PJ分類の必須マーク(*)が「システム機能設計書」通りであること</t>
  </si>
  <si>
    <t>売上高の必須マーク(*)が「システム機能設計書」通りであること</t>
  </si>
  <si>
    <t>顧客の必須マーク(*)が「システム機能設計書」通りであること</t>
  </si>
  <si>
    <t>PMの必須マーク(*)が「システム機能設計書」通りであること</t>
  </si>
  <si>
    <t>PLの必須マーク(*)が「システム機能設計書」通りであること</t>
  </si>
  <si>
    <t>開始日の必須マーク(*)が「システム機能設計書」通りであること</t>
  </si>
  <si>
    <t>終了日の必須マーク(*)が「システム機能設計書」通りであること</t>
  </si>
  <si>
    <t>備考の必須マーク(*)が「システム機能設計書」通りであること</t>
  </si>
  <si>
    <t>画像表示が無いので対象外</t>
    <rPh sb="0" eb="2">
      <t>ガゾウ</t>
    </rPh>
    <rPh sb="2" eb="4">
      <t>ヒョウジ</t>
    </rPh>
    <rPh sb="5" eb="6">
      <t>ナ</t>
    </rPh>
    <rPh sb="9" eb="12">
      <t>タイショウガイ</t>
    </rPh>
    <phoneticPr fontId="4"/>
  </si>
  <si>
    <t>活性/非活性切り替えが無いので対象外</t>
    <rPh sb="3" eb="6">
      <t>ヒカッセイ</t>
    </rPh>
    <rPh sb="6" eb="7">
      <t>キ</t>
    </rPh>
    <rPh sb="8" eb="9">
      <t>カ</t>
    </rPh>
    <phoneticPr fontId="4"/>
  </si>
  <si>
    <t>表示/非表示切り替えが無いので対象外</t>
    <rPh sb="0" eb="2">
      <t>ヒョウジ</t>
    </rPh>
    <rPh sb="3" eb="6">
      <t>ヒヒョウジ</t>
    </rPh>
    <rPh sb="6" eb="7">
      <t>キ</t>
    </rPh>
    <rPh sb="8" eb="9">
      <t>カ</t>
    </rPh>
    <phoneticPr fontId="4"/>
  </si>
  <si>
    <t>ランダム表示項目が無いので対象外</t>
    <rPh sb="4" eb="6">
      <t>ヒョウジ</t>
    </rPh>
    <rPh sb="6" eb="8">
      <t>コウモク</t>
    </rPh>
    <phoneticPr fontId="4"/>
  </si>
  <si>
    <t>エラー時の画面遷移</t>
  </si>
  <si>
    <t>(a)システム機能設計書
(b)UI標準
(c)メッセージ設計書</t>
    <rPh sb="7" eb="9">
      <t>キノウ</t>
    </rPh>
    <rPh sb="9" eb="12">
      <t>セッケイショ</t>
    </rPh>
    <rPh sb="18" eb="20">
      <t>ヒョウジュン</t>
    </rPh>
    <rPh sb="29" eb="32">
      <t>セッケイショ</t>
    </rPh>
    <phoneticPr fontId="4"/>
  </si>
  <si>
    <t>(a)画面レイアウト、画面項目定義
(b)画面領域設計、メッセージエリア
(c)メッセージ設計（日本語）</t>
    <rPh sb="3" eb="5">
      <t>ガメン</t>
    </rPh>
    <rPh sb="11" eb="13">
      <t>ガメン</t>
    </rPh>
    <rPh sb="13" eb="15">
      <t>コウモク</t>
    </rPh>
    <rPh sb="15" eb="17">
      <t>テイギ</t>
    </rPh>
    <rPh sb="21" eb="27">
      <t>ガメンリョウイキセッケイ</t>
    </rPh>
    <rPh sb="45" eb="47">
      <t>セッケイ</t>
    </rPh>
    <rPh sb="48" eb="51">
      <t>ニホンゴ</t>
    </rPh>
    <phoneticPr fontId="2"/>
  </si>
  <si>
    <t>「入力してください。」が項目直下に表示されること。</t>
    <rPh sb="1" eb="3">
      <t>ニュウリョク</t>
    </rPh>
    <phoneticPr fontId="4"/>
  </si>
  <si>
    <t>「氏名は128文字以下の全角文字で入力してください。」が項目直下に表示されること。</t>
  </si>
  <si>
    <t>「終了日には、開始日より後の日付を入力して下さい。」が項目直下に表示されること。</t>
  </si>
  <si>
    <t>「備考は512文字以下のシステム許容文字で入力してください。」が項目直下に表示されること。</t>
  </si>
  <si>
    <t>机上確認とクラス単体テストで確認済み</t>
    <rPh sb="0" eb="4">
      <t>キジョウカクニン</t>
    </rPh>
    <rPh sb="8" eb="10">
      <t>タンタイ</t>
    </rPh>
    <rPh sb="14" eb="17">
      <t>カクニンズ</t>
    </rPh>
    <phoneticPr fontId="2"/>
  </si>
  <si>
    <t>全項目に対するエラーメッセージが表示されていること。</t>
    <rPh sb="0" eb="3">
      <t>ゼンコウモク</t>
    </rPh>
    <rPh sb="4" eb="5">
      <t>タイ</t>
    </rPh>
    <rPh sb="16" eb="18">
      <t>ヒョウジ</t>
    </rPh>
    <phoneticPr fontId="2"/>
  </si>
  <si>
    <t>ログイン画面に遷移する</t>
    <rPh sb="4" eb="6">
      <t>ガメン</t>
    </rPh>
    <rPh sb="7" eb="9">
      <t>センイ</t>
    </rPh>
    <phoneticPr fontId="4"/>
  </si>
  <si>
    <t>CSSフレームワーク</t>
  </si>
  <si>
    <t>使用技術</t>
    <rPh sb="0" eb="2">
      <t>シヨウ</t>
    </rPh>
    <rPh sb="2" eb="4">
      <t>ギジュツ</t>
    </rPh>
    <phoneticPr fontId="4"/>
  </si>
  <si>
    <t>JavaScriptエラーが発生しないこと。</t>
  </si>
  <si>
    <t>(a)システム機能設計書
(b)UI標準(画面)別冊</t>
    <rPh sb="18" eb="20">
      <t>ヒョウジュン</t>
    </rPh>
    <rPh sb="21" eb="23">
      <t>ガメン</t>
    </rPh>
    <rPh sb="24" eb="26">
      <t>ベッサツ</t>
    </rPh>
    <phoneticPr fontId="4"/>
  </si>
  <si>
    <t>(a)画面項目定義
(b)画面部品パターン</t>
    <rPh sb="13" eb="15">
      <t>ガメン</t>
    </rPh>
    <rPh sb="15" eb="17">
      <t>ブヒン</t>
    </rPh>
    <phoneticPr fontId="4"/>
  </si>
  <si>
    <t>事業部の部品形式が「システム機能設計書」通りであること</t>
  </si>
  <si>
    <t>部門の部品形式が「システム機能設計書」通りであること</t>
  </si>
  <si>
    <t>PJ名の部品形式が「システム機能設計書」通りであること</t>
  </si>
  <si>
    <t>PJ種別の部品形式が「システム機能設計書」通りであること</t>
  </si>
  <si>
    <t>PJ分類の部品形式が「システム機能設計書」通りであること</t>
  </si>
  <si>
    <t>売上高の部品形式が「システム機能設計書」通りであること</t>
  </si>
  <si>
    <t>顧客の部品形式が「システム機能設計書」通りであること</t>
  </si>
  <si>
    <t>PMの部品形式が「システム機能設計書」通りであること</t>
  </si>
  <si>
    <t>PLの部品形式が「システム機能設計書」通りであること</t>
  </si>
  <si>
    <t>開始日の部品形式が「システム機能設計書」通りであること</t>
  </si>
  <si>
    <t>終了日の部品形式が「システム機能設計書」通りであること</t>
  </si>
  <si>
    <t>備考の部品形式が「システム機能設計書」通りであること</t>
  </si>
  <si>
    <t>エラーはそれぞれの項目下部に表示されるので、並び替えの必要性が無い画面デザインである。したがって、対象外。</t>
    <rPh sb="9" eb="11">
      <t>コウモク</t>
    </rPh>
    <rPh sb="11" eb="13">
      <t>カブ</t>
    </rPh>
    <rPh sb="14" eb="16">
      <t>ヒョウジ</t>
    </rPh>
    <rPh sb="22" eb="23">
      <t>ナラ</t>
    </rPh>
    <rPh sb="24" eb="25">
      <t>カ</t>
    </rPh>
    <rPh sb="27" eb="30">
      <t>ヒツヨウセイ</t>
    </rPh>
    <rPh sb="31" eb="32">
      <t>ナ</t>
    </rPh>
    <rPh sb="33" eb="35">
      <t>ガメン</t>
    </rPh>
    <rPh sb="49" eb="52">
      <t>タイショウガイ</t>
    </rPh>
    <phoneticPr fontId="4"/>
  </si>
  <si>
    <t>複数の相関バリデーションを実施し、その結果をまとめて表示する画面ではないので対象外</t>
    <rPh sb="38" eb="41">
      <t>タイショウガイ</t>
    </rPh>
    <phoneticPr fontId="4"/>
  </si>
  <si>
    <t>DBとの相関バリデーションが無いので対象外</t>
    <rPh sb="14" eb="15">
      <t>ナ</t>
    </rPh>
    <rPh sb="18" eb="21">
      <t>タイショウガイ</t>
    </rPh>
    <phoneticPr fontId="4"/>
  </si>
  <si>
    <t>スタイルシートとして、CSSフレームワークSemantic UIを指定していること</t>
    <rPh sb="33" eb="35">
      <t>シテイ</t>
    </rPh>
    <phoneticPr fontId="4"/>
  </si>
  <si>
    <t>画面項目定義</t>
  </si>
  <si>
    <t>事業部のプルダウンは未選択であること</t>
  </si>
  <si>
    <t>部門のプルダウンは未選択であること</t>
  </si>
  <si>
    <t>PJ名は空欄であること</t>
  </si>
  <si>
    <t>PJ種別のプルダウンは未選択であること</t>
  </si>
  <si>
    <t>PJ分類のラジオボタンは未選択であること</t>
  </si>
  <si>
    <t>売上高は空欄であること</t>
  </si>
  <si>
    <t>顧客のラベルが空欄であること</t>
  </si>
  <si>
    <t>PMは空欄であること</t>
  </si>
  <si>
    <t>PLは空欄であること</t>
  </si>
  <si>
    <t>開始日は空欄であること</t>
  </si>
  <si>
    <t>終了日は空欄であること</t>
  </si>
  <si>
    <t>備考は空欄であること</t>
  </si>
  <si>
    <t>事業部のプルダウンのデータ取得元が「システム機能設計書」通りである。</t>
    <rPh sb="13" eb="16">
      <t>シュトクモト</t>
    </rPh>
    <rPh sb="28" eb="29">
      <t>ドオ</t>
    </rPh>
    <phoneticPr fontId="4"/>
  </si>
  <si>
    <t>部門のプルダウンのデータ取得元が「システム機能設計書」通りである。</t>
    <rPh sb="12" eb="15">
      <t>シュトクモト</t>
    </rPh>
    <rPh sb="27" eb="28">
      <t>ドオ</t>
    </rPh>
    <phoneticPr fontId="4"/>
  </si>
  <si>
    <t>事業部のプルダウンは確認画面で表示されていた組織が選択状態にあること</t>
  </si>
  <si>
    <t>部門のプルダウンは確認画面で表示されていた組織が選択状態にあること</t>
  </si>
  <si>
    <t>一覧表示項目がないので対象外</t>
    <rPh sb="0" eb="2">
      <t>イチラン</t>
    </rPh>
    <rPh sb="2" eb="4">
      <t>ヒョウジ</t>
    </rPh>
    <rPh sb="4" eb="6">
      <t>コウモク</t>
    </rPh>
    <rPh sb="11" eb="14">
      <t>タイショウガイ</t>
    </rPh>
    <phoneticPr fontId="4"/>
  </si>
  <si>
    <t>「WA1020102シート」の画面イベント一覧</t>
    <rPh sb="15" eb="17">
      <t>ガメン</t>
    </rPh>
    <rPh sb="21" eb="23">
      <t>イチラン</t>
    </rPh>
    <phoneticPr fontId="4"/>
  </si>
  <si>
    <t>PJ名は確認画面の値と同じであること</t>
  </si>
  <si>
    <t>PJ種別のプルダウンは確認画面で表示されていたPJ種別が選択状態にあること</t>
  </si>
  <si>
    <t>PJ分類のラジオボタンは確認画面で表示されていたPJ分類が選択状態にあること</t>
  </si>
  <si>
    <t>売上高は確認画面の値と同じであること</t>
  </si>
  <si>
    <t>顧客のラベルは確認画面の値（顧客名）と同じであること</t>
  </si>
  <si>
    <t>PMは確認画面の値と同じであること</t>
  </si>
  <si>
    <t>PLは確認画面の値と同じであること</t>
  </si>
  <si>
    <t>開始日は確認画面の値と同じであること</t>
  </si>
  <si>
    <t>終了日は確認画面の値と同じであること</t>
  </si>
  <si>
    <t>備考は確認画面の値と同じであること</t>
  </si>
  <si>
    <t>エラーにならないこと</t>
  </si>
  <si>
    <t>画面レイアウト、画面項目定義</t>
    <rPh sb="0" eb="2">
      <t>ガメン</t>
    </rPh>
    <phoneticPr fontId="4"/>
  </si>
  <si>
    <t>レイアウト崩れがないこと。</t>
  </si>
  <si>
    <t>最小長の設定がないので対象外</t>
    <rPh sb="0" eb="2">
      <t>サイショウ</t>
    </rPh>
    <rPh sb="2" eb="3">
      <t>チョウ</t>
    </rPh>
    <rPh sb="4" eb="6">
      <t>セッテイ</t>
    </rPh>
    <rPh sb="11" eb="14">
      <t>タイショウガイ</t>
    </rPh>
    <phoneticPr fontId="25"/>
  </si>
  <si>
    <t>一覧表示項目が無く、事業部、部門については最大件数の仕様がないので対象外。</t>
    <rPh sb="0" eb="6">
      <t>イチランヒョウジコウモク</t>
    </rPh>
    <rPh sb="7" eb="8">
      <t>ナ</t>
    </rPh>
    <rPh sb="14" eb="16">
      <t>ブモン</t>
    </rPh>
    <rPh sb="21" eb="25">
      <t>サイダイケンスウ</t>
    </rPh>
    <rPh sb="26" eb="28">
      <t>シヨウ</t>
    </rPh>
    <rPh sb="33" eb="36">
      <t>タイショウガイ</t>
    </rPh>
    <phoneticPr fontId="4"/>
  </si>
  <si>
    <t>一覧表示項目が無く、事業部、部門については最小件数の仕様がないので対象外。</t>
    <rPh sb="0" eb="6">
      <t>イチランヒョウジコウモク</t>
    </rPh>
    <rPh sb="7" eb="8">
      <t>ナ</t>
    </rPh>
    <rPh sb="14" eb="16">
      <t>ブモン</t>
    </rPh>
    <rPh sb="21" eb="23">
      <t>サイショウ</t>
    </rPh>
    <rPh sb="23" eb="25">
      <t>ケンスウ</t>
    </rPh>
    <rPh sb="26" eb="28">
      <t>シヨウ</t>
    </rPh>
    <rPh sb="33" eb="36">
      <t>タイショウガイ</t>
    </rPh>
    <phoneticPr fontId="4"/>
  </si>
  <si>
    <t>PJ名は確認画面の値がそのまま表示されること</t>
  </si>
  <si>
    <t>売上高は確認画面の値がそのまま表示されること</t>
  </si>
  <si>
    <t>顧客のラベルには確認画面の値（顧客名）が表示されること</t>
    <rPh sb="15" eb="18">
      <t>コキャクメイ</t>
    </rPh>
    <phoneticPr fontId="4"/>
  </si>
  <si>
    <t>PMは確認画面の値がそのまま表示されること</t>
  </si>
  <si>
    <t>PLは確認画面の値がそのまま表示されること</t>
  </si>
  <si>
    <t>開始日は確認画面の値がそのまま表示されること</t>
  </si>
  <si>
    <t>終了日は確認画面の値がそのまま表示されること</t>
  </si>
  <si>
    <t>備考は確認画面の値がそのまま表示されること</t>
  </si>
  <si>
    <t>備考は確認画面の値が改行も含めてそのまま表示されること</t>
  </si>
  <si>
    <t>画面項目定義</t>
    <rPh sb="0" eb="6">
      <t>ガメンコウモクテイギ</t>
    </rPh>
    <phoneticPr fontId="4"/>
  </si>
  <si>
    <t>取得した値を編集する処理が分岐する画面ではないので対象外</t>
    <rPh sb="17" eb="19">
      <t>ガメン</t>
    </rPh>
    <rPh sb="25" eb="28">
      <t>タイショウガイ</t>
    </rPh>
    <phoneticPr fontId="4"/>
  </si>
  <si>
    <t>取得した値を使用して計算する機能はないので対象外</t>
    <rPh sb="14" eb="16">
      <t>キノウ</t>
    </rPh>
    <rPh sb="21" eb="24">
      <t>タイショウガイ</t>
    </rPh>
    <phoneticPr fontId="4"/>
  </si>
  <si>
    <t>取得した値を連結する機能はないので対象外</t>
    <rPh sb="10" eb="12">
      <t>キノウ</t>
    </rPh>
    <rPh sb="17" eb="20">
      <t>タイショウガイ</t>
    </rPh>
    <phoneticPr fontId="4"/>
  </si>
  <si>
    <t>取得した値を暗号化する機能はないので対象外</t>
    <rPh sb="11" eb="13">
      <t>キノウ</t>
    </rPh>
    <rPh sb="18" eb="21">
      <t>タイショウガイ</t>
    </rPh>
    <phoneticPr fontId="4"/>
  </si>
  <si>
    <t>取得した値をマスキングする機能はないので対象外</t>
    <rPh sb="13" eb="15">
      <t>キノウ</t>
    </rPh>
    <rPh sb="20" eb="23">
      <t>タイショウガイ</t>
    </rPh>
    <phoneticPr fontId="4"/>
  </si>
  <si>
    <t>入力済みの項目をクリアする機能はないので対象外</t>
    <rPh sb="13" eb="15">
      <t>キノウ</t>
    </rPh>
    <rPh sb="20" eb="23">
      <t>タイショウガイ</t>
    </rPh>
    <phoneticPr fontId="4"/>
  </si>
  <si>
    <t>タブキーによるフォーカスの移動順は特に定めず、ブラウザの挙動に任せるものとするため対象外</t>
    <rPh sb="41" eb="44">
      <t>タイショウガイ</t>
    </rPh>
    <phoneticPr fontId="4"/>
  </si>
  <si>
    <t>更新処理を行うボタンがないので対象外</t>
    <rPh sb="0" eb="5">
      <t>コウシンショ</t>
    </rPh>
    <rPh sb="5" eb="6">
      <t>オコナ</t>
    </rPh>
    <rPh sb="15" eb="18">
      <t>タイショウガイ</t>
    </rPh>
    <phoneticPr fontId="4"/>
  </si>
  <si>
    <t>画面サイズはフルXGA仕様(1024px×768px)を前提としている。リサイズの要件が無いので対象外。</t>
    <rPh sb="0" eb="2">
      <t>ガメン</t>
    </rPh>
    <rPh sb="28" eb="30">
      <t>ゼンテイ</t>
    </rPh>
    <rPh sb="41" eb="43">
      <t>ヨウケン</t>
    </rPh>
    <rPh sb="44" eb="45">
      <t>ナ</t>
    </rPh>
    <rPh sb="48" eb="51">
      <t>タイショウガイ</t>
    </rPh>
    <phoneticPr fontId="4"/>
  </si>
  <si>
    <t>PJ分類のラジオボタンに選択可能なデータは1つであること。</t>
  </si>
  <si>
    <t>IME制御は行わないので対象外</t>
  </si>
  <si>
    <t>IME制御は行わないので対象外</t>
    <phoneticPr fontId="2"/>
  </si>
  <si>
    <t>画面遷移図</t>
    <rPh sb="0" eb="5">
      <t>ガメンセンイズ</t>
    </rPh>
    <phoneticPr fontId="4"/>
  </si>
  <si>
    <t>プロジェクト管理(A102)</t>
    <rPh sb="6" eb="8">
      <t>カンリ</t>
    </rPh>
    <phoneticPr fontId="4"/>
  </si>
  <si>
    <t>プロジェクト登録確認画面が表示される</t>
    <rPh sb="6" eb="8">
      <t>トウロク</t>
    </rPh>
    <rPh sb="8" eb="12">
      <t>カクニンガメン</t>
    </rPh>
    <rPh sb="13" eb="15">
      <t>ヒョウジ</t>
    </rPh>
    <phoneticPr fontId="4"/>
  </si>
  <si>
    <t>プロジェクト登録画面が表示される</t>
    <rPh sb="11" eb="13">
      <t>ヒョウジ</t>
    </rPh>
    <phoneticPr fontId="4"/>
  </si>
  <si>
    <t>同ウィンドウで開かれること。</t>
  </si>
  <si>
    <t>顧客検索画面をポップアップ画面として開く。</t>
  </si>
  <si>
    <t>画面遷移標準</t>
  </si>
  <si>
    <t>確認画面が表示される。</t>
    <rPh sb="0" eb="4">
      <t>カクニンガメン</t>
    </rPh>
    <rPh sb="5" eb="7">
      <t>ヒョウジ</t>
    </rPh>
    <phoneticPr fontId="4"/>
  </si>
  <si>
    <t>アプリケーション処理方式設計書(画面処理方式_3.1同期処理方式)</t>
    <rPh sb="8" eb="12">
      <t>ショリホウシキ</t>
    </rPh>
    <rPh sb="12" eb="15">
      <t>セッケイショ</t>
    </rPh>
    <rPh sb="16" eb="18">
      <t>ガメン</t>
    </rPh>
    <rPh sb="18" eb="22">
      <t>ショリホウシキ</t>
    </rPh>
    <rPh sb="26" eb="28">
      <t>ドウキ</t>
    </rPh>
    <rPh sb="28" eb="32">
      <t>ショリホウシキ</t>
    </rPh>
    <phoneticPr fontId="4"/>
  </si>
  <si>
    <t>HTTPステータスコード</t>
  </si>
  <si>
    <t>HTTPステータスは200であること</t>
  </si>
  <si>
    <t>(a)UI標準
(b)アプリケーション処理方式設計書(画面処理方式_3.1同期処理方式)</t>
    <rPh sb="5" eb="7">
      <t>ヒョウジュン</t>
    </rPh>
    <rPh sb="19" eb="21">
      <t>ショリ</t>
    </rPh>
    <rPh sb="21" eb="23">
      <t>ホウシキ</t>
    </rPh>
    <rPh sb="23" eb="26">
      <t>セッケイショ</t>
    </rPh>
    <rPh sb="27" eb="29">
      <t>ガメン</t>
    </rPh>
    <rPh sb="29" eb="31">
      <t>ショリ</t>
    </rPh>
    <rPh sb="31" eb="33">
      <t>ホウシキ</t>
    </rPh>
    <rPh sb="37" eb="39">
      <t>ドウキ</t>
    </rPh>
    <rPh sb="39" eb="41">
      <t>ショリ</t>
    </rPh>
    <rPh sb="41" eb="43">
      <t>ホウシキ</t>
    </rPh>
    <phoneticPr fontId="4"/>
  </si>
  <si>
    <t>(a)ブラウザキャッシュの方針
(b)ブラウザキャッシュ制御</t>
  </si>
  <si>
    <t>レスポンスヘッダに Cache-Control: no-stroe が設定されていること。</t>
    <rPh sb="35" eb="37">
      <t>セッテイ</t>
    </rPh>
    <phoneticPr fontId="2"/>
  </si>
  <si>
    <t>ファイル取込なし</t>
    <rPh sb="4" eb="6">
      <t>トリコミ</t>
    </rPh>
    <phoneticPr fontId="2"/>
  </si>
  <si>
    <t>ファイル出力なし</t>
    <rPh sb="4" eb="6">
      <t>シュツリョク</t>
    </rPh>
    <phoneticPr fontId="2"/>
  </si>
  <si>
    <t>事業部は登録画面で選択した組織の組織名が表示されること、</t>
    <rPh sb="0" eb="2">
      <t>ジギョウ</t>
    </rPh>
    <rPh sb="2" eb="3">
      <t>ブ</t>
    </rPh>
    <rPh sb="4" eb="6">
      <t>トウロク</t>
    </rPh>
    <rPh sb="6" eb="8">
      <t>ガメン</t>
    </rPh>
    <rPh sb="9" eb="11">
      <t>センタク</t>
    </rPh>
    <rPh sb="13" eb="15">
      <t>ソシキ</t>
    </rPh>
    <rPh sb="16" eb="19">
      <t>ソシキメイ</t>
    </rPh>
    <rPh sb="20" eb="22">
      <t>ヒョウジ</t>
    </rPh>
    <phoneticPr fontId="4"/>
  </si>
  <si>
    <t>部門は登録画面で選択した組織の組織名が表示されること、</t>
    <rPh sb="0" eb="2">
      <t>ブモン</t>
    </rPh>
    <rPh sb="3" eb="5">
      <t>トウロク</t>
    </rPh>
    <rPh sb="5" eb="7">
      <t>ガメン</t>
    </rPh>
    <rPh sb="8" eb="10">
      <t>センタク</t>
    </rPh>
    <rPh sb="12" eb="14">
      <t>ソシキ</t>
    </rPh>
    <rPh sb="15" eb="18">
      <t>ソシキメイ</t>
    </rPh>
    <rPh sb="19" eb="21">
      <t>ヒョウジ</t>
    </rPh>
    <phoneticPr fontId="4"/>
  </si>
  <si>
    <t>事業部には空白が表示されること。</t>
    <rPh sb="0" eb="3">
      <t>ジギョウブ</t>
    </rPh>
    <rPh sb="5" eb="7">
      <t>クウハク</t>
    </rPh>
    <rPh sb="8" eb="10">
      <t>ヒョウジ</t>
    </rPh>
    <phoneticPr fontId="4"/>
  </si>
  <si>
    <t>部門には空白が表示されること。</t>
    <rPh sb="0" eb="2">
      <t>ブモン</t>
    </rPh>
    <rPh sb="4" eb="6">
      <t>クウハク</t>
    </rPh>
    <rPh sb="7" eb="9">
      <t>ヒョウジ</t>
    </rPh>
    <phoneticPr fontId="4"/>
  </si>
  <si>
    <t>部分一致の検索条件に基づく検索／更新／削除を行わないので対象外</t>
    <rPh sb="0" eb="4">
      <t>ブブンイッチ</t>
    </rPh>
    <rPh sb="5" eb="9">
      <t>ケンサクジョウケン</t>
    </rPh>
    <rPh sb="10" eb="11">
      <t>モト</t>
    </rPh>
    <rPh sb="13" eb="15">
      <t>ケンサク</t>
    </rPh>
    <rPh sb="16" eb="18">
      <t>コウシン</t>
    </rPh>
    <rPh sb="19" eb="21">
      <t>サクジョ</t>
    </rPh>
    <rPh sb="22" eb="23">
      <t>オコナ</t>
    </rPh>
    <rPh sb="28" eb="31">
      <t>タイショウガイ</t>
    </rPh>
    <phoneticPr fontId="4"/>
  </si>
  <si>
    <t>月、年度の切り替えにより変動する検索条件に基づく検索／更新／削除を行わないので対象外</t>
    <rPh sb="12" eb="14">
      <t>ヘンドウ</t>
    </rPh>
    <rPh sb="16" eb="20">
      <t>ケンサクジョウケン</t>
    </rPh>
    <phoneticPr fontId="4"/>
  </si>
  <si>
    <t>検索条件は数字以外は指定できないので対象外</t>
    <rPh sb="0" eb="4">
      <t>ケンサクジョウケン</t>
    </rPh>
    <rPh sb="5" eb="7">
      <t>スウジ</t>
    </rPh>
    <rPh sb="7" eb="9">
      <t>イガイ</t>
    </rPh>
    <rPh sb="10" eb="12">
      <t>シテイ</t>
    </rPh>
    <rPh sb="18" eb="21">
      <t>タイショウガイ</t>
    </rPh>
    <phoneticPr fontId="4"/>
  </si>
  <si>
    <t>処理件数に上限はない（1件しか返さないSQL使用）ので対象外</t>
    <rPh sb="0" eb="4">
      <t>ショリケンスウ</t>
    </rPh>
    <rPh sb="5" eb="7">
      <t>ジョウゲン</t>
    </rPh>
    <rPh sb="12" eb="13">
      <t>ケン</t>
    </rPh>
    <rPh sb="15" eb="16">
      <t>カエ</t>
    </rPh>
    <rPh sb="22" eb="24">
      <t>シヨウ</t>
    </rPh>
    <rPh sb="27" eb="30">
      <t>タイショウガイ</t>
    </rPh>
    <phoneticPr fontId="4"/>
  </si>
  <si>
    <t>(a)システム機能設計書
(b)テーブル定義書</t>
    <rPh sb="7" eb="12">
      <t>キノウセッケイショ</t>
    </rPh>
    <rPh sb="20" eb="23">
      <t>テイギショ</t>
    </rPh>
    <phoneticPr fontId="0"/>
  </si>
  <si>
    <t>(a)確定イベント
(b)プロジェクト(テーブル)</t>
    <rPh sb="3" eb="5">
      <t>カクテイ</t>
    </rPh>
    <phoneticPr fontId="4"/>
  </si>
  <si>
    <t>レコード更新はしないので対象外</t>
    <rPh sb="4" eb="6">
      <t>コウシン</t>
    </rPh>
    <rPh sb="12" eb="15">
      <t>タイショウガイ</t>
    </rPh>
    <phoneticPr fontId="4"/>
  </si>
  <si>
    <t>確定イベント</t>
  </si>
  <si>
    <t>データがInsertされること。</t>
  </si>
  <si>
    <t>値を変換して書き込む編集仕様は無いので対象外</t>
    <rPh sb="0" eb="1">
      <t>アタイ</t>
    </rPh>
    <rPh sb="2" eb="4">
      <t>ヘンカン</t>
    </rPh>
    <rPh sb="6" eb="7">
      <t>カ</t>
    </rPh>
    <rPh sb="8" eb="9">
      <t>コ</t>
    </rPh>
    <rPh sb="10" eb="14">
      <t>ヘンシュウシヨウ</t>
    </rPh>
    <rPh sb="15" eb="16">
      <t>ナ</t>
    </rPh>
    <rPh sb="19" eb="22">
      <t>タイショウガイ</t>
    </rPh>
    <phoneticPr fontId="4"/>
  </si>
  <si>
    <t>ループ処理で繰り返して書き込む項目がないので対象外</t>
    <rPh sb="3" eb="5">
      <t>ショリ</t>
    </rPh>
    <rPh sb="6" eb="7">
      <t>ク</t>
    </rPh>
    <rPh sb="8" eb="9">
      <t>カエ</t>
    </rPh>
    <rPh sb="11" eb="12">
      <t>カ</t>
    </rPh>
    <rPh sb="13" eb="14">
      <t>コ</t>
    </rPh>
    <rPh sb="15" eb="17">
      <t>コウモク</t>
    </rPh>
    <rPh sb="22" eb="25">
      <t>タイショウガイ</t>
    </rPh>
    <phoneticPr fontId="4"/>
  </si>
  <si>
    <t>計算し、その結果を書き込む編集仕様は無いので対象外</t>
    <rPh sb="0" eb="2">
      <t>ケイサン</t>
    </rPh>
    <rPh sb="6" eb="8">
      <t>ケッカ</t>
    </rPh>
    <rPh sb="9" eb="10">
      <t>カ</t>
    </rPh>
    <rPh sb="11" eb="12">
      <t>コ</t>
    </rPh>
    <rPh sb="13" eb="15">
      <t>ヘンシュウ</t>
    </rPh>
    <rPh sb="15" eb="17">
      <t>シヨウ</t>
    </rPh>
    <rPh sb="18" eb="19">
      <t>ナ</t>
    </rPh>
    <rPh sb="22" eb="25">
      <t>タイショウガイ</t>
    </rPh>
    <phoneticPr fontId="4"/>
  </si>
  <si>
    <t>連結し、その結果を書き込む編集仕様は無いので対象外</t>
    <rPh sb="0" eb="2">
      <t>レンケツ</t>
    </rPh>
    <rPh sb="6" eb="8">
      <t>ケッカ</t>
    </rPh>
    <rPh sb="9" eb="10">
      <t>カ</t>
    </rPh>
    <rPh sb="11" eb="12">
      <t>コ</t>
    </rPh>
    <rPh sb="13" eb="17">
      <t>ヘンシュウシヨウ</t>
    </rPh>
    <rPh sb="18" eb="19">
      <t>ナ</t>
    </rPh>
    <rPh sb="22" eb="25">
      <t>タイショウガイ</t>
    </rPh>
    <phoneticPr fontId="4"/>
  </si>
  <si>
    <t>暗号化し、その結果を書き込む編集仕様は無いので対象外</t>
    <rPh sb="0" eb="3">
      <t>アンゴウカ</t>
    </rPh>
    <rPh sb="7" eb="9">
      <t>ケッカ</t>
    </rPh>
    <rPh sb="10" eb="11">
      <t>カ</t>
    </rPh>
    <rPh sb="12" eb="13">
      <t>コ</t>
    </rPh>
    <rPh sb="14" eb="18">
      <t>ヘンシュウシヨウ</t>
    </rPh>
    <phoneticPr fontId="4"/>
  </si>
  <si>
    <t>マスキングし、その結果を書き込む編集仕様は無いので対象外</t>
    <rPh sb="9" eb="11">
      <t>ケッカ</t>
    </rPh>
    <rPh sb="12" eb="13">
      <t>カ</t>
    </rPh>
    <rPh sb="14" eb="15">
      <t>コ</t>
    </rPh>
    <rPh sb="16" eb="20">
      <t>ヘンシュウシヨウ</t>
    </rPh>
    <phoneticPr fontId="4"/>
  </si>
  <si>
    <t>Insertされたレコードのproject_idは自動採番されること</t>
  </si>
  <si>
    <t>Insertされたレコードのproject_nameにPJ名の値が登録されること</t>
  </si>
  <si>
    <t>Insertされたレコードのproject_typeにPJ種別のIDが登録されること</t>
  </si>
  <si>
    <t>Insertされたレコードのproject_classにPJ分類のIDが登録されること</t>
  </si>
  <si>
    <t>Insertされたレコードのproject_start_dateに開始日の値が登録されること</t>
  </si>
  <si>
    <t>Insertされたレコードのproject_end_dateに終了日の値が登録されること</t>
  </si>
  <si>
    <t>Insertされたレコードのorganization_idに部門のIDが登録されること</t>
  </si>
  <si>
    <t>Insertされたレコードのclient_idに顧客のIDが登録されること</t>
  </si>
  <si>
    <t>Insertされたレコードのproject_managerにPMの値が登録されること</t>
  </si>
  <si>
    <t>Insertされたレコードのproject_leaderにPLの値が登録されること</t>
  </si>
  <si>
    <t>Insertされたレコードのnoteに備考の値が登録されること</t>
  </si>
  <si>
    <t>Insertされたレコードのsalesに売上高の値が登録されること</t>
  </si>
  <si>
    <t>画面項目定義、確定イベント</t>
    <rPh sb="0" eb="6">
      <t>ガメンコウモクテイギ</t>
    </rPh>
    <phoneticPr fontId="4"/>
  </si>
  <si>
    <t>入力した値が登録できること。</t>
    <rPh sb="0" eb="2">
      <t>ニュウリョク</t>
    </rPh>
    <phoneticPr fontId="4"/>
  </si>
  <si>
    <t>前画面で入力精査OKとなっている前提なので対象外</t>
    <rPh sb="0" eb="3">
      <t>マエガメン</t>
    </rPh>
    <rPh sb="4" eb="8">
      <t>ニュウリョクセイサ</t>
    </rPh>
    <rPh sb="16" eb="18">
      <t>ゼンテイ</t>
    </rPh>
    <rPh sb="21" eb="24">
      <t>タイショウガイ</t>
    </rPh>
    <phoneticPr fontId="4"/>
  </si>
  <si>
    <t>事業部、部門の検索は主キー検索で取得した1件のみを取得・表示する。レコードを件数は1固定であるため、対象外。</t>
    <rPh sb="0" eb="3">
      <t>ジギョウブ</t>
    </rPh>
    <rPh sb="4" eb="6">
      <t>ブモン</t>
    </rPh>
    <rPh sb="7" eb="9">
      <t>ケンサク</t>
    </rPh>
    <rPh sb="10" eb="11">
      <t>シュ</t>
    </rPh>
    <rPh sb="13" eb="15">
      <t>ケンサク</t>
    </rPh>
    <rPh sb="16" eb="18">
      <t>シュトク</t>
    </rPh>
    <rPh sb="21" eb="22">
      <t>ケン</t>
    </rPh>
    <rPh sb="25" eb="27">
      <t>シュトク</t>
    </rPh>
    <rPh sb="28" eb="30">
      <t>ヒョウジ</t>
    </rPh>
    <rPh sb="38" eb="40">
      <t>ケンスウ</t>
    </rPh>
    <rPh sb="42" eb="44">
      <t>コテイ</t>
    </rPh>
    <rPh sb="50" eb="53">
      <t>タイショウガイ</t>
    </rPh>
    <phoneticPr fontId="4"/>
  </si>
  <si>
    <t>データ検索を行わないので対象外</t>
    <rPh sb="3" eb="5">
      <t>ケンサク</t>
    </rPh>
    <rPh sb="6" eb="7">
      <t>オコナ</t>
    </rPh>
    <rPh sb="12" eb="15">
      <t>タイショウガイ</t>
    </rPh>
    <phoneticPr fontId="4"/>
  </si>
  <si>
    <t>１件登録されること</t>
    <rPh sb="1" eb="2">
      <t>ケン</t>
    </rPh>
    <rPh sb="2" eb="4">
      <t>トウロク</t>
    </rPh>
    <phoneticPr fontId="4"/>
  </si>
  <si>
    <t>エラー発生時には後続の処理が実施されないことはFWにて担保されるので対象外</t>
    <rPh sb="3" eb="5">
      <t>ハッセイ</t>
    </rPh>
    <rPh sb="5" eb="6">
      <t>ジ</t>
    </rPh>
    <rPh sb="8" eb="10">
      <t>コウゾク</t>
    </rPh>
    <rPh sb="11" eb="13">
      <t>ショリ</t>
    </rPh>
    <rPh sb="14" eb="16">
      <t>ジッシ</t>
    </rPh>
    <rPh sb="27" eb="29">
      <t>タンポ</t>
    </rPh>
    <rPh sb="34" eb="37">
      <t>タイショウガイ</t>
    </rPh>
    <phoneticPr fontId="4"/>
  </si>
  <si>
    <t>複数テーブル更新を行わないので対象外</t>
    <rPh sb="0" eb="2">
      <t>フクスウ</t>
    </rPh>
    <rPh sb="6" eb="8">
      <t>コウシン</t>
    </rPh>
    <rPh sb="9" eb="10">
      <t>オコナ</t>
    </rPh>
    <rPh sb="15" eb="18">
      <t>タイショウガイ</t>
    </rPh>
    <phoneticPr fontId="4"/>
  </si>
  <si>
    <t>登録時に楽観ロックは行わないので対象外</t>
    <rPh sb="0" eb="3">
      <t>トウロクジ</t>
    </rPh>
    <rPh sb="4" eb="6">
      <t>ラッカン</t>
    </rPh>
    <rPh sb="10" eb="11">
      <t>オコナ</t>
    </rPh>
    <rPh sb="16" eb="19">
      <t>タイショウガイ</t>
    </rPh>
    <phoneticPr fontId="4"/>
  </si>
  <si>
    <t>悲観ロックは行わないので対象外</t>
    <rPh sb="0" eb="2">
      <t>ヒカン</t>
    </rPh>
    <rPh sb="6" eb="7">
      <t>オコナ</t>
    </rPh>
    <rPh sb="12" eb="15">
      <t>タイショウガイ</t>
    </rPh>
    <phoneticPr fontId="4"/>
  </si>
  <si>
    <t>フレームワークで制御しておりレビューで担保できるので対象外</t>
    <rPh sb="8" eb="10">
      <t>セイギョ</t>
    </rPh>
    <rPh sb="19" eb="21">
      <t>タンポ</t>
    </rPh>
    <rPh sb="26" eb="29">
      <t>タイショウガイ</t>
    </rPh>
    <phoneticPr fontId="4"/>
  </si>
  <si>
    <t>確認画面で表示するエラーが無いので対象外</t>
    <rPh sb="0" eb="4">
      <t>カクニンガメン</t>
    </rPh>
    <rPh sb="5" eb="7">
      <t>ヒョウジ</t>
    </rPh>
    <rPh sb="13" eb="14">
      <t>ナ</t>
    </rPh>
    <rPh sb="17" eb="20">
      <t>タイショウガイ</t>
    </rPh>
    <phoneticPr fontId="4"/>
  </si>
  <si>
    <t>バリデーションなし</t>
    <phoneticPr fontId="4"/>
  </si>
  <si>
    <t>入力画面ではないので対象外</t>
    <rPh sb="0" eb="2">
      <t>ニュウリョク</t>
    </rPh>
    <rPh sb="2" eb="4">
      <t>ガメン</t>
    </rPh>
    <rPh sb="10" eb="13">
      <t>タイショウガイ</t>
    </rPh>
    <phoneticPr fontId="4"/>
  </si>
  <si>
    <t>選択肢をDBなどから取得するUIはないので対象外</t>
    <rPh sb="0" eb="3">
      <t>センタクシ</t>
    </rPh>
    <rPh sb="10" eb="12">
      <t>シュトク</t>
    </rPh>
    <rPh sb="21" eb="24">
      <t>タイショウガイ</t>
    </rPh>
    <phoneticPr fontId="4"/>
  </si>
  <si>
    <t>事業部は登録画面で選択した組織の組織名が表示されること</t>
    <rPh sb="4" eb="6">
      <t>トウロク</t>
    </rPh>
    <rPh sb="9" eb="11">
      <t>センタク</t>
    </rPh>
    <rPh sb="16" eb="19">
      <t>ソシキメイ</t>
    </rPh>
    <rPh sb="20" eb="22">
      <t>ヒョウジ</t>
    </rPh>
    <phoneticPr fontId="4"/>
  </si>
  <si>
    <t>部門は登録画面で選択した組織の組織名が表示されること</t>
    <rPh sb="0" eb="2">
      <t>ブモン</t>
    </rPh>
    <rPh sb="3" eb="5">
      <t>トウロク</t>
    </rPh>
    <rPh sb="8" eb="10">
      <t>センタク</t>
    </rPh>
    <rPh sb="15" eb="18">
      <t>ソシキメイ</t>
    </rPh>
    <rPh sb="19" eb="21">
      <t>ヒョウジ</t>
    </rPh>
    <phoneticPr fontId="4"/>
  </si>
  <si>
    <t>PJ名は登録画面で入力した値が表示されること</t>
  </si>
  <si>
    <t>PJ種別は登録画面で選択したPJ種別のPJ種別名が表示されること</t>
    <rPh sb="5" eb="7">
      <t>トウロク</t>
    </rPh>
    <rPh sb="10" eb="12">
      <t>センタク</t>
    </rPh>
    <rPh sb="21" eb="24">
      <t>シュベツメイ</t>
    </rPh>
    <rPh sb="25" eb="27">
      <t>ヒョウジ</t>
    </rPh>
    <phoneticPr fontId="4"/>
  </si>
  <si>
    <t>PJ分類は登録画面で選択したPJ分類のPJ分類名が表示されること</t>
    <rPh sb="5" eb="9">
      <t>トウロクガメン</t>
    </rPh>
    <rPh sb="10" eb="12">
      <t>センタク</t>
    </rPh>
    <rPh sb="16" eb="18">
      <t>ブンルイ</t>
    </rPh>
    <rPh sb="21" eb="23">
      <t>ブンルイ</t>
    </rPh>
    <rPh sb="23" eb="24">
      <t>メイ</t>
    </rPh>
    <rPh sb="25" eb="27">
      <t>ヒョウジ</t>
    </rPh>
    <phoneticPr fontId="4"/>
  </si>
  <si>
    <t>売上高は登録画面で入力した値が表示されること</t>
  </si>
  <si>
    <t>顧客は登録画面で選択した顧客の顧客名が表示されること</t>
    <rPh sb="8" eb="10">
      <t>センタク</t>
    </rPh>
    <rPh sb="12" eb="14">
      <t>コキャク</t>
    </rPh>
    <rPh sb="15" eb="18">
      <t>コキャクメイ</t>
    </rPh>
    <rPh sb="19" eb="21">
      <t>ヒョウジ</t>
    </rPh>
    <phoneticPr fontId="4"/>
  </si>
  <si>
    <t>PMは登録画面で入力した値が表示されること</t>
  </si>
  <si>
    <t>PLは登録画面で入力した値が表示されること</t>
  </si>
  <si>
    <t>開始日は登録画面で入力した値が表示されること</t>
  </si>
  <si>
    <t>終了日は登録画面で入力した値が表示されること</t>
  </si>
  <si>
    <t>備考は登録画面で入力した値が表示されること</t>
  </si>
  <si>
    <t>複数件のデータを取得する処理が無いので対象外</t>
    <rPh sb="0" eb="2">
      <t>フクスウ</t>
    </rPh>
    <rPh sb="2" eb="3">
      <t>ケン</t>
    </rPh>
    <rPh sb="8" eb="10">
      <t>シュトク</t>
    </rPh>
    <rPh sb="12" eb="14">
      <t>ショリ</t>
    </rPh>
    <rPh sb="15" eb="16">
      <t>ナ</t>
    </rPh>
    <rPh sb="19" eb="22">
      <t>タイショウガイ</t>
    </rPh>
    <phoneticPr fontId="4"/>
  </si>
  <si>
    <t>PJ名は登録画面で入力した値がそのまま表示されること</t>
  </si>
  <si>
    <t>売上高は登録画面で入力した数値に3桁ごとのカンマが挿入されて表示されること</t>
    <rPh sb="13" eb="15">
      <t>スウチ</t>
    </rPh>
    <rPh sb="17" eb="18">
      <t>ケタ</t>
    </rPh>
    <rPh sb="25" eb="27">
      <t>ソウニュウ</t>
    </rPh>
    <rPh sb="30" eb="32">
      <t>ヒョウジ</t>
    </rPh>
    <phoneticPr fontId="4"/>
  </si>
  <si>
    <t>PMは登録画面で入力した値がそのまま表示されること</t>
  </si>
  <si>
    <t>PLは登録画面で入力した値がそのまま表示されること</t>
  </si>
  <si>
    <t>開始日は登録画面で入力した値がそのまま表示されること</t>
  </si>
  <si>
    <t>終了日は登録画面で入力した値がそのまま表示されること</t>
  </si>
  <si>
    <t>備考は登録画面で入力した値がそのまま表示されること</t>
  </si>
  <si>
    <t>備考は登録画面で入力した値が改行も含めてそのまま表示されること</t>
    <rPh sb="14" eb="16">
      <t>カイギョウ</t>
    </rPh>
    <rPh sb="17" eb="18">
      <t>フク</t>
    </rPh>
    <phoneticPr fontId="4"/>
  </si>
  <si>
    <t>画面にラジオボタンはないので対象外</t>
    <rPh sb="0" eb="2">
      <t>ガメン</t>
    </rPh>
    <rPh sb="14" eb="17">
      <t>タイショウガイ</t>
    </rPh>
    <phoneticPr fontId="25"/>
  </si>
  <si>
    <t>画面にテキスト入力項目がないので対象外</t>
    <rPh sb="0" eb="2">
      <t>ガメン</t>
    </rPh>
    <rPh sb="9" eb="11">
      <t>コウモク</t>
    </rPh>
    <rPh sb="16" eb="19">
      <t>タイショウガイ</t>
    </rPh>
    <phoneticPr fontId="4"/>
  </si>
  <si>
    <t>Tabキーによるフォーカスの移動はブラウザ標準の挙動に任せるため対象外</t>
    <phoneticPr fontId="2"/>
  </si>
  <si>
    <t>(a)UI標準
(b)システム機能設計書</t>
    <rPh sb="5" eb="7">
      <t>ヒョウジュン</t>
    </rPh>
    <rPh sb="15" eb="20">
      <t>キノウセッケイショ</t>
    </rPh>
    <phoneticPr fontId="2"/>
  </si>
  <si>
    <t>(a)二重送信の防止
(b)画面イベント一覧、画面イベント詳細</t>
    <rPh sb="14" eb="16">
      <t>ガメン</t>
    </rPh>
    <rPh sb="20" eb="22">
      <t>イチラン</t>
    </rPh>
    <rPh sb="23" eb="25">
      <t>ガメン</t>
    </rPh>
    <rPh sb="29" eb="31">
      <t>ショウサイ</t>
    </rPh>
    <phoneticPr fontId="2"/>
  </si>
  <si>
    <t>確定ボタンが押下できなくなること。</t>
    <rPh sb="6" eb="8">
      <t>オウカ</t>
    </rPh>
    <phoneticPr fontId="2"/>
  </si>
  <si>
    <t>部門のプルダウンに表示される件数と、対象データ件数が一致すること。</t>
    <rPh sb="0" eb="2">
      <t>ブモン</t>
    </rPh>
    <rPh sb="9" eb="11">
      <t>ヒョウジ</t>
    </rPh>
    <rPh sb="14" eb="16">
      <t>ケンスウ</t>
    </rPh>
    <rPh sb="18" eb="20">
      <t>タイショウ</t>
    </rPh>
    <rPh sb="23" eb="25">
      <t>ケンスウ</t>
    </rPh>
    <rPh sb="26" eb="28">
      <t>イッチ</t>
    </rPh>
    <phoneticPr fontId="4"/>
  </si>
  <si>
    <t>プロジェクト登録完了画面が表示される</t>
    <rPh sb="6" eb="8">
      <t>トウロク</t>
    </rPh>
    <rPh sb="8" eb="10">
      <t>カンリョウ</t>
    </rPh>
    <rPh sb="10" eb="12">
      <t>ガメン</t>
    </rPh>
    <rPh sb="13" eb="15">
      <t>ヒョウジ</t>
    </rPh>
    <phoneticPr fontId="4"/>
  </si>
  <si>
    <t>別ウインドウで開かれるUIがないので対象外</t>
    <rPh sb="0" eb="1">
      <t>ベツ</t>
    </rPh>
    <rPh sb="7" eb="8">
      <t>ヒラ</t>
    </rPh>
    <rPh sb="18" eb="21">
      <t>タイショウガイ</t>
    </rPh>
    <phoneticPr fontId="4"/>
  </si>
  <si>
    <t>二重送信の防止</t>
    <rPh sb="0" eb="4">
      <t>ニジュウソウシン</t>
    </rPh>
    <rPh sb="5" eb="7">
      <t>ボウシ</t>
    </rPh>
    <phoneticPr fontId="4"/>
  </si>
  <si>
    <t>「新規登録」型</t>
  </si>
  <si>
    <t>再度DBに登録されないこと。</t>
    <rPh sb="0" eb="2">
      <t>サイド</t>
    </rPh>
    <rPh sb="5" eb="7">
      <t>トウロク</t>
    </rPh>
    <phoneticPr fontId="4"/>
  </si>
  <si>
    <t>テストターゲット名：ProjectCreateForm</t>
    <rPh sb="8" eb="9">
      <t>メイ</t>
    </rPh>
    <phoneticPr fontId="2"/>
  </si>
  <si>
    <t>DB操作を行わないので対象外</t>
    <rPh sb="2" eb="4">
      <t>ソウサ</t>
    </rPh>
    <rPh sb="5" eb="6">
      <t>オコナ</t>
    </rPh>
    <rPh sb="11" eb="14">
      <t>タイショウガイ</t>
    </rPh>
    <phoneticPr fontId="4"/>
  </si>
  <si>
    <t>表示項目がないので対象外</t>
    <rPh sb="0" eb="4">
      <t>ヒョウジコウモク</t>
    </rPh>
    <rPh sb="9" eb="12">
      <t>タイショウガイ</t>
    </rPh>
    <phoneticPr fontId="4"/>
  </si>
  <si>
    <t>動的なメッセージはないので対象外</t>
    <rPh sb="0" eb="2">
      <t>ドウテキ</t>
    </rPh>
    <rPh sb="13" eb="16">
      <t>タイショウガイ</t>
    </rPh>
    <phoneticPr fontId="4"/>
  </si>
  <si>
    <t>エラー発生のパターンがないので対象外</t>
    <rPh sb="3" eb="5">
      <t>ハッセイ</t>
    </rPh>
    <rPh sb="15" eb="18">
      <t>タイショウガイ</t>
    </rPh>
    <phoneticPr fontId="4"/>
  </si>
  <si>
    <t>UI部品がないので対象外</t>
    <rPh sb="2" eb="4">
      <t>ブヒン</t>
    </rPh>
    <rPh sb="9" eb="12">
      <t>タイショウガイ</t>
    </rPh>
    <phoneticPr fontId="4"/>
  </si>
  <si>
    <t>画面にデータを表示させる項目がないので対象外</t>
    <rPh sb="0" eb="2">
      <t>ガメン</t>
    </rPh>
    <rPh sb="7" eb="9">
      <t>ヒョウジ</t>
    </rPh>
    <rPh sb="12" eb="14">
      <t>コウモク</t>
    </rPh>
    <rPh sb="19" eb="22">
      <t>タイショウガイ</t>
    </rPh>
    <phoneticPr fontId="4"/>
  </si>
  <si>
    <t>異常遷移がないので対象外</t>
    <rPh sb="0" eb="2">
      <t>イジョウ</t>
    </rPh>
    <rPh sb="2" eb="4">
      <t>センイ</t>
    </rPh>
    <rPh sb="9" eb="12">
      <t>タイショウガイ</t>
    </rPh>
    <phoneticPr fontId="4"/>
  </si>
  <si>
    <t>左記の通り画面遷移できる。
登録対象のプロジェクトが、登録画面で入力した内容で登録されている。</t>
    <rPh sb="0" eb="2">
      <t>サキ</t>
    </rPh>
    <rPh sb="3" eb="4">
      <t>トオ</t>
    </rPh>
    <rPh sb="5" eb="7">
      <t>ガメン</t>
    </rPh>
    <rPh sb="7" eb="9">
      <t>センイ</t>
    </rPh>
    <rPh sb="32" eb="34">
      <t>ニュウリョク</t>
    </rPh>
    <rPh sb="36" eb="38">
      <t>ナイヨウ</t>
    </rPh>
    <phoneticPr fontId="1"/>
  </si>
  <si>
    <t>戻るイベントを行っても、修正した内容でプロジェクト登録が正しく行われることを確認
【画面遷移】
プロジェクト登録画面→[登録]→プロジェクト登録確認画面→[戻る]→プロジェクト登録画面→[登録(登録内容修正)]→プロジェクト登録確認画面→[確定]→プロジェクト登録完了画面</t>
    <rPh sb="0" eb="1">
      <t>モド</t>
    </rPh>
    <rPh sb="7" eb="8">
      <t>オコナ</t>
    </rPh>
    <rPh sb="12" eb="14">
      <t>シュウセイ</t>
    </rPh>
    <rPh sb="16" eb="18">
      <t>ナイヨウ</t>
    </rPh>
    <rPh sb="78" eb="79">
      <t>モド</t>
    </rPh>
    <rPh sb="120" eb="122">
      <t>カクテイ</t>
    </rPh>
    <phoneticPr fontId="2"/>
  </si>
  <si>
    <t>左記の通り画面遷移できる。
登録対象のプロジェクトが、登録内容修正後の内容で登録されている。</t>
    <rPh sb="33" eb="34">
      <t>アト</t>
    </rPh>
    <rPh sb="35" eb="37">
      <t>ナイヨウ</t>
    </rPh>
    <phoneticPr fontId="2"/>
  </si>
  <si>
    <t>プロジェクト登録画面で顧客選択ボタンを押下して顧客検索画面（ダイアログ）を開き、顧客を選択する。</t>
    <rPh sb="8" eb="10">
      <t>ガメン</t>
    </rPh>
    <rPh sb="11" eb="15">
      <t>コキャクセンタク</t>
    </rPh>
    <rPh sb="19" eb="21">
      <t>オウカ</t>
    </rPh>
    <rPh sb="23" eb="27">
      <t>コキャクケンサク</t>
    </rPh>
    <rPh sb="27" eb="29">
      <t>ガメン</t>
    </rPh>
    <rPh sb="37" eb="38">
      <t>ヒラ</t>
    </rPh>
    <rPh sb="40" eb="42">
      <t>コキャク</t>
    </rPh>
    <rPh sb="43" eb="45">
      <t>センタク</t>
    </rPh>
    <phoneticPr fontId="1"/>
  </si>
  <si>
    <t>選択した顧客の情報が、プロジェクト登録画面の顧客に設定されていること。</t>
    <rPh sb="0" eb="2">
      <t>センタク</t>
    </rPh>
    <rPh sb="4" eb="6">
      <t>コキャク</t>
    </rPh>
    <rPh sb="7" eb="9">
      <t>ジョウホウ</t>
    </rPh>
    <rPh sb="22" eb="24">
      <t>コキャク</t>
    </rPh>
    <rPh sb="25" eb="27">
      <t>セッテイ</t>
    </rPh>
    <phoneticPr fontId="2"/>
  </si>
  <si>
    <t>精査エラーになっても、修正した内容でプロジェクト登録が正しく行われることを確認
【画面遷移】
プロジェクト登録画面→[登録(精査エラー)]→プロジェクト登録画面→[登録(登録内容修正)]→プロジェクト登録確認画面→[確定]→プロジェクト登録完了画面</t>
    <rPh sb="0" eb="2">
      <t>セイサ</t>
    </rPh>
    <rPh sb="11" eb="13">
      <t>シュウセイ</t>
    </rPh>
    <rPh sb="15" eb="17">
      <t>ナイヨウ</t>
    </rPh>
    <rPh sb="62" eb="64">
      <t>セイサ</t>
    </rPh>
    <rPh sb="108" eb="110">
      <t>カクテイ</t>
    </rPh>
    <phoneticPr fontId="2"/>
  </si>
  <si>
    <t>プロジェクト登録画面で、Formで完結するバリデーションがエラーにならないように入力して登録ボタンを押下する。</t>
    <rPh sb="17" eb="19">
      <t>カンケツ</t>
    </rPh>
    <rPh sb="40" eb="42">
      <t>ニュウリョク</t>
    </rPh>
    <rPh sb="50" eb="52">
      <t>オウカ</t>
    </rPh>
    <phoneticPr fontId="2"/>
  </si>
  <si>
    <t>エラーにならずにプロジェクト登録確認画面に遷移すること。</t>
    <rPh sb="18" eb="20">
      <t>ガメン</t>
    </rPh>
    <rPh sb="21" eb="23">
      <t>センイ</t>
    </rPh>
    <phoneticPr fontId="2"/>
  </si>
  <si>
    <t>プロジェクト登録画面で、Formで完結するバリデーションがエラーになるように入力して登録ボタンを押下する。</t>
    <rPh sb="17" eb="19">
      <t>カンケツ</t>
    </rPh>
    <rPh sb="38" eb="40">
      <t>ニュウリョク</t>
    </rPh>
    <rPh sb="48" eb="50">
      <t>オウカ</t>
    </rPh>
    <phoneticPr fontId="2"/>
  </si>
  <si>
    <t>エラーになってプロジェクト登録画面に遷移すること。</t>
    <rPh sb="15" eb="17">
      <t>ガメン</t>
    </rPh>
    <rPh sb="18" eb="20">
      <t>センイ</t>
    </rPh>
    <phoneticPr fontId="2"/>
  </si>
  <si>
    <t>Formで完結しないバリデーションなし</t>
    <rPh sb="5" eb="7">
      <t>カンケツ</t>
    </rPh>
    <phoneticPr fontId="2"/>
  </si>
  <si>
    <t>マスタに事業部プルダウンに表示するデータがある状態で、登録画面を表示する。</t>
  </si>
  <si>
    <t>マスタに部門プルダウンに表示するデータがある状態で、登録画面を表示する。</t>
  </si>
  <si>
    <t>マスタに事業部プルダウンに表示するデータがない状態で、登録画面を表示する。</t>
  </si>
  <si>
    <t>登録画面を初期表示する</t>
  </si>
  <si>
    <t>事業部プルダウンを未選択にして登録ボタンを押下する。</t>
    <rPh sb="0" eb="3">
      <t>ジギョウブ</t>
    </rPh>
    <rPh sb="9" eb="12">
      <t>ミセンタク</t>
    </rPh>
    <rPh sb="21" eb="23">
      <t>オウカ</t>
    </rPh>
    <phoneticPr fontId="2"/>
  </si>
  <si>
    <t>部門プルダウンを未選択にして登録ボタンを押下する。</t>
    <rPh sb="0" eb="2">
      <t>ブモン</t>
    </rPh>
    <rPh sb="8" eb="11">
      <t>ミセンタク</t>
    </rPh>
    <rPh sb="20" eb="22">
      <t>オウカ</t>
    </rPh>
    <phoneticPr fontId="2"/>
  </si>
  <si>
    <t>プロジェクト名に"a"と入力して登録ボタンを押下する。</t>
    <rPh sb="6" eb="7">
      <t>メイ</t>
    </rPh>
    <rPh sb="12" eb="14">
      <t>ニュウリョク</t>
    </rPh>
    <rPh sb="22" eb="24">
      <t>オウカ</t>
    </rPh>
    <phoneticPr fontId="2"/>
  </si>
  <si>
    <t>PJ種別プルダウンを未選択にして登録ボタンを押下する。</t>
    <rPh sb="2" eb="4">
      <t>シュベツ</t>
    </rPh>
    <rPh sb="10" eb="13">
      <t>ミセンタク</t>
    </rPh>
    <rPh sb="22" eb="24">
      <t>オウカ</t>
    </rPh>
    <phoneticPr fontId="2"/>
  </si>
  <si>
    <t>PJ分類ラジオボタンを未選択にして登録ボタンを押下する。</t>
    <rPh sb="2" eb="4">
      <t>ブンルイ</t>
    </rPh>
    <rPh sb="11" eb="14">
      <t>ミセンタク</t>
    </rPh>
    <rPh sb="23" eb="25">
      <t>オウカ</t>
    </rPh>
    <phoneticPr fontId="2"/>
  </si>
  <si>
    <t>売上高に"a"と入力して登録ボタンを押下する。</t>
    <rPh sb="0" eb="1">
      <t>ジョウ</t>
    </rPh>
    <rPh sb="1" eb="2">
      <t>ダカ</t>
    </rPh>
    <rPh sb="7" eb="9">
      <t>ニュウリョク</t>
    </rPh>
    <rPh sb="17" eb="19">
      <t>オウカ</t>
    </rPh>
    <phoneticPr fontId="2"/>
  </si>
  <si>
    <t>PMに"a"と入力して登録ボタンを押下する。</t>
    <rPh sb="7" eb="9">
      <t>ニュウリョク</t>
    </rPh>
    <rPh sb="17" eb="19">
      <t>オウカ</t>
    </rPh>
    <phoneticPr fontId="2"/>
  </si>
  <si>
    <t>PLに"a"と入力して登録ボタンを押下する。</t>
    <rPh sb="7" eb="9">
      <t>ニュウリョク</t>
    </rPh>
    <rPh sb="17" eb="19">
      <t>オウカ</t>
    </rPh>
    <phoneticPr fontId="2"/>
  </si>
  <si>
    <t>開始日＞終了日となるように入力して登録ボタンを押下する。</t>
    <rPh sb="0" eb="3">
      <t>カイシビ</t>
    </rPh>
    <rPh sb="4" eb="7">
      <t>シュウリョウビ</t>
    </rPh>
    <rPh sb="13" eb="15">
      <t>ニュウリョク</t>
    </rPh>
    <rPh sb="23" eb="25">
      <t>オウカ</t>
    </rPh>
    <phoneticPr fontId="2"/>
  </si>
  <si>
    <t>開始日を空にして登録ボタンを押下する。</t>
    <rPh sb="0" eb="3">
      <t>カイシビ</t>
    </rPh>
    <rPh sb="4" eb="5">
      <t>カラ</t>
    </rPh>
    <rPh sb="14" eb="16">
      <t>オウカ</t>
    </rPh>
    <phoneticPr fontId="2"/>
  </si>
  <si>
    <t>終了日を空にして登録ボタンを押下する。</t>
    <rPh sb="0" eb="3">
      <t>シュウリョウビ</t>
    </rPh>
    <rPh sb="4" eb="5">
      <t>カラ</t>
    </rPh>
    <rPh sb="14" eb="16">
      <t>オウカ</t>
    </rPh>
    <phoneticPr fontId="2"/>
  </si>
  <si>
    <t>備考に"㋐"と入力して登録ボタンを押下する。</t>
    <rPh sb="0" eb="2">
      <t>ビコウ</t>
    </rPh>
    <rPh sb="7" eb="9">
      <t>ニュウリョク</t>
    </rPh>
    <rPh sb="17" eb="19">
      <t>オウカ</t>
    </rPh>
    <phoneticPr fontId="2"/>
  </si>
  <si>
    <t>確認画面から登録画面に戻る</t>
  </si>
  <si>
    <t>確認画面から登録画面に戻る</t>
    <phoneticPr fontId="2"/>
  </si>
  <si>
    <t>確認画面から戻ったときの事業部が128文字の組織名をもつ組織だった場合</t>
  </si>
  <si>
    <t>確認画面から戻ったときの部門が128文字の組織名をもつ組織だった場合</t>
  </si>
  <si>
    <t>確認画面から戻ったときのPJ名の値が128文字だった場合</t>
  </si>
  <si>
    <t>確認画面から戻ったときのPMの値が128文字だった場合</t>
  </si>
  <si>
    <t>確認画面から戻ったときのPLの値が128文字だった場合</t>
  </si>
  <si>
    <t>確認画面から戻ったときの備考の値が512文字だった場合</t>
  </si>
  <si>
    <t>確認画面から戻ったときの事業部の128文字の組織名をもつ組織だった場合</t>
  </si>
  <si>
    <t>確認画面から戻ったときの部門の128文字の組織名をもつ組織だった場合</t>
  </si>
  <si>
    <t>マスタに事業部プルダウンに表示するデータがない状態で、登録画面を初期表示する。</t>
  </si>
  <si>
    <t>マスタに部門プルダウンに表示するデータがない状態で、登録画面を初期表示する。</t>
  </si>
  <si>
    <t>確認画面から戻ったときの備考の値が改行を含む文字列だった場合</t>
  </si>
  <si>
    <t>登録画面を初期表示し、PJ名に128文字入力する。</t>
  </si>
  <si>
    <t>登録画面を初期表示し、PMに128文字入力する。</t>
  </si>
  <si>
    <t>登録画面を初期表示し、PLに128文字入力する。</t>
  </si>
  <si>
    <t>登録画面を初期表示し、備考に512文字入力する。</t>
  </si>
  <si>
    <t>入力精査エラーを発生させる。</t>
  </si>
  <si>
    <t>顧客選択ボタンを押下する。</t>
  </si>
  <si>
    <t>登録ボタンを押下する。</t>
  </si>
  <si>
    <t>登録ボタンを押下する</t>
  </si>
  <si>
    <t>プロジェクト登録画面で精査エラーを発生させたあと、それを修正して再度登録ボタンを押下する</t>
  </si>
  <si>
    <t>全項目が入力精査エラーになるように入力して登録ボタンを押下する。
各項目を入力精査エラーにするための方法は、105-1のテスト内容を参照。</t>
    <rPh sb="0" eb="3">
      <t>ゼンコウモク</t>
    </rPh>
    <rPh sb="4" eb="6">
      <t>ニュウリョク</t>
    </rPh>
    <rPh sb="6" eb="8">
      <t>セイサ</t>
    </rPh>
    <rPh sb="17" eb="19">
      <t>ニュウリョク</t>
    </rPh>
    <rPh sb="27" eb="29">
      <t>オウカ</t>
    </rPh>
    <rPh sb="33" eb="34">
      <t>カク</t>
    </rPh>
    <rPh sb="34" eb="36">
      <t>コウモク</t>
    </rPh>
    <rPh sb="37" eb="39">
      <t>ニュウリョク</t>
    </rPh>
    <rPh sb="39" eb="41">
      <t>セイサ</t>
    </rPh>
    <rPh sb="50" eb="52">
      <t>ホウホウ</t>
    </rPh>
    <rPh sb="63" eb="65">
      <t>ナイヨウ</t>
    </rPh>
    <rPh sb="66" eb="68">
      <t>サンショウ</t>
    </rPh>
    <phoneticPr fontId="2"/>
  </si>
  <si>
    <t>登録画面から確認画面に遷移する</t>
  </si>
  <si>
    <t>登録画面を表示させてから、登録画面の事業部プルダウンで選択した組織を組織マスタから削除したうえで、確認画面に遷移する。</t>
  </si>
  <si>
    <t>登録画面を表示させてから、登録画面の部門プルダウンで選択した組織を組織マスタから削除したうえで、確認画面に遷移する。</t>
  </si>
  <si>
    <t>値を指定しないケースはないので対象外</t>
  </si>
  <si>
    <t>複数条件に基づく検索／更新／削除を行わないので対象外</t>
  </si>
  <si>
    <t>登録画面を表示させてから、組織マスタの全レコードを削除したのち、確認画面に遷移する。</t>
  </si>
  <si>
    <t>確認画面をブラウザのウインドウサイズをフルXGA仕様(1024px×768px)で初期表示する。</t>
  </si>
  <si>
    <t>入力精査エラー以外のメッセージはないので対象外</t>
  </si>
  <si>
    <t>確認画面を表示させたときの事業部の値が示す組織の組織名が128文字だった場合</t>
  </si>
  <si>
    <t>確認画面を表示させたときの部門の値が示す組織の組織名が128文字だった場合</t>
  </si>
  <si>
    <t>確認画面を表示させたときのPJ名の値が128文字だった場合</t>
  </si>
  <si>
    <t>確認画面を表示させたときのPMの値が128文字だった場合</t>
  </si>
  <si>
    <t>確認画面を表示させたときのPLの値が128文字だった場合</t>
  </si>
  <si>
    <t>確認画面を表示させたときの備考の値が512文字だった場合</t>
  </si>
  <si>
    <t>登録画面を表示させてから、登録画面の事業部プルダウンで選択した組織を組織マスタから削除したうえで、確認画面に遷移する。</t>
    <rPh sb="5" eb="7">
      <t>ヒョウジ</t>
    </rPh>
    <rPh sb="15" eb="17">
      <t>ガメン</t>
    </rPh>
    <rPh sb="18" eb="21">
      <t>ジギョウブ</t>
    </rPh>
    <rPh sb="27" eb="29">
      <t>センタク</t>
    </rPh>
    <rPh sb="31" eb="33">
      <t>ソシキ</t>
    </rPh>
    <rPh sb="34" eb="36">
      <t>ソシキ</t>
    </rPh>
    <rPh sb="41" eb="43">
      <t>サクジョ</t>
    </rPh>
    <phoneticPr fontId="4"/>
  </si>
  <si>
    <t>登録画面を表示させてから、登録画面の部門プルダウンで選択した組織を組織マスタから削除したうえで、確認画面に遷移する。</t>
    <rPh sb="18" eb="20">
      <t>ブモン</t>
    </rPh>
    <phoneticPr fontId="4"/>
  </si>
  <si>
    <t>登録画面で備考に改行を含む文字列を入力した状態で登録画面から確認画面に遷移する</t>
  </si>
  <si>
    <t>確定ボタンを押下する。</t>
  </si>
  <si>
    <t>確定ボタンを押下する。</t>
    <rPh sb="0" eb="2">
      <t>カクテイ</t>
    </rPh>
    <phoneticPr fontId="2"/>
  </si>
  <si>
    <t>戻るボタンを押下する。</t>
  </si>
  <si>
    <t>戻るボタンを押下する。</t>
    <phoneticPr fontId="2"/>
  </si>
  <si>
    <t>確認画面を表示し、開発者ツールで二重サブミット防止トークン(nablarch_token)を不正な値に編集して確定ボタンを押下する。</t>
  </si>
  <si>
    <t>完了画面でブラウザのリロードボタンを押下する</t>
  </si>
  <si>
    <t>登録画面から確認画面に遷移する</t>
    <phoneticPr fontId="2"/>
  </si>
  <si>
    <t>全項目に値が指定された状態で確定ボタンを押下する</t>
  </si>
  <si>
    <t>必須項目は値あり、任意項目は値なしの場合で確定ボタンを押下する</t>
  </si>
  <si>
    <t>登録画面で部門が4文字のデータを入力した状態でこの画面に遷移させたのち、この画面で確定ボタンを押下する。</t>
  </si>
  <si>
    <t>登録画面でPJ名が128文字のデータを入力した状態でこの画面に遷移させたのち、この画面で確定ボタンを押下する。</t>
  </si>
  <si>
    <t>登録画面でPMが128文字のデータを入力した状態でこの画面に遷移させたのち、この画面で確定ボタンを押下する。</t>
  </si>
  <si>
    <t>登録画面でPLが128文字のデータを入力した状態でこの画面に遷移させたのち、この画面で確定ボタンを押下する。</t>
  </si>
  <si>
    <t>登録画面で備考が512文字のデータを入力した状態でこの画面に遷移させたのち、この画面で確定ボタンを押下する。</t>
  </si>
  <si>
    <t>正常に入力がされている状態で確定ボタンを押下する</t>
  </si>
  <si>
    <t>タイムアウトを再現させるために、Cookieを削除した状態で、確定ボタンを押下する。</t>
  </si>
  <si>
    <t>確定ボタンを押下する</t>
  </si>
  <si>
    <t>プロジェクト登録画面で精査エラーを発生させたあと、それを修正して再度確定ボタンを押下する</t>
  </si>
  <si>
    <t>エラーとなり
「不正な画面遷移を検出したため、処理を中断しました。」が画面中央部に表示されること。</t>
    <rPh sb="35" eb="37">
      <t>ガメン</t>
    </rPh>
    <rPh sb="37" eb="38">
      <t>チュウ</t>
    </rPh>
    <rPh sb="38" eb="40">
      <t>オウブ</t>
    </rPh>
    <rPh sb="41" eb="43">
      <t>ヒョウジ</t>
    </rPh>
    <phoneticPr fontId="4"/>
  </si>
  <si>
    <t>完了画面を初期表示する</t>
  </si>
  <si>
    <t>完了画面をブラウザのウインドウサイズをフルXGA仕様(1024px×768px)で初期表示する。</t>
  </si>
  <si>
    <t>表示項目がないので対象外</t>
  </si>
  <si>
    <t>タイムアウトを再現させるために、Cookieを削除した状態で、次へボタンを押下する。</t>
    <phoneticPr fontId="2"/>
  </si>
  <si>
    <t>完了画面を初期表示する</t>
    <rPh sb="5" eb="7">
      <t>ショキ</t>
    </rPh>
    <phoneticPr fontId="2"/>
  </si>
  <si>
    <t>次へボタンを押下する。</t>
    <phoneticPr fontId="2"/>
  </si>
  <si>
    <t>次へボタンを押下する</t>
  </si>
  <si>
    <t>次へボタンを押下する</t>
    <phoneticPr fontId="2"/>
  </si>
  <si>
    <t>登録画面をブラウザのウインドウサイズをフルXGA仕様(1024px×768px)で初期表示する。</t>
    <phoneticPr fontId="2"/>
  </si>
  <si>
    <t>プロジェクト登録が正しく行われることを確認
【画面遷移】
プロジェクト登録画面→[登録]→プロジェクト登録確認画面→[確定]→プロジェクト登録完了画面→[次へ]→プロジェクト登録画面</t>
    <rPh sb="59" eb="61">
      <t>カクテイ</t>
    </rPh>
    <rPh sb="77" eb="78">
      <t>ツギ</t>
    </rPh>
    <rPh sb="87" eb="91">
      <t>トウロクガメン</t>
    </rPh>
    <phoneticPr fontId="1"/>
  </si>
  <si>
    <t>タイムアウトを再現させるために、Cookieを削除した状態で、登録ボタンを押下する。</t>
    <rPh sb="31" eb="33">
      <t>トウロク</t>
    </rPh>
    <phoneticPr fontId="2"/>
  </si>
  <si>
    <t>事業部のプルダウンの項目が組織IDの昇順でソートされていること</t>
    <rPh sb="0" eb="2">
      <t>ジギョウ</t>
    </rPh>
    <rPh sb="2" eb="3">
      <t>ブ</t>
    </rPh>
    <rPh sb="10" eb="12">
      <t>コウモク</t>
    </rPh>
    <rPh sb="13" eb="15">
      <t>ソシキ</t>
    </rPh>
    <rPh sb="18" eb="20">
      <t>ショウジュン</t>
    </rPh>
    <phoneticPr fontId="2"/>
  </si>
  <si>
    <t>部門のプルダウンの項目が組織IDの昇順でソートされていること</t>
    <rPh sb="0" eb="2">
      <t>ブモン</t>
    </rPh>
    <rPh sb="9" eb="11">
      <t>コウモク</t>
    </rPh>
    <rPh sb="12" eb="14">
      <t>ソシキ</t>
    </rPh>
    <rPh sb="17" eb="19">
      <t>ショウジュン</t>
    </rPh>
    <phoneticPr fontId="2"/>
  </si>
  <si>
    <t>マスタに事業部プルダウンに表示するデータがない状態で、登録画面を初期表示する。</t>
    <rPh sb="32" eb="34">
      <t>ショキ</t>
    </rPh>
    <phoneticPr fontId="2"/>
  </si>
  <si>
    <t>マスタに部門プルダウンに表示するデータがある状態で、登録画面を初期表示する。</t>
    <phoneticPr fontId="2"/>
  </si>
  <si>
    <t>(a)画面遷移図
(b)リクエスト一覧</t>
    <rPh sb="3" eb="8">
      <t>ガメンセンイズ</t>
    </rPh>
    <rPh sb="17" eb="19">
      <t>イチラン</t>
    </rPh>
    <phoneticPr fontId="4"/>
  </si>
  <si>
    <t>(a)プロジェクト管理(A102)
(b)URL一覧</t>
    <rPh sb="9" eb="11">
      <t>カンリ</t>
    </rPh>
    <rPh sb="24" eb="26">
      <t>イチラン</t>
    </rPh>
    <phoneticPr fontId="4"/>
  </si>
  <si>
    <t>エラー画面になり、以下のメッセージが表示される
「指定されたページは存在しないか、既に削除されています。
状況が変わらない場合は、お手数ですが、このシステムの管理者にご連絡ください。」</t>
    <rPh sb="3" eb="5">
      <t>ガメン</t>
    </rPh>
    <rPh sb="9" eb="11">
      <t>イカ</t>
    </rPh>
    <rPh sb="18" eb="20">
      <t>ヒョウジ</t>
    </rPh>
    <phoneticPr fontId="4"/>
  </si>
  <si>
    <t>プロジェクト登録画面が表示される
※確定時のリクエストはURLが登録画面表示と同じでHTTPメソッドがPOSTになっているため、直接URL指定でアクセスした場合は登録画面が表示されることになる。</t>
    <rPh sb="11" eb="13">
      <t>ヒョウジ</t>
    </rPh>
    <rPh sb="19" eb="22">
      <t>カクテイジ</t>
    </rPh>
    <rPh sb="33" eb="39">
      <t>トウロクガメンヒョウジ</t>
    </rPh>
    <rPh sb="40" eb="41">
      <t>オナ</t>
    </rPh>
    <rPh sb="65" eb="67">
      <t>チョクセツ</t>
    </rPh>
    <rPh sb="70" eb="72">
      <t>シテイ</t>
    </rPh>
    <rPh sb="79" eb="81">
      <t>バアイ</t>
    </rPh>
    <rPh sb="82" eb="86">
      <t>トウロクガメン</t>
    </rPh>
    <rPh sb="87" eb="89">
      <t>ヒョウジ</t>
    </rPh>
    <phoneticPr fontId="4"/>
  </si>
  <si>
    <t>左記のとおりに遷移した場合、[次へ]ボタンから遷移するプロジェクト登録画面は初期状態になること（前回の入力内容が残っていないこと）。</t>
    <rPh sb="0" eb="2">
      <t>サキ</t>
    </rPh>
    <rPh sb="7" eb="9">
      <t>センイ</t>
    </rPh>
    <rPh sb="11" eb="13">
      <t>バアイ</t>
    </rPh>
    <rPh sb="15" eb="16">
      <t>ツギ</t>
    </rPh>
    <rPh sb="23" eb="25">
      <t>センイ</t>
    </rPh>
    <rPh sb="33" eb="35">
      <t>トウロク</t>
    </rPh>
    <rPh sb="35" eb="37">
      <t>ガメン</t>
    </rPh>
    <rPh sb="38" eb="42">
      <t>ショキジョウタイ</t>
    </rPh>
    <rPh sb="48" eb="50">
      <t>ゼンカイ</t>
    </rPh>
    <rPh sb="51" eb="55">
      <t>ニュウリョクナイヨウ</t>
    </rPh>
    <rPh sb="56" eb="57">
      <t>ノコ</t>
    </rPh>
    <phoneticPr fontId="4"/>
  </si>
  <si>
    <t>登録後続けて登録する場合、前回の入力内容がクリアされていることを確認
【画面遷移】
プロジェクト登録画面→[登録]→プロジェクト登録確認画面→[確定]→プロジェクト登録完了画面→[次へ]→プロジェクト登録画面</t>
    <rPh sb="0" eb="2">
      <t>トウロク</t>
    </rPh>
    <rPh sb="2" eb="3">
      <t>ゴ</t>
    </rPh>
    <rPh sb="3" eb="4">
      <t>ツヅ</t>
    </rPh>
    <rPh sb="6" eb="8">
      <t>トウロク</t>
    </rPh>
    <rPh sb="10" eb="12">
      <t>バアイ</t>
    </rPh>
    <rPh sb="13" eb="15">
      <t>ゼンカイ</t>
    </rPh>
    <rPh sb="16" eb="20">
      <t>ニュウリョクナイヨウ</t>
    </rPh>
    <rPh sb="32" eb="34">
      <t>カクニン</t>
    </rPh>
    <rPh sb="54" eb="56">
      <t>トウロク</t>
    </rPh>
    <rPh sb="72" eb="74">
      <t>カクテイ</t>
    </rPh>
    <rPh sb="90" eb="91">
      <t>ツギ</t>
    </rPh>
    <phoneticPr fontId="4"/>
  </si>
  <si>
    <t>ログインしている状態で以下のURLを直接指定しアクセスする。
http://localhost:9088/app/project/register</t>
    <rPh sb="11" eb="13">
      <t>イカ</t>
    </rPh>
    <rPh sb="18" eb="20">
      <t>チョクセツ</t>
    </rPh>
    <rPh sb="20" eb="22">
      <t>シテイ</t>
    </rPh>
    <phoneticPr fontId="4"/>
  </si>
  <si>
    <t>ログインしている状態で以下のURLを直接指定しアクセスする。
http://localhost:9088/app/project/confirmRegistration</t>
    <rPh sb="11" eb="13">
      <t>イカ</t>
    </rPh>
    <rPh sb="18" eb="20">
      <t>チョクセツ</t>
    </rPh>
    <rPh sb="20" eb="22">
      <t>シテイ</t>
    </rPh>
    <phoneticPr fontId="4"/>
  </si>
  <si>
    <t>ログインしている状態で以下のURLを直接指定しアクセスする。
http://localhost:9088/app/project/completeRegistration</t>
    <rPh sb="11" eb="13">
      <t>イカ</t>
    </rPh>
    <rPh sb="18" eb="20">
      <t>チョクセツ</t>
    </rPh>
    <rPh sb="20" eb="22">
      <t>シテイ</t>
    </rPh>
    <phoneticPr fontId="4"/>
  </si>
  <si>
    <t>「プロジェクト名は128文字以下の全角文字で入力してください。」が項目直下に表示されること。</t>
    <phoneticPr fontId="2"/>
  </si>
  <si>
    <t>事業部のプルダウンが表示されないこと。</t>
    <rPh sb="10" eb="12">
      <t>ヒョウジ</t>
    </rPh>
    <phoneticPr fontId="4"/>
  </si>
  <si>
    <t>部門のプルダウンが表示されないこと。</t>
    <phoneticPr fontId="4"/>
  </si>
  <si>
    <t>事業部のプルダウンが表示されないこと。</t>
    <rPh sb="0" eb="3">
      <t>ジギョウブ</t>
    </rPh>
    <rPh sb="10" eb="12">
      <t>ヒョウジ</t>
    </rPh>
    <phoneticPr fontId="4"/>
  </si>
  <si>
    <t>部門のプルダウンが表示されないこと。</t>
    <rPh sb="0" eb="2">
      <t>ブモン</t>
    </rPh>
    <rPh sb="9" eb="11">
      <t>ヒョウジ</t>
    </rPh>
    <phoneticPr fontId="4"/>
  </si>
  <si>
    <t>部門のプルダウンが表示されないこと。</t>
    <rPh sb="9" eb="11">
      <t>ヒョウジ</t>
    </rPh>
    <phoneticPr fontId="4"/>
  </si>
  <si>
    <t>Insertされたレコードのversion_noに0が登録されること</t>
    <rPh sb="27" eb="29">
      <t>トウロク</t>
    </rPh>
    <phoneticPr fontId="2"/>
  </si>
  <si>
    <t>「0円から999999999円の範囲で入力してください。」が項目直下に表示されること。</t>
    <phoneticPr fontId="2"/>
  </si>
  <si>
    <t xml:space="preserve">・プロジェクトテーブルにデータがInsertされる。
・各カラムには入力したデータが格納される
・プロジェクトIDは自動採番される
・バージョン番号は０固定である。
</t>
    <rPh sb="28" eb="29">
      <t>カク</t>
    </rPh>
    <rPh sb="34" eb="36">
      <t>ニュウリョク</t>
    </rPh>
    <rPh sb="42" eb="44">
      <t>カクノウ</t>
    </rPh>
    <rPh sb="58" eb="60">
      <t>ジドウ</t>
    </rPh>
    <rPh sb="60" eb="62">
      <t>サイバン</t>
    </rPh>
    <phoneticPr fontId="4"/>
  </si>
  <si>
    <t>ProjectCreateFormTest#testIsValidProjectPeriod()</t>
  </si>
  <si>
    <t>OK</t>
  </si>
  <si>
    <t>ProjectCreateFormTest#testIsValidProjectPeriodEqual()</t>
  </si>
  <si>
    <t>ProjectCreateFormTest#testIsValidProjectPeriodSmallerThanTo()</t>
  </si>
  <si>
    <t>単体テスト仕様書(画面)</t>
    <rPh sb="9" eb="11">
      <t>ガメン</t>
    </rPh>
    <phoneticPr fontId="2"/>
  </si>
  <si>
    <t>相関バリデーションを実施していないため対象外</t>
    <rPh sb="0" eb="2">
      <t>ソウカン</t>
    </rPh>
    <rPh sb="10" eb="12">
      <t>ジッシ</t>
    </rPh>
    <rPh sb="19" eb="22">
      <t>タイショウガイ</t>
    </rPh>
    <phoneticPr fontId="2"/>
  </si>
  <si>
    <t>テストターゲット名：ProjectService</t>
    <rPh sb="8" eb="9">
      <t>メイ</t>
    </rPh>
    <phoneticPr fontId="2"/>
  </si>
  <si>
    <t>テストターゲット名：プロジェクト登録画面（WA1020101）</t>
    <rPh sb="8" eb="9">
      <t>メイ</t>
    </rPh>
    <rPh sb="16" eb="20">
      <t>トウロクガメン</t>
    </rPh>
    <phoneticPr fontId="2"/>
  </si>
  <si>
    <t>テストターゲット名：プロジェクト登録確認画面（WA1020102）</t>
    <rPh sb="8" eb="9">
      <t>メイ</t>
    </rPh>
    <rPh sb="16" eb="22">
      <t>トウロクカクニンガメン</t>
    </rPh>
    <phoneticPr fontId="2"/>
  </si>
  <si>
    <t>テストターゲット名：プロジェクト登録完了画面（WA1020103）</t>
    <rPh sb="8" eb="9">
      <t>メイ</t>
    </rPh>
    <rPh sb="16" eb="22">
      <t>トウロクカンリョウガメン</t>
    </rPh>
    <phoneticPr fontId="2"/>
  </si>
  <si>
    <t>リクエストID：画面単位でリクエスト単体テストを実施するため、リクエストIDは不要</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</si>
</sst>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yyyy/m/d;@"/>
    <numFmt numFmtId="177" formatCode="&quot;第&quot;0.00&quot;版&quot;"/>
    <numFmt numFmtId="178" formatCode="yyyy/mm/dd"/>
  </numFmts>
  <fonts count="26">
    <font>
      <sz val="10"/>
      <name val="VL Pゴシック"/>
      <family val="3"/>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sz val="9"/>
      <color indexed="81"/>
      <name val="ＭＳ Ｐゴシック"/>
      <family val="3"/>
      <charset val="128"/>
    </font>
    <font>
      <sz val="9"/>
      <color rgb="FF000000"/>
      <name val="ＭＳ 明朝"/>
      <family val="1"/>
      <charset val="128"/>
    </font>
    <font>
      <sz val="9"/>
      <color theme="1"/>
      <name val="メイリオ"/>
      <family val="2"/>
      <charset val="128"/>
    </font>
    <font>
      <sz val="6"/>
      <name val="メイリオ"/>
      <family val="2"/>
      <charset val="128"/>
    </font>
    <font>
      <sz val="10"/>
      <name val="ＭＳ Ｐゴシック"/>
      <family val="3"/>
      <charset val="128"/>
    </font>
    <font>
      <u/>
      <sz val="11"/>
      <color indexed="12"/>
      <name val="ＭＳ Ｐゴシック"/>
      <family val="3"/>
      <charset val="128"/>
    </font>
    <font>
      <sz val="9"/>
      <color theme="0" tint="-0.14999847407452621"/>
      <name val="ＭＳ 明朝"/>
      <family val="1"/>
      <charset val="128"/>
    </font>
    <font>
      <b/>
      <sz val="9"/>
      <name val="ＭＳ 明朝"/>
      <family val="1"/>
      <charset val="128"/>
    </font>
    <font>
      <sz val="9"/>
      <color rgb="FF000000"/>
      <name val="Meiryo UI"/>
      <family val="3"/>
      <charset val="128"/>
    </font>
    <font>
      <u/>
      <sz val="9"/>
      <color indexed="12"/>
      <name val="ＭＳ 明朝"/>
      <family val="1"/>
      <charset val="128"/>
    </font>
  </fonts>
  <fills count="6">
    <fill>
      <patternFill patternType="none"/>
    </fill>
    <fill>
      <patternFill patternType="gray125"/>
    </fill>
    <fill>
      <patternFill patternType="solid">
        <fgColor theme="0" tint="-0.2499465926084170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0" tint="-0.499984740745262"/>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0"/>
      </right>
      <top style="thin">
        <color indexed="64"/>
      </top>
      <bottom style="thin">
        <color indexed="0"/>
      </bottom>
      <diagonal/>
    </border>
    <border>
      <left style="thin">
        <color indexed="0"/>
      </left>
      <right style="thin">
        <color indexed="0"/>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0"/>
      </right>
      <top style="thin">
        <color indexed="0"/>
      </top>
      <bottom style="thin">
        <color indexed="0"/>
      </bottom>
      <diagonal/>
    </border>
    <border>
      <left style="thin">
        <color indexed="0"/>
      </left>
      <right style="thin">
        <color indexed="0"/>
      </right>
      <top style="thin">
        <color indexed="0"/>
      </top>
      <bottom style="thin">
        <color indexed="0"/>
      </bottom>
      <diagonal/>
    </border>
    <border>
      <left style="thin">
        <color indexed="64"/>
      </left>
      <right style="thin">
        <color indexed="64"/>
      </right>
      <top/>
      <bottom style="thin">
        <color indexed="0"/>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64"/>
      </left>
      <right style="thin">
        <color indexed="64"/>
      </right>
      <top style="thin">
        <color indexed="0"/>
      </top>
      <bottom/>
      <diagonal/>
    </border>
    <border>
      <left style="thin">
        <color indexed="64"/>
      </left>
      <right style="thin">
        <color indexed="0"/>
      </right>
      <top style="thin">
        <color indexed="0"/>
      </top>
      <bottom/>
      <diagonal/>
    </border>
    <border>
      <left style="thin">
        <color indexed="0"/>
      </left>
      <right style="thin">
        <color indexed="0"/>
      </right>
      <top style="thin">
        <color indexed="0"/>
      </top>
      <bottom/>
      <diagonal/>
    </border>
    <border>
      <left style="thin">
        <color indexed="64"/>
      </left>
      <right/>
      <top style="hair">
        <color indexed="64"/>
      </top>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style="thin">
        <color indexed="64"/>
      </left>
      <right style="thin">
        <color indexed="64"/>
      </right>
      <top/>
      <bottom style="thin">
        <color indexed="8"/>
      </bottom>
      <diagonal/>
    </border>
    <border>
      <left/>
      <right/>
      <top style="thin">
        <color indexed="0"/>
      </top>
      <bottom style="thin">
        <color indexed="8"/>
      </bottom>
      <diagonal/>
    </border>
    <border>
      <left/>
      <right style="thin">
        <color indexed="64"/>
      </right>
      <top style="thin">
        <color indexed="0"/>
      </top>
      <bottom style="thin">
        <color indexed="8"/>
      </bottom>
      <diagonal/>
    </border>
    <border>
      <left style="thin">
        <color indexed="64"/>
      </left>
      <right style="thin">
        <color indexed="64"/>
      </right>
      <top style="thin">
        <color indexed="64"/>
      </top>
      <bottom style="thin">
        <color indexed="8"/>
      </bottom>
      <diagonal/>
    </border>
    <border>
      <left style="thin">
        <color indexed="64"/>
      </left>
      <right style="thin">
        <color indexed="64"/>
      </right>
      <top style="thin">
        <color indexed="0"/>
      </top>
      <bottom style="thin">
        <color indexed="8"/>
      </bottom>
      <diagonal/>
    </border>
    <border>
      <left style="thin">
        <color indexed="64"/>
      </left>
      <right style="thin">
        <color indexed="0"/>
      </right>
      <top style="thin">
        <color indexed="0"/>
      </top>
      <bottom style="thin">
        <color indexed="8"/>
      </bottom>
      <diagonal/>
    </border>
    <border>
      <left style="thin">
        <color indexed="0"/>
      </left>
      <right style="thin">
        <color indexed="0"/>
      </right>
      <top style="thin">
        <color indexed="0"/>
      </top>
      <bottom style="thin">
        <color indexed="8"/>
      </bottom>
      <diagonal/>
    </border>
    <border>
      <left/>
      <right/>
      <top style="thin">
        <color indexed="8"/>
      </top>
      <bottom/>
      <diagonal/>
    </border>
    <border>
      <left style="thin">
        <color indexed="64"/>
      </left>
      <right style="thin">
        <color indexed="64"/>
      </right>
      <top style="thin">
        <color indexed="0"/>
      </top>
      <bottom style="thin">
        <color indexed="64"/>
      </bottom>
      <diagonal/>
    </border>
  </borders>
  <cellStyleXfs count="10">
    <xf numFmtId="0" fontId="0" fillId="0" borderId="0"/>
    <xf numFmtId="0" fontId="5" fillId="0" borderId="0"/>
    <xf numFmtId="0" fontId="3" fillId="0" borderId="0"/>
    <xf numFmtId="0" fontId="5" fillId="0" borderId="0"/>
    <xf numFmtId="0" fontId="5" fillId="0" borderId="0"/>
    <xf numFmtId="0" fontId="13" fillId="0" borderId="0"/>
    <xf numFmtId="9" fontId="5" fillId="0" borderId="0" applyFont="0" applyFill="0" applyBorder="0" applyAlignment="0" applyProtection="0"/>
    <xf numFmtId="0" fontId="5" fillId="0" borderId="0"/>
    <xf numFmtId="0" fontId="18" fillId="0" borderId="0">
      <alignment vertical="center"/>
    </xf>
    <xf numFmtId="0" fontId="25" fillId="0" borderId="0" applyNumberFormat="0" applyFill="0" applyBorder="0" applyAlignment="0" applyProtection="0">
      <alignment vertical="top"/>
      <protection locked="0"/>
    </xf>
  </cellStyleXfs>
  <cellXfs count="336">
    <xf numFmtId="0" fontId="0" fillId="0" borderId="0" xfId="0"/>
    <xf numFmtId="0" fontId="6" fillId="0" borderId="0" xfId="3" applyFont="1"/>
    <xf numFmtId="0" fontId="7" fillId="0" borderId="0" xfId="3" applyFont="1"/>
    <xf numFmtId="0" fontId="8" fillId="0" borderId="0" xfId="3" applyFont="1"/>
    <xf numFmtId="0" fontId="9" fillId="0" borderId="0" xfId="3" applyFont="1"/>
    <xf numFmtId="0" fontId="10" fillId="0" borderId="0" xfId="3" applyFont="1"/>
    <xf numFmtId="177" fontId="11" fillId="0" borderId="0" xfId="4" quotePrefix="1" applyNumberFormat="1" applyFont="1" applyAlignment="1">
      <alignment horizontal="center"/>
    </xf>
    <xf numFmtId="0" fontId="10" fillId="0" borderId="0" xfId="3" applyFont="1" applyAlignment="1">
      <alignment horizontal="center"/>
    </xf>
    <xf numFmtId="31" fontId="10" fillId="0" borderId="0" xfId="3" applyNumberFormat="1" applyFont="1"/>
    <xf numFmtId="0" fontId="14" fillId="0" borderId="0" xfId="5" applyFont="1" applyAlignment="1">
      <alignment horizontal="center"/>
    </xf>
    <xf numFmtId="0" fontId="15" fillId="0" borderId="0" xfId="3" applyFont="1" applyAlignment="1">
      <alignment horizontal="center"/>
    </xf>
    <xf numFmtId="0" fontId="5" fillId="0" borderId="0" xfId="4"/>
    <xf numFmtId="0" fontId="5" fillId="0" borderId="0" xfId="4" applyAlignment="1">
      <alignment horizontal="right"/>
    </xf>
    <xf numFmtId="0" fontId="5" fillId="0" borderId="0" xfId="4" applyAlignment="1">
      <alignment vertical="top"/>
    </xf>
    <xf numFmtId="0" fontId="11" fillId="0" borderId="0" xfId="4" applyFont="1"/>
    <xf numFmtId="0" fontId="5" fillId="0" borderId="0" xfId="4" applyAlignment="1">
      <alignment horizontal="center" vertical="center"/>
    </xf>
    <xf numFmtId="0" fontId="5" fillId="0" borderId="0" xfId="4" quotePrefix="1" applyAlignment="1">
      <alignment vertical="center"/>
    </xf>
    <xf numFmtId="0" fontId="5" fillId="0" borderId="0" xfId="4" applyAlignment="1">
      <alignment vertical="center"/>
    </xf>
    <xf numFmtId="0" fontId="5" fillId="0" borderId="16" xfId="3" applyBorder="1" applyAlignment="1">
      <alignment horizontal="center" vertical="center"/>
    </xf>
    <xf numFmtId="0" fontId="5" fillId="0" borderId="0" xfId="4" applyAlignment="1">
      <alignment horizontal="left" vertical="center"/>
    </xf>
    <xf numFmtId="0" fontId="5" fillId="0" borderId="7" xfId="3" applyBorder="1" applyAlignment="1">
      <alignment horizontal="right" vertical="top"/>
    </xf>
    <xf numFmtId="0" fontId="5" fillId="0" borderId="1" xfId="3" applyBorder="1" applyAlignment="1">
      <alignment horizontal="right" vertical="top"/>
    </xf>
    <xf numFmtId="0" fontId="5" fillId="0" borderId="0" xfId="3"/>
    <xf numFmtId="0" fontId="15" fillId="0" borderId="0" xfId="3" applyFont="1"/>
    <xf numFmtId="0" fontId="5" fillId="0" borderId="0" xfId="2" applyFont="1"/>
    <xf numFmtId="49" fontId="5" fillId="0" borderId="0" xfId="2" applyNumberFormat="1" applyFont="1"/>
    <xf numFmtId="0" fontId="5" fillId="0" borderId="2" xfId="2" applyFont="1" applyBorder="1"/>
    <xf numFmtId="49" fontId="5" fillId="0" borderId="2" xfId="2" applyNumberFormat="1" applyFont="1" applyBorder="1"/>
    <xf numFmtId="0" fontId="5" fillId="3" borderId="1" xfId="0" applyFont="1" applyFill="1" applyBorder="1" applyAlignment="1">
      <alignment vertical="center"/>
    </xf>
    <xf numFmtId="0" fontId="5" fillId="3" borderId="1" xfId="2" applyFont="1" applyFill="1" applyBorder="1" applyAlignment="1">
      <alignment vertical="center"/>
    </xf>
    <xf numFmtId="0" fontId="5" fillId="0" borderId="0" xfId="2" applyFont="1" applyAlignment="1">
      <alignment vertical="center"/>
    </xf>
    <xf numFmtId="0" fontId="5" fillId="3" borderId="1" xfId="0" applyFont="1" applyFill="1" applyBorder="1" applyAlignment="1">
      <alignment vertical="top"/>
    </xf>
    <xf numFmtId="0" fontId="17" fillId="0" borderId="1" xfId="1" applyFont="1" applyBorder="1" applyAlignment="1">
      <alignment horizontal="left" vertical="top" wrapText="1"/>
    </xf>
    <xf numFmtId="0" fontId="5" fillId="0" borderId="0" xfId="2" applyFont="1" applyAlignment="1">
      <alignment vertical="top" wrapText="1"/>
    </xf>
    <xf numFmtId="0" fontId="5" fillId="0" borderId="2" xfId="2" applyFont="1" applyBorder="1" applyAlignment="1">
      <alignment wrapText="1"/>
    </xf>
    <xf numFmtId="0" fontId="5" fillId="0" borderId="0" xfId="2" applyFont="1" applyAlignment="1">
      <alignment wrapText="1"/>
    </xf>
    <xf numFmtId="0" fontId="5" fillId="0" borderId="2" xfId="2" applyFont="1" applyBorder="1" applyAlignment="1">
      <alignment vertical="top" wrapText="1"/>
    </xf>
    <xf numFmtId="0" fontId="5" fillId="3" borderId="20" xfId="0" applyFont="1" applyFill="1" applyBorder="1" applyAlignment="1">
      <alignment vertical="center"/>
    </xf>
    <xf numFmtId="0" fontId="5" fillId="3" borderId="20" xfId="2" applyFont="1" applyFill="1" applyBorder="1" applyAlignment="1">
      <alignment vertical="center" wrapText="1"/>
    </xf>
    <xf numFmtId="0" fontId="5" fillId="3" borderId="20" xfId="2" applyFont="1" applyFill="1" applyBorder="1" applyAlignment="1">
      <alignment vertical="top" wrapText="1"/>
    </xf>
    <xf numFmtId="49" fontId="5" fillId="3" borderId="20" xfId="2" applyNumberFormat="1" applyFont="1" applyFill="1" applyBorder="1" applyAlignment="1">
      <alignment vertical="center"/>
    </xf>
    <xf numFmtId="0" fontId="5" fillId="3" borderId="20" xfId="2" applyFont="1" applyFill="1" applyBorder="1" applyAlignment="1">
      <alignment vertical="center"/>
    </xf>
    <xf numFmtId="0" fontId="5" fillId="3" borderId="8" xfId="2" applyFont="1" applyFill="1" applyBorder="1" applyAlignment="1">
      <alignment vertical="center"/>
    </xf>
    <xf numFmtId="0" fontId="5" fillId="0" borderId="1" xfId="2" applyFont="1" applyBorder="1" applyAlignment="1">
      <alignment vertical="top" wrapText="1"/>
    </xf>
    <xf numFmtId="0" fontId="5" fillId="0" borderId="20" xfId="8" applyFont="1" applyBorder="1" applyAlignment="1">
      <alignment vertical="top" wrapText="1"/>
    </xf>
    <xf numFmtId="0" fontId="17" fillId="4" borderId="1" xfId="1" applyFont="1" applyFill="1" applyBorder="1" applyAlignment="1">
      <alignment horizontal="left" vertical="top" wrapText="1" shrinkToFit="1"/>
    </xf>
    <xf numFmtId="49" fontId="5" fillId="4" borderId="1" xfId="2" applyNumberFormat="1" applyFont="1" applyFill="1" applyBorder="1" applyAlignment="1">
      <alignment horizontal="left" vertical="top" wrapText="1"/>
    </xf>
    <xf numFmtId="14" fontId="5" fillId="4" borderId="1" xfId="2" applyNumberFormat="1" applyFont="1" applyFill="1" applyBorder="1" applyAlignment="1">
      <alignment horizontal="left" vertical="top" wrapText="1"/>
    </xf>
    <xf numFmtId="176" fontId="5" fillId="4" borderId="1" xfId="2" applyNumberFormat="1" applyFont="1" applyFill="1" applyBorder="1" applyAlignment="1">
      <alignment horizontal="left" vertical="top" wrapText="1"/>
    </xf>
    <xf numFmtId="0" fontId="5" fillId="4" borderId="1" xfId="2" applyFont="1" applyFill="1" applyBorder="1" applyAlignment="1">
      <alignment horizontal="left" vertical="top" wrapText="1"/>
    </xf>
    <xf numFmtId="0" fontId="17" fillId="4" borderId="1" xfId="1" applyFont="1" applyFill="1" applyBorder="1" applyAlignment="1">
      <alignment horizontal="left" vertical="top" wrapText="1"/>
    </xf>
    <xf numFmtId="0" fontId="5" fillId="0" borderId="1" xfId="8" applyFont="1" applyBorder="1" applyAlignment="1">
      <alignment vertical="top" wrapText="1"/>
    </xf>
    <xf numFmtId="0" fontId="17" fillId="0" borderId="1" xfId="0" applyFont="1" applyBorder="1" applyAlignment="1">
      <alignment horizontal="left" vertical="top" wrapText="1" shrinkToFit="1"/>
    </xf>
    <xf numFmtId="0" fontId="17" fillId="0" borderId="1" xfId="1" applyFont="1" applyBorder="1" applyAlignment="1">
      <alignment horizontal="left" vertical="top" wrapText="1" shrinkToFit="1"/>
    </xf>
    <xf numFmtId="14" fontId="5" fillId="0" borderId="1" xfId="2" applyNumberFormat="1" applyFont="1" applyBorder="1" applyAlignment="1">
      <alignment horizontal="left" vertical="top" wrapText="1"/>
    </xf>
    <xf numFmtId="0" fontId="24" fillId="4" borderId="1" xfId="0" applyFont="1" applyFill="1" applyBorder="1" applyAlignment="1">
      <alignment horizontal="left" vertical="top" wrapText="1"/>
    </xf>
    <xf numFmtId="0" fontId="17" fillId="0" borderId="20" xfId="1" applyFont="1" applyBorder="1" applyAlignment="1">
      <alignment horizontal="left" vertical="top" wrapText="1"/>
    </xf>
    <xf numFmtId="0" fontId="5" fillId="0" borderId="24" xfId="2" applyFont="1" applyBorder="1" applyAlignment="1">
      <alignment vertical="top"/>
    </xf>
    <xf numFmtId="0" fontId="17" fillId="0" borderId="3" xfId="1" applyFont="1" applyBorder="1" applyAlignment="1">
      <alignment horizontal="left" vertical="top"/>
    </xf>
    <xf numFmtId="0" fontId="5" fillId="0" borderId="27" xfId="2" applyFont="1" applyBorder="1" applyAlignment="1">
      <alignment vertical="top"/>
    </xf>
    <xf numFmtId="0" fontId="5" fillId="0" borderId="20" xfId="0" applyFont="1" applyBorder="1" applyAlignment="1">
      <alignment vertical="top" wrapText="1"/>
    </xf>
    <xf numFmtId="0" fontId="5" fillId="0" borderId="1" xfId="0" applyFont="1" applyBorder="1" applyAlignment="1">
      <alignment vertical="top" wrapText="1"/>
    </xf>
    <xf numFmtId="49" fontId="5" fillId="0" borderId="0" xfId="2" applyNumberFormat="1" applyFont="1" applyAlignment="1">
      <alignment vertical="top"/>
    </xf>
    <xf numFmtId="49" fontId="5" fillId="0" borderId="2" xfId="2" applyNumberFormat="1" applyFont="1" applyBorder="1" applyAlignment="1">
      <alignment vertical="top"/>
    </xf>
    <xf numFmtId="49" fontId="5" fillId="4" borderId="1" xfId="2" applyNumberFormat="1" applyFont="1" applyFill="1" applyBorder="1" applyAlignment="1">
      <alignment vertical="top" wrapText="1"/>
    </xf>
    <xf numFmtId="0" fontId="17" fillId="4" borderId="1" xfId="0" applyFont="1" applyFill="1" applyBorder="1" applyAlignment="1">
      <alignment horizontal="left" vertical="top" wrapText="1"/>
    </xf>
    <xf numFmtId="0" fontId="5" fillId="4" borderId="1" xfId="0" applyFont="1" applyFill="1" applyBorder="1" applyAlignment="1">
      <alignment vertical="top" wrapText="1"/>
    </xf>
    <xf numFmtId="0" fontId="5" fillId="4" borderId="7" xfId="0" applyFont="1" applyFill="1" applyBorder="1" applyAlignment="1">
      <alignment vertical="top" wrapText="1"/>
    </xf>
    <xf numFmtId="0" fontId="5" fillId="0" borderId="0" xfId="2" applyFont="1" applyAlignment="1">
      <alignment horizontal="left" vertical="top" wrapText="1"/>
    </xf>
    <xf numFmtId="0" fontId="5" fillId="0" borderId="2" xfId="2" applyFont="1" applyBorder="1" applyAlignment="1">
      <alignment horizontal="left" vertical="top" wrapText="1"/>
    </xf>
    <xf numFmtId="0" fontId="5" fillId="3" borderId="1" xfId="0" applyFont="1" applyFill="1" applyBorder="1" applyAlignment="1">
      <alignment horizontal="left" vertical="top" wrapText="1"/>
    </xf>
    <xf numFmtId="49" fontId="5" fillId="0" borderId="1" xfId="2" applyNumberFormat="1" applyFont="1" applyBorder="1" applyAlignment="1">
      <alignment vertical="top" wrapText="1"/>
    </xf>
    <xf numFmtId="49" fontId="5" fillId="3" borderId="1" xfId="2" applyNumberFormat="1" applyFont="1" applyFill="1" applyBorder="1" applyAlignment="1">
      <alignment horizontal="left" vertical="top"/>
    </xf>
    <xf numFmtId="49" fontId="5" fillId="0" borderId="0" xfId="2" applyNumberFormat="1" applyFont="1" applyAlignment="1">
      <alignment horizontal="left" vertical="top" wrapText="1"/>
    </xf>
    <xf numFmtId="49" fontId="5" fillId="0" borderId="0" xfId="2" applyNumberFormat="1" applyFont="1" applyAlignment="1">
      <alignment horizontal="left" vertical="top"/>
    </xf>
    <xf numFmtId="49" fontId="5" fillId="0" borderId="2" xfId="2" applyNumberFormat="1" applyFont="1" applyBorder="1" applyAlignment="1">
      <alignment horizontal="left" vertical="top" wrapText="1"/>
    </xf>
    <xf numFmtId="49" fontId="5" fillId="0" borderId="2" xfId="2" applyNumberFormat="1" applyFont="1" applyBorder="1" applyAlignment="1">
      <alignment horizontal="left" vertical="top"/>
    </xf>
    <xf numFmtId="49" fontId="5" fillId="3" borderId="1" xfId="2" applyNumberFormat="1" applyFont="1" applyFill="1" applyBorder="1" applyAlignment="1">
      <alignment horizontal="left" vertical="top" wrapText="1"/>
    </xf>
    <xf numFmtId="49" fontId="5" fillId="0" borderId="1" xfId="2" applyNumberFormat="1" applyFont="1" applyBorder="1" applyAlignment="1">
      <alignment horizontal="left" vertical="top" wrapText="1"/>
    </xf>
    <xf numFmtId="0" fontId="5" fillId="0" borderId="12" xfId="0" applyFont="1" applyBorder="1" applyAlignment="1">
      <alignment vertical="top" wrapText="1"/>
    </xf>
    <xf numFmtId="0" fontId="17" fillId="5" borderId="1" xfId="1" applyFont="1" applyFill="1" applyBorder="1" applyAlignment="1">
      <alignment horizontal="left" vertical="top" wrapText="1"/>
    </xf>
    <xf numFmtId="0" fontId="17" fillId="0" borderId="4" xfId="1" applyFont="1" applyBorder="1" applyAlignment="1">
      <alignment horizontal="left" vertical="top" wrapText="1"/>
    </xf>
    <xf numFmtId="0" fontId="17" fillId="0" borderId="6" xfId="1" applyFont="1" applyBorder="1" applyAlignment="1">
      <alignment horizontal="left" vertical="top" wrapText="1"/>
    </xf>
    <xf numFmtId="0" fontId="17" fillId="0" borderId="22" xfId="1" applyFont="1" applyBorder="1" applyAlignment="1">
      <alignment horizontal="left" vertical="top" wrapText="1"/>
    </xf>
    <xf numFmtId="0" fontId="17" fillId="5" borderId="20" xfId="1" applyFont="1" applyFill="1" applyBorder="1" applyAlignment="1">
      <alignment horizontal="left" vertical="top" wrapText="1"/>
    </xf>
    <xf numFmtId="0" fontId="17" fillId="5" borderId="25" xfId="1" applyFont="1" applyFill="1" applyBorder="1" applyAlignment="1">
      <alignment horizontal="left" vertical="top" wrapText="1"/>
    </xf>
    <xf numFmtId="0" fontId="5" fillId="5" borderId="27" xfId="2" applyFont="1" applyFill="1" applyBorder="1" applyAlignment="1">
      <alignment vertical="top"/>
    </xf>
    <xf numFmtId="0" fontId="17" fillId="5" borderId="1" xfId="1" applyFont="1" applyFill="1" applyBorder="1" applyAlignment="1">
      <alignment horizontal="left" vertical="top"/>
    </xf>
    <xf numFmtId="0" fontId="17" fillId="5" borderId="35" xfId="1" applyFont="1" applyFill="1" applyBorder="1" applyAlignment="1">
      <alignment horizontal="left" vertical="top" wrapText="1"/>
    </xf>
    <xf numFmtId="0" fontId="17" fillId="5" borderId="36" xfId="1" applyFont="1" applyFill="1" applyBorder="1" applyAlignment="1">
      <alignment horizontal="left" vertical="top"/>
    </xf>
    <xf numFmtId="49" fontId="5" fillId="0" borderId="0" xfId="2" applyNumberFormat="1" applyFont="1" applyAlignment="1">
      <alignment vertical="center"/>
    </xf>
    <xf numFmtId="0" fontId="5" fillId="5" borderId="1" xfId="8" applyFont="1" applyFill="1" applyBorder="1" applyAlignment="1">
      <alignment vertical="top" wrapText="1"/>
    </xf>
    <xf numFmtId="0" fontId="17" fillId="0" borderId="11" xfId="1" applyFont="1" applyBorder="1" applyAlignment="1">
      <alignment horizontal="left" vertical="top"/>
    </xf>
    <xf numFmtId="0" fontId="17" fillId="0" borderId="3" xfId="1" applyFont="1" applyBorder="1" applyAlignment="1">
      <alignment horizontal="left" vertical="top" wrapText="1"/>
    </xf>
    <xf numFmtId="0" fontId="5" fillId="5" borderId="1" xfId="0" applyFont="1" applyFill="1" applyBorder="1" applyAlignment="1">
      <alignment vertical="top" wrapText="1"/>
    </xf>
    <xf numFmtId="49" fontId="5" fillId="5" borderId="1" xfId="2" applyNumberFormat="1" applyFont="1" applyFill="1" applyBorder="1" applyAlignment="1">
      <alignment vertical="top" wrapText="1"/>
    </xf>
    <xf numFmtId="0" fontId="5" fillId="5" borderId="1" xfId="2" applyFont="1" applyFill="1" applyBorder="1" applyAlignment="1">
      <alignment horizontal="left" vertical="top" wrapText="1"/>
    </xf>
    <xf numFmtId="49" fontId="5" fillId="5" borderId="1" xfId="2" applyNumberFormat="1" applyFont="1" applyFill="1" applyBorder="1" applyAlignment="1">
      <alignment horizontal="left" vertical="top" wrapText="1"/>
    </xf>
    <xf numFmtId="0" fontId="17" fillId="0" borderId="7" xfId="1" applyFont="1" applyBorder="1" applyAlignment="1">
      <alignment horizontal="left" vertical="top"/>
    </xf>
    <xf numFmtId="0" fontId="17" fillId="0" borderId="11" xfId="1" applyFont="1" applyBorder="1" applyAlignment="1">
      <alignment horizontal="left" vertical="top" wrapText="1"/>
    </xf>
    <xf numFmtId="0" fontId="17" fillId="0" borderId="15" xfId="1" applyFont="1" applyBorder="1" applyAlignment="1">
      <alignment horizontal="left" vertical="top"/>
    </xf>
    <xf numFmtId="0" fontId="5" fillId="0" borderId="23" xfId="2" applyFont="1" applyBorder="1" applyAlignment="1">
      <alignment horizontal="left" vertical="top"/>
    </xf>
    <xf numFmtId="14" fontId="5" fillId="0" borderId="24" xfId="2" applyNumberFormat="1" applyFont="1" applyBorder="1" applyAlignment="1">
      <alignment vertical="top"/>
    </xf>
    <xf numFmtId="0" fontId="5" fillId="2" borderId="1" xfId="2" applyFont="1" applyFill="1" applyBorder="1" applyAlignment="1">
      <alignment vertical="top"/>
    </xf>
    <xf numFmtId="0" fontId="5" fillId="0" borderId="44" xfId="2" applyFont="1" applyBorder="1" applyAlignment="1">
      <alignment vertical="center"/>
    </xf>
    <xf numFmtId="49" fontId="5" fillId="0" borderId="44" xfId="2" applyNumberFormat="1" applyFont="1" applyBorder="1" applyAlignment="1">
      <alignment vertical="center"/>
    </xf>
    <xf numFmtId="0" fontId="5" fillId="5" borderId="26" xfId="2" applyFont="1" applyFill="1" applyBorder="1" applyAlignment="1">
      <alignment horizontal="left" vertical="top"/>
    </xf>
    <xf numFmtId="14" fontId="5" fillId="5" borderId="27" xfId="2" applyNumberFormat="1" applyFont="1" applyFill="1" applyBorder="1" applyAlignment="1">
      <alignment vertical="top"/>
    </xf>
    <xf numFmtId="0" fontId="17" fillId="5" borderId="37" xfId="1" applyFont="1" applyFill="1" applyBorder="1" applyAlignment="1">
      <alignment horizontal="left" vertical="top"/>
    </xf>
    <xf numFmtId="0" fontId="17" fillId="5" borderId="38" xfId="1" applyFont="1" applyFill="1" applyBorder="1" applyAlignment="1">
      <alignment horizontal="left" vertical="top" wrapText="1"/>
    </xf>
    <xf numFmtId="0" fontId="17" fillId="5" borderId="39" xfId="1" applyFont="1" applyFill="1" applyBorder="1" applyAlignment="1">
      <alignment horizontal="left" vertical="top"/>
    </xf>
    <xf numFmtId="0" fontId="17" fillId="5" borderId="40" xfId="1" applyFont="1" applyFill="1" applyBorder="1" applyAlignment="1">
      <alignment horizontal="left" vertical="top"/>
    </xf>
    <xf numFmtId="0" fontId="17" fillId="5" borderId="41" xfId="1" applyFont="1" applyFill="1" applyBorder="1" applyAlignment="1">
      <alignment horizontal="left" vertical="top" wrapText="1"/>
    </xf>
    <xf numFmtId="0" fontId="5" fillId="5" borderId="42" xfId="2" applyFont="1" applyFill="1" applyBorder="1" applyAlignment="1">
      <alignment horizontal="left" vertical="top"/>
    </xf>
    <xf numFmtId="0" fontId="5" fillId="5" borderId="43" xfId="2" applyFont="1" applyFill="1" applyBorder="1" applyAlignment="1">
      <alignment vertical="top"/>
    </xf>
    <xf numFmtId="14" fontId="5" fillId="5" borderId="43" xfId="2" applyNumberFormat="1" applyFont="1" applyFill="1" applyBorder="1" applyAlignment="1">
      <alignment vertical="top"/>
    </xf>
    <xf numFmtId="0" fontId="5" fillId="0" borderId="1" xfId="2" applyFont="1" applyBorder="1" applyAlignment="1">
      <alignment horizontal="left" vertical="top" wrapText="1"/>
    </xf>
    <xf numFmtId="49" fontId="17" fillId="0" borderId="28" xfId="1" applyNumberFormat="1" applyFont="1" applyBorder="1" applyAlignment="1">
      <alignment horizontal="left" vertical="top" wrapText="1"/>
    </xf>
    <xf numFmtId="0" fontId="5" fillId="0" borderId="11" xfId="0" applyFont="1" applyBorder="1" applyAlignment="1">
      <alignment vertical="top" wrapText="1"/>
    </xf>
    <xf numFmtId="49" fontId="17" fillId="0" borderId="25" xfId="1" applyNumberFormat="1" applyFont="1" applyBorder="1" applyAlignment="1">
      <alignment horizontal="left" vertical="top" wrapText="1"/>
    </xf>
    <xf numFmtId="49" fontId="17" fillId="0" borderId="31" xfId="1" applyNumberFormat="1" applyFont="1" applyBorder="1" applyAlignment="1">
      <alignment horizontal="left" vertical="top" wrapText="1"/>
    </xf>
    <xf numFmtId="49" fontId="17" fillId="0" borderId="1" xfId="1" applyNumberFormat="1" applyFont="1" applyBorder="1" applyAlignment="1">
      <alignment horizontal="left" vertical="top" wrapText="1"/>
    </xf>
    <xf numFmtId="0" fontId="5" fillId="0" borderId="1" xfId="8" applyFont="1" applyBorder="1" applyAlignment="1">
      <alignment horizontal="left" vertical="top" wrapText="1"/>
    </xf>
    <xf numFmtId="49" fontId="17" fillId="5" borderId="1" xfId="1" applyNumberFormat="1" applyFont="1" applyFill="1" applyBorder="1" applyAlignment="1">
      <alignment horizontal="left" vertical="top" wrapText="1"/>
    </xf>
    <xf numFmtId="49" fontId="5" fillId="0" borderId="26" xfId="2" applyNumberFormat="1" applyFont="1" applyBorder="1" applyAlignment="1">
      <alignment horizontal="left" vertical="top" wrapText="1"/>
    </xf>
    <xf numFmtId="0" fontId="5" fillId="0" borderId="27" xfId="2" applyFont="1" applyBorder="1" applyAlignment="1">
      <alignment vertical="top" wrapText="1"/>
    </xf>
    <xf numFmtId="0" fontId="5" fillId="5" borderId="1" xfId="0" applyFont="1" applyFill="1" applyBorder="1" applyAlignment="1">
      <alignment horizontal="left" vertical="top" wrapText="1"/>
    </xf>
    <xf numFmtId="0" fontId="5" fillId="5" borderId="1" xfId="8" applyFont="1" applyFill="1" applyBorder="1" applyAlignment="1">
      <alignment horizontal="left" vertical="top" wrapText="1"/>
    </xf>
    <xf numFmtId="0" fontId="17" fillId="5" borderId="1" xfId="1" applyFont="1" applyFill="1" applyBorder="1" applyAlignment="1">
      <alignment horizontal="left" vertical="top" wrapText="1" shrinkToFit="1"/>
    </xf>
    <xf numFmtId="0" fontId="5" fillId="4" borderId="1" xfId="0" applyFont="1" applyFill="1" applyBorder="1" applyAlignment="1">
      <alignment horizontal="left" vertical="top" wrapText="1"/>
    </xf>
    <xf numFmtId="0" fontId="5" fillId="0" borderId="1" xfId="0" applyFont="1" applyBorder="1" applyAlignment="1">
      <alignment horizontal="left" vertical="top" wrapText="1"/>
    </xf>
    <xf numFmtId="0" fontId="5" fillId="0" borderId="20" xfId="8" applyFont="1" applyBorder="1" applyAlignment="1">
      <alignment horizontal="left" vertical="top" wrapText="1"/>
    </xf>
    <xf numFmtId="176" fontId="5" fillId="0" borderId="1" xfId="2" applyNumberFormat="1" applyFont="1" applyBorder="1" applyAlignment="1">
      <alignment horizontal="left" vertical="top" wrapText="1"/>
    </xf>
    <xf numFmtId="0" fontId="5" fillId="0" borderId="29" xfId="2" applyFont="1" applyBorder="1" applyAlignment="1">
      <alignment horizontal="left" vertical="top" wrapText="1"/>
    </xf>
    <xf numFmtId="0" fontId="5" fillId="0" borderId="30" xfId="2" applyFont="1" applyBorder="1" applyAlignment="1">
      <alignment horizontal="left" vertical="top" wrapText="1"/>
    </xf>
    <xf numFmtId="0" fontId="5" fillId="0" borderId="26" xfId="2" applyFont="1" applyBorder="1" applyAlignment="1">
      <alignment horizontal="left" vertical="top" wrapText="1"/>
    </xf>
    <xf numFmtId="0" fontId="5" fillId="0" borderId="27" xfId="2" applyFont="1" applyBorder="1" applyAlignment="1">
      <alignment horizontal="left" vertical="top" wrapText="1"/>
    </xf>
    <xf numFmtId="0" fontId="5" fillId="0" borderId="32" xfId="2" applyFont="1" applyBorder="1" applyAlignment="1">
      <alignment horizontal="left" vertical="top" wrapText="1"/>
    </xf>
    <xf numFmtId="0" fontId="5" fillId="0" borderId="33" xfId="2" applyFont="1" applyBorder="1" applyAlignment="1">
      <alignment horizontal="left" vertical="top" wrapText="1"/>
    </xf>
    <xf numFmtId="0" fontId="5" fillId="0" borderId="11" xfId="8" applyFont="1" applyBorder="1" applyAlignment="1">
      <alignment horizontal="left" vertical="top" wrapText="1"/>
    </xf>
    <xf numFmtId="0" fontId="5" fillId="5" borderId="20" xfId="8" applyFont="1" applyFill="1" applyBorder="1" applyAlignment="1">
      <alignment horizontal="left" vertical="top" wrapText="1"/>
    </xf>
    <xf numFmtId="0" fontId="5" fillId="5" borderId="3" xfId="8" applyFont="1" applyFill="1" applyBorder="1" applyAlignment="1">
      <alignment horizontal="left" vertical="top" wrapText="1"/>
    </xf>
    <xf numFmtId="0" fontId="22" fillId="0" borderId="12" xfId="8" applyFont="1" applyBorder="1" applyAlignment="1">
      <alignment horizontal="left" vertical="top" wrapText="1"/>
    </xf>
    <xf numFmtId="0" fontId="22" fillId="5" borderId="12" xfId="8" applyFont="1" applyFill="1" applyBorder="1" applyAlignment="1">
      <alignment horizontal="left" vertical="top" wrapText="1"/>
    </xf>
    <xf numFmtId="0" fontId="5" fillId="4" borderId="1" xfId="8" applyFont="1" applyFill="1" applyBorder="1" applyAlignment="1">
      <alignment horizontal="left" vertical="top" wrapText="1"/>
    </xf>
    <xf numFmtId="0" fontId="5" fillId="5" borderId="13" xfId="8" applyFont="1" applyFill="1" applyBorder="1" applyAlignment="1">
      <alignment horizontal="left" vertical="top" wrapText="1"/>
    </xf>
    <xf numFmtId="0" fontId="5" fillId="5" borderId="7" xfId="8" applyFont="1" applyFill="1" applyBorder="1" applyAlignment="1">
      <alignment horizontal="left" vertical="top" wrapText="1"/>
    </xf>
    <xf numFmtId="0" fontId="5" fillId="5" borderId="9" xfId="8" applyFont="1" applyFill="1" applyBorder="1" applyAlignment="1">
      <alignment horizontal="left" vertical="top" wrapText="1"/>
    </xf>
    <xf numFmtId="0" fontId="5" fillId="5" borderId="8" xfId="8" applyFont="1" applyFill="1" applyBorder="1" applyAlignment="1">
      <alignment horizontal="left" vertical="top" wrapText="1"/>
    </xf>
    <xf numFmtId="0" fontId="22" fillId="5" borderId="3" xfId="8" applyFont="1" applyFill="1" applyBorder="1" applyAlignment="1">
      <alignment horizontal="left" vertical="top" wrapText="1"/>
    </xf>
    <xf numFmtId="0" fontId="5" fillId="0" borderId="8" xfId="8" applyFont="1" applyBorder="1" applyAlignment="1">
      <alignment horizontal="left" vertical="top" wrapText="1"/>
    </xf>
    <xf numFmtId="0" fontId="5" fillId="0" borderId="9" xfId="8" applyFont="1" applyBorder="1" applyAlignment="1">
      <alignment horizontal="left" vertical="top" wrapText="1"/>
    </xf>
    <xf numFmtId="0" fontId="5" fillId="0" borderId="13" xfId="8" applyFont="1" applyBorder="1" applyAlignment="1">
      <alignment horizontal="left" vertical="top" wrapText="1"/>
    </xf>
    <xf numFmtId="0" fontId="5" fillId="0" borderId="7" xfId="8" applyFont="1" applyBorder="1" applyAlignment="1">
      <alignment horizontal="left" vertical="top" wrapText="1"/>
    </xf>
    <xf numFmtId="0" fontId="5" fillId="0" borderId="6" xfId="8" applyFont="1" applyBorder="1" applyAlignment="1">
      <alignment horizontal="left" vertical="top" wrapText="1"/>
    </xf>
    <xf numFmtId="0" fontId="22" fillId="0" borderId="15" xfId="8" applyFont="1" applyBorder="1" applyAlignment="1">
      <alignment horizontal="left" vertical="top" wrapText="1"/>
    </xf>
    <xf numFmtId="0" fontId="5" fillId="4" borderId="12" xfId="8" applyFont="1" applyFill="1" applyBorder="1" applyAlignment="1">
      <alignment horizontal="left" vertical="top" wrapText="1"/>
    </xf>
    <xf numFmtId="0" fontId="5" fillId="4" borderId="21" xfId="8" applyFont="1" applyFill="1" applyBorder="1" applyAlignment="1">
      <alignment horizontal="left" vertical="top" wrapText="1"/>
    </xf>
    <xf numFmtId="0" fontId="22" fillId="4" borderId="12" xfId="8" applyFont="1" applyFill="1" applyBorder="1" applyAlignment="1">
      <alignment horizontal="left" vertical="top" wrapText="1"/>
    </xf>
    <xf numFmtId="0" fontId="22" fillId="4" borderId="3" xfId="8" applyFont="1" applyFill="1" applyBorder="1" applyAlignment="1">
      <alignment horizontal="left" vertical="top" wrapText="1"/>
    </xf>
    <xf numFmtId="0" fontId="5" fillId="4" borderId="3" xfId="8" applyFont="1" applyFill="1" applyBorder="1" applyAlignment="1">
      <alignment horizontal="left" vertical="top" wrapText="1"/>
    </xf>
    <xf numFmtId="0" fontId="5" fillId="4" borderId="20" xfId="8" applyFont="1" applyFill="1" applyBorder="1" applyAlignment="1">
      <alignment horizontal="left" vertical="top" wrapText="1"/>
    </xf>
    <xf numFmtId="0" fontId="5" fillId="4" borderId="7" xfId="8" applyFont="1" applyFill="1" applyBorder="1" applyAlignment="1">
      <alignment horizontal="left" vertical="top" wrapText="1"/>
    </xf>
    <xf numFmtId="0" fontId="22" fillId="4" borderId="0" xfId="8" applyFont="1" applyFill="1" applyAlignment="1">
      <alignment horizontal="left" vertical="top" wrapText="1"/>
    </xf>
    <xf numFmtId="0" fontId="22" fillId="4" borderId="13" xfId="8" applyFont="1" applyFill="1" applyBorder="1" applyAlignment="1">
      <alignment horizontal="left" vertical="top" wrapText="1"/>
    </xf>
    <xf numFmtId="0" fontId="5" fillId="4" borderId="8" xfId="8" applyFont="1" applyFill="1" applyBorder="1" applyAlignment="1">
      <alignment horizontal="left" vertical="top" wrapText="1"/>
    </xf>
    <xf numFmtId="0" fontId="22" fillId="4" borderId="9" xfId="8" applyFont="1" applyFill="1" applyBorder="1" applyAlignment="1">
      <alignment horizontal="left" vertical="top" wrapText="1"/>
    </xf>
    <xf numFmtId="0" fontId="22" fillId="4" borderId="7" xfId="8" applyFont="1" applyFill="1" applyBorder="1" applyAlignment="1">
      <alignment horizontal="left" vertical="top" wrapText="1"/>
    </xf>
    <xf numFmtId="0" fontId="5" fillId="4" borderId="9" xfId="8" applyFont="1" applyFill="1" applyBorder="1" applyAlignment="1">
      <alignment horizontal="left" vertical="top" wrapText="1"/>
    </xf>
    <xf numFmtId="0" fontId="5" fillId="4" borderId="10" xfId="8" applyFont="1" applyFill="1" applyBorder="1" applyAlignment="1">
      <alignment horizontal="left" vertical="top" wrapText="1"/>
    </xf>
    <xf numFmtId="0" fontId="22" fillId="4" borderId="15" xfId="8" applyFont="1" applyFill="1" applyBorder="1" applyAlignment="1">
      <alignment horizontal="left" vertical="top" wrapText="1"/>
    </xf>
    <xf numFmtId="0" fontId="5" fillId="5" borderId="11" xfId="8" applyFont="1" applyFill="1" applyBorder="1" applyAlignment="1">
      <alignment horizontal="left" vertical="top" wrapText="1"/>
    </xf>
    <xf numFmtId="0" fontId="5" fillId="5" borderId="12" xfId="8" applyFont="1" applyFill="1" applyBorder="1" applyAlignment="1">
      <alignment horizontal="left" vertical="top" wrapText="1"/>
    </xf>
    <xf numFmtId="0" fontId="5" fillId="5" borderId="15" xfId="8" applyFont="1" applyFill="1" applyBorder="1" applyAlignment="1">
      <alignment horizontal="left" vertical="top" wrapText="1"/>
    </xf>
    <xf numFmtId="0" fontId="5" fillId="4" borderId="4" xfId="8" applyFont="1" applyFill="1" applyBorder="1" applyAlignment="1">
      <alignment horizontal="left" vertical="top" wrapText="1"/>
    </xf>
    <xf numFmtId="0" fontId="5" fillId="4" borderId="13" xfId="8" applyFont="1" applyFill="1" applyBorder="1" applyAlignment="1">
      <alignment horizontal="left" vertical="top" wrapText="1"/>
    </xf>
    <xf numFmtId="0" fontId="5" fillId="4" borderId="0" xfId="8" applyFont="1" applyFill="1" applyAlignment="1">
      <alignment horizontal="left" vertical="top" wrapText="1"/>
    </xf>
    <xf numFmtId="0" fontId="23" fillId="4" borderId="7" xfId="8" applyFont="1" applyFill="1" applyBorder="1" applyAlignment="1">
      <alignment horizontal="left" vertical="top" wrapText="1"/>
    </xf>
    <xf numFmtId="0" fontId="5" fillId="4" borderId="15" xfId="8" applyFont="1" applyFill="1" applyBorder="1" applyAlignment="1">
      <alignment horizontal="left" vertical="top" wrapText="1"/>
    </xf>
    <xf numFmtId="0" fontId="17" fillId="5" borderId="11" xfId="1" applyFont="1" applyFill="1" applyBorder="1" applyAlignment="1">
      <alignment horizontal="left" vertical="top" wrapText="1"/>
    </xf>
    <xf numFmtId="49" fontId="17" fillId="5" borderId="25" xfId="1" applyNumberFormat="1" applyFont="1" applyFill="1" applyBorder="1" applyAlignment="1">
      <alignment horizontal="left" vertical="top" wrapText="1"/>
    </xf>
    <xf numFmtId="0" fontId="5" fillId="5" borderId="26" xfId="2" applyFont="1" applyFill="1" applyBorder="1" applyAlignment="1">
      <alignment horizontal="left" vertical="top" wrapText="1"/>
    </xf>
    <xf numFmtId="0" fontId="5" fillId="5" borderId="27" xfId="2" applyFont="1" applyFill="1" applyBorder="1" applyAlignment="1">
      <alignment horizontal="left" vertical="top" wrapText="1"/>
    </xf>
    <xf numFmtId="0" fontId="17" fillId="5" borderId="4" xfId="1" applyFont="1" applyFill="1" applyBorder="1" applyAlignment="1">
      <alignment horizontal="left" vertical="top"/>
    </xf>
    <xf numFmtId="0" fontId="17" fillId="5" borderId="6" xfId="1" applyFont="1" applyFill="1" applyBorder="1" applyAlignment="1">
      <alignment horizontal="left" vertical="top"/>
    </xf>
    <xf numFmtId="0" fontId="17" fillId="5" borderId="20" xfId="1" applyFont="1" applyFill="1" applyBorder="1" applyAlignment="1">
      <alignment horizontal="left" vertical="top"/>
    </xf>
    <xf numFmtId="0" fontId="17" fillId="5" borderId="7" xfId="1" applyFont="1" applyFill="1" applyBorder="1" applyAlignment="1">
      <alignment horizontal="left" vertical="top"/>
    </xf>
    <xf numFmtId="0" fontId="17" fillId="0" borderId="4" xfId="1" applyFont="1" applyBorder="1" applyAlignment="1">
      <alignment horizontal="left" vertical="top"/>
    </xf>
    <xf numFmtId="0" fontId="17" fillId="0" borderId="6" xfId="1" applyFont="1" applyBorder="1" applyAlignment="1">
      <alignment horizontal="left" vertical="top"/>
    </xf>
    <xf numFmtId="0" fontId="17" fillId="0" borderId="25" xfId="1" applyFont="1" applyBorder="1" applyAlignment="1">
      <alignment horizontal="left" vertical="top" wrapText="1"/>
    </xf>
    <xf numFmtId="0" fontId="5" fillId="0" borderId="26" xfId="2" applyFont="1" applyBorder="1" applyAlignment="1">
      <alignment horizontal="left" vertical="top"/>
    </xf>
    <xf numFmtId="14" fontId="5" fillId="0" borderId="27" xfId="2" applyNumberFormat="1" applyFont="1" applyBorder="1" applyAlignment="1">
      <alignment vertical="top"/>
    </xf>
    <xf numFmtId="0" fontId="17" fillId="0" borderId="1" xfId="1" applyFont="1" applyBorder="1" applyAlignment="1">
      <alignment horizontal="left" vertical="top"/>
    </xf>
    <xf numFmtId="0" fontId="5" fillId="0" borderId="3" xfId="8" applyFont="1" applyBorder="1" applyAlignment="1">
      <alignment horizontal="left" vertical="top" wrapText="1"/>
    </xf>
    <xf numFmtId="0" fontId="17" fillId="0" borderId="7" xfId="1" applyFont="1" applyBorder="1" applyAlignment="1">
      <alignment horizontal="left" vertical="top" wrapText="1"/>
    </xf>
    <xf numFmtId="0" fontId="5" fillId="5" borderId="20" xfId="0" applyFont="1" applyFill="1" applyBorder="1" applyAlignment="1">
      <alignment horizontal="left" vertical="top" wrapText="1"/>
    </xf>
    <xf numFmtId="0" fontId="5" fillId="5" borderId="3" xfId="0" applyFont="1" applyFill="1" applyBorder="1" applyAlignment="1">
      <alignment horizontal="left" vertical="top" wrapText="1"/>
    </xf>
    <xf numFmtId="0" fontId="5" fillId="5" borderId="12" xfId="0" applyFont="1" applyFill="1" applyBorder="1" applyAlignment="1">
      <alignment horizontal="left" vertical="top" wrapText="1"/>
    </xf>
    <xf numFmtId="0" fontId="5" fillId="5" borderId="7" xfId="0" applyFont="1" applyFill="1" applyBorder="1" applyAlignment="1">
      <alignment horizontal="left" vertical="top" wrapText="1"/>
    </xf>
    <xf numFmtId="0" fontId="5" fillId="5" borderId="9" xfId="0" applyFont="1" applyFill="1" applyBorder="1" applyAlignment="1">
      <alignment horizontal="left" vertical="top" wrapText="1"/>
    </xf>
    <xf numFmtId="0" fontId="5" fillId="5" borderId="13" xfId="0" applyFont="1" applyFill="1" applyBorder="1" applyAlignment="1">
      <alignment horizontal="left" vertical="top" wrapText="1"/>
    </xf>
    <xf numFmtId="0" fontId="5" fillId="4" borderId="8" xfId="0" applyFont="1" applyFill="1" applyBorder="1" applyAlignment="1">
      <alignment horizontal="left" vertical="top" wrapText="1"/>
    </xf>
    <xf numFmtId="0" fontId="5" fillId="4" borderId="20" xfId="0" applyFont="1" applyFill="1" applyBorder="1" applyAlignment="1">
      <alignment horizontal="left" vertical="top" wrapText="1"/>
    </xf>
    <xf numFmtId="0" fontId="5" fillId="4" borderId="3" xfId="0" applyFont="1" applyFill="1" applyBorder="1" applyAlignment="1">
      <alignment horizontal="left" vertical="top" wrapText="1"/>
    </xf>
    <xf numFmtId="0" fontId="5" fillId="4" borderId="9" xfId="0" applyFont="1" applyFill="1" applyBorder="1" applyAlignment="1">
      <alignment horizontal="left" vertical="top" wrapText="1"/>
    </xf>
    <xf numFmtId="0" fontId="5" fillId="4" borderId="13" xfId="0" applyFont="1" applyFill="1" applyBorder="1" applyAlignment="1">
      <alignment horizontal="left" vertical="top" wrapText="1"/>
    </xf>
    <xf numFmtId="0" fontId="5" fillId="4" borderId="7" xfId="0" applyFont="1" applyFill="1" applyBorder="1" applyAlignment="1">
      <alignment horizontal="left" vertical="top" wrapText="1"/>
    </xf>
    <xf numFmtId="0" fontId="5" fillId="0" borderId="3" xfId="0" applyFont="1" applyBorder="1" applyAlignment="1">
      <alignment horizontal="left" vertical="top" wrapText="1"/>
    </xf>
    <xf numFmtId="0" fontId="5" fillId="0" borderId="21" xfId="0" applyFont="1" applyBorder="1" applyAlignment="1">
      <alignment horizontal="left" vertical="top" wrapText="1"/>
    </xf>
    <xf numFmtId="0" fontId="5" fillId="0" borderId="34" xfId="0" applyFont="1" applyBorder="1" applyAlignment="1">
      <alignment horizontal="left" vertical="top" wrapText="1"/>
    </xf>
    <xf numFmtId="0" fontId="5" fillId="0" borderId="9" xfId="0" applyFont="1" applyBorder="1" applyAlignment="1">
      <alignment horizontal="left" vertical="top" wrapText="1"/>
    </xf>
    <xf numFmtId="0" fontId="5" fillId="0" borderId="7" xfId="0" applyFont="1" applyBorder="1" applyAlignment="1">
      <alignment horizontal="left" vertical="top" wrapText="1"/>
    </xf>
    <xf numFmtId="0" fontId="5" fillId="0" borderId="20" xfId="0" applyFont="1" applyBorder="1" applyAlignment="1">
      <alignment horizontal="left" vertical="top" wrapText="1"/>
    </xf>
    <xf numFmtId="0" fontId="5" fillId="0" borderId="12"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0" xfId="2" applyFont="1" applyAlignment="1">
      <alignment horizontal="left" wrapText="1"/>
    </xf>
    <xf numFmtId="0" fontId="5" fillId="0" borderId="8" xfId="0" applyFont="1" applyBorder="1" applyAlignment="1">
      <alignment horizontal="left" vertical="top" wrapText="1"/>
    </xf>
    <xf numFmtId="0" fontId="5" fillId="5" borderId="0" xfId="0" applyFont="1" applyFill="1" applyAlignment="1">
      <alignment horizontal="left" vertical="top" wrapText="1"/>
    </xf>
    <xf numFmtId="0" fontId="5" fillId="4" borderId="12" xfId="0" applyFont="1" applyFill="1" applyBorder="1" applyAlignment="1">
      <alignment horizontal="left" vertical="top" wrapText="1"/>
    </xf>
    <xf numFmtId="0" fontId="5" fillId="4" borderId="0" xfId="0" applyFont="1" applyFill="1" applyAlignment="1">
      <alignment horizontal="left" vertical="top" wrapText="1"/>
    </xf>
    <xf numFmtId="0" fontId="23" fillId="4" borderId="7" xfId="0" applyFont="1" applyFill="1" applyBorder="1" applyAlignment="1">
      <alignment horizontal="left" vertical="top" wrapText="1"/>
    </xf>
    <xf numFmtId="0" fontId="5" fillId="4" borderId="14" xfId="0" applyFont="1" applyFill="1" applyBorder="1" applyAlignment="1">
      <alignment horizontal="left" vertical="top" wrapText="1"/>
    </xf>
    <xf numFmtId="0" fontId="5" fillId="4" borderId="15" xfId="0" applyFont="1" applyFill="1" applyBorder="1" applyAlignment="1">
      <alignment horizontal="left" vertical="top" wrapText="1"/>
    </xf>
    <xf numFmtId="0" fontId="5" fillId="0" borderId="15" xfId="0" applyFont="1" applyBorder="1" applyAlignment="1">
      <alignment horizontal="left" vertical="top" wrapText="1"/>
    </xf>
    <xf numFmtId="0" fontId="5" fillId="0" borderId="11" xfId="0" applyFont="1" applyBorder="1" applyAlignment="1">
      <alignment horizontal="left" vertical="top" wrapText="1"/>
    </xf>
    <xf numFmtId="0" fontId="22" fillId="0" borderId="0" xfId="8" applyFont="1" applyAlignment="1">
      <alignment horizontal="left" vertical="top" wrapText="1"/>
    </xf>
    <xf numFmtId="0" fontId="22" fillId="0" borderId="9" xfId="8" applyFont="1" applyBorder="1" applyAlignment="1">
      <alignment horizontal="left" vertical="top" wrapText="1"/>
    </xf>
    <xf numFmtId="0" fontId="17" fillId="5" borderId="1" xfId="0" applyFont="1" applyFill="1" applyBorder="1" applyAlignment="1">
      <alignment horizontal="left" vertical="top" wrapText="1" shrinkToFit="1"/>
    </xf>
    <xf numFmtId="176" fontId="5" fillId="5" borderId="1" xfId="2" applyNumberFormat="1" applyFont="1" applyFill="1" applyBorder="1" applyAlignment="1">
      <alignment horizontal="left" vertical="top" wrapText="1"/>
    </xf>
    <xf numFmtId="14" fontId="5" fillId="5" borderId="1" xfId="2" applyNumberFormat="1" applyFont="1" applyFill="1" applyBorder="1" applyAlignment="1">
      <alignment horizontal="left" vertical="top" wrapText="1"/>
    </xf>
    <xf numFmtId="0" fontId="22" fillId="5" borderId="7" xfId="8" applyFont="1" applyFill="1" applyBorder="1" applyAlignment="1">
      <alignment horizontal="left" vertical="top" wrapText="1"/>
    </xf>
    <xf numFmtId="0" fontId="22" fillId="5" borderId="15" xfId="8" applyFont="1" applyFill="1" applyBorder="1" applyAlignment="1">
      <alignment horizontal="left" vertical="top" wrapText="1"/>
    </xf>
    <xf numFmtId="0" fontId="5" fillId="5" borderId="21" xfId="0" applyFont="1" applyFill="1" applyBorder="1" applyAlignment="1">
      <alignment horizontal="left" vertical="top" wrapText="1"/>
    </xf>
    <xf numFmtId="0" fontId="5" fillId="5" borderId="34" xfId="0" applyFont="1" applyFill="1" applyBorder="1" applyAlignment="1">
      <alignment horizontal="left" vertical="top" wrapText="1"/>
    </xf>
    <xf numFmtId="49" fontId="17" fillId="5" borderId="28" xfId="1" applyNumberFormat="1" applyFont="1" applyFill="1" applyBorder="1" applyAlignment="1">
      <alignment horizontal="left" vertical="top" wrapText="1"/>
    </xf>
    <xf numFmtId="0" fontId="5" fillId="5" borderId="20" xfId="0" applyFont="1" applyFill="1" applyBorder="1" applyAlignment="1">
      <alignment vertical="top" wrapText="1"/>
    </xf>
    <xf numFmtId="0" fontId="5" fillId="5" borderId="20" xfId="8" applyFont="1" applyFill="1" applyBorder="1" applyAlignment="1">
      <alignment vertical="top" wrapText="1"/>
    </xf>
    <xf numFmtId="49" fontId="17" fillId="0" borderId="3" xfId="1" applyNumberFormat="1" applyFont="1" applyBorder="1" applyAlignment="1">
      <alignment horizontal="left" vertical="top" wrapText="1"/>
    </xf>
    <xf numFmtId="0" fontId="5" fillId="0" borderId="7" xfId="0" applyFont="1" applyBorder="1" applyAlignment="1">
      <alignment vertical="top" wrapText="1"/>
    </xf>
    <xf numFmtId="0" fontId="5" fillId="5" borderId="7" xfId="0" applyFont="1" applyFill="1" applyBorder="1" applyAlignment="1">
      <alignment vertical="top" wrapText="1"/>
    </xf>
    <xf numFmtId="0" fontId="5" fillId="5" borderId="10" xfId="0" applyFont="1" applyFill="1" applyBorder="1" applyAlignment="1">
      <alignment horizontal="left" vertical="top" wrapText="1"/>
    </xf>
    <xf numFmtId="0" fontId="5" fillId="5" borderId="8" xfId="0" applyFont="1" applyFill="1" applyBorder="1" applyAlignment="1">
      <alignment horizontal="left" vertical="top" wrapText="1"/>
    </xf>
    <xf numFmtId="0" fontId="5" fillId="5" borderId="15" xfId="0" applyFont="1" applyFill="1" applyBorder="1" applyAlignment="1">
      <alignment horizontal="left" vertical="top" wrapText="1"/>
    </xf>
    <xf numFmtId="0" fontId="5" fillId="0" borderId="3" xfId="0" applyFont="1" applyBorder="1" applyAlignment="1">
      <alignment vertical="top" wrapText="1"/>
    </xf>
    <xf numFmtId="49" fontId="5" fillId="5" borderId="1" xfId="8" applyNumberFormat="1" applyFont="1" applyFill="1" applyBorder="1" applyAlignment="1">
      <alignment horizontal="left" vertical="top" wrapText="1"/>
    </xf>
    <xf numFmtId="49" fontId="17" fillId="5" borderId="22" xfId="1" applyNumberFormat="1" applyFont="1" applyFill="1" applyBorder="1" applyAlignment="1">
      <alignment horizontal="left" vertical="top" wrapText="1"/>
    </xf>
    <xf numFmtId="0" fontId="5" fillId="5" borderId="23" xfId="2" applyFont="1" applyFill="1" applyBorder="1" applyAlignment="1">
      <alignment horizontal="left" vertical="top" wrapText="1"/>
    </xf>
    <xf numFmtId="0" fontId="5" fillId="5" borderId="24" xfId="2" applyFont="1" applyFill="1" applyBorder="1" applyAlignment="1">
      <alignment horizontal="left" vertical="top" wrapText="1"/>
    </xf>
    <xf numFmtId="0" fontId="5" fillId="5" borderId="11" xfId="0" applyFont="1" applyFill="1" applyBorder="1" applyAlignment="1">
      <alignment vertical="top" wrapText="1"/>
    </xf>
    <xf numFmtId="0" fontId="5" fillId="5" borderId="29" xfId="2" applyFont="1" applyFill="1" applyBorder="1" applyAlignment="1">
      <alignment horizontal="left" vertical="top" wrapText="1"/>
    </xf>
    <xf numFmtId="0" fontId="5" fillId="5" borderId="30" xfId="2" applyFont="1" applyFill="1" applyBorder="1" applyAlignment="1">
      <alignment horizontal="left" vertical="top" wrapText="1"/>
    </xf>
    <xf numFmtId="0" fontId="5" fillId="0" borderId="3" xfId="2" applyFont="1" applyBorder="1" applyAlignment="1">
      <alignment horizontal="left" vertical="top" wrapText="1"/>
    </xf>
    <xf numFmtId="0" fontId="5" fillId="5" borderId="6" xfId="0" applyFont="1" applyFill="1" applyBorder="1" applyAlignment="1">
      <alignment vertical="top" wrapText="1"/>
    </xf>
    <xf numFmtId="0" fontId="5" fillId="0" borderId="45" xfId="2" applyFont="1" applyBorder="1" applyAlignment="1">
      <alignment horizontal="left" vertical="top" wrapText="1"/>
    </xf>
    <xf numFmtId="0" fontId="5" fillId="0" borderId="22" xfId="2" applyFont="1" applyBorder="1" applyAlignment="1">
      <alignment horizontal="left" vertical="top" wrapText="1"/>
    </xf>
    <xf numFmtId="0" fontId="5" fillId="5" borderId="12" xfId="0" applyFont="1" applyFill="1" applyBorder="1" applyAlignment="1">
      <alignment vertical="top" wrapText="1"/>
    </xf>
    <xf numFmtId="0" fontId="5" fillId="0" borderId="3" xfId="8" applyFont="1" applyBorder="1" applyAlignment="1">
      <alignment vertical="top" wrapText="1"/>
    </xf>
    <xf numFmtId="0" fontId="5" fillId="0" borderId="7" xfId="8" applyFont="1" applyBorder="1" applyAlignment="1">
      <alignment vertical="top" wrapText="1"/>
    </xf>
    <xf numFmtId="0" fontId="5" fillId="5" borderId="11" xfId="0" applyFont="1" applyFill="1" applyBorder="1" applyAlignment="1">
      <alignment horizontal="left" vertical="top" wrapText="1"/>
    </xf>
    <xf numFmtId="0" fontId="5" fillId="5" borderId="0" xfId="2" applyFont="1" applyFill="1" applyAlignment="1">
      <alignment horizontal="left" wrapText="1"/>
    </xf>
    <xf numFmtId="0" fontId="17" fillId="0" borderId="20" xfId="1" applyFont="1" applyBorder="1" applyAlignment="1">
      <alignment horizontal="left" vertical="top"/>
    </xf>
    <xf numFmtId="0" fontId="17" fillId="5" borderId="11" xfId="1" applyFont="1" applyFill="1" applyBorder="1" applyAlignment="1">
      <alignment horizontal="left" vertical="top"/>
    </xf>
    <xf numFmtId="49" fontId="5" fillId="5" borderId="26" xfId="2" applyNumberFormat="1" applyFont="1" applyFill="1" applyBorder="1" applyAlignment="1">
      <alignment horizontal="left" vertical="top" wrapText="1"/>
    </xf>
    <xf numFmtId="0" fontId="5" fillId="5" borderId="27" xfId="2" applyFont="1" applyFill="1" applyBorder="1" applyAlignment="1">
      <alignment vertical="top" wrapText="1"/>
    </xf>
    <xf numFmtId="0" fontId="5" fillId="5" borderId="3" xfId="8" applyFont="1" applyFill="1" applyBorder="1" applyAlignment="1">
      <alignment horizontal="left" vertical="top" wrapText="1"/>
    </xf>
    <xf numFmtId="0" fontId="5" fillId="5" borderId="6" xfId="8" applyFont="1" applyFill="1" applyBorder="1" applyAlignment="1">
      <alignment horizontal="left" vertical="top" wrapText="1"/>
    </xf>
    <xf numFmtId="0" fontId="5" fillId="5" borderId="21" xfId="8" applyFont="1" applyFill="1" applyBorder="1" applyAlignment="1">
      <alignment horizontal="left" vertical="top" wrapText="1"/>
    </xf>
    <xf numFmtId="0" fontId="17" fillId="5" borderId="22" xfId="1" applyFont="1" applyFill="1" applyBorder="1" applyAlignment="1">
      <alignment horizontal="left" vertical="top"/>
    </xf>
    <xf numFmtId="31" fontId="11" fillId="0" borderId="0" xfId="3" quotePrefix="1" applyNumberFormat="1" applyFont="1" applyAlignment="1">
      <alignment horizontal="center" vertical="center"/>
    </xf>
    <xf numFmtId="178" fontId="5" fillId="0" borderId="4" xfId="5" applyNumberFormat="1" applyFont="1" applyBorder="1" applyAlignment="1">
      <alignment horizontal="right" vertical="top"/>
    </xf>
    <xf numFmtId="178" fontId="5" fillId="0" borderId="5" xfId="5" applyNumberFormat="1" applyFont="1" applyBorder="1" applyAlignment="1">
      <alignment horizontal="right" vertical="top"/>
    </xf>
    <xf numFmtId="178" fontId="5" fillId="0" borderId="6" xfId="5" applyNumberFormat="1" applyFont="1" applyBorder="1" applyAlignment="1">
      <alignment horizontal="right" vertical="top"/>
    </xf>
    <xf numFmtId="0" fontId="5" fillId="0" borderId="8" xfId="3" applyBorder="1" applyAlignment="1">
      <alignment horizontal="center" vertical="center"/>
    </xf>
    <xf numFmtId="0" fontId="5" fillId="0" borderId="11" xfId="3" applyBorder="1" applyAlignment="1">
      <alignment horizontal="center" vertical="center"/>
    </xf>
    <xf numFmtId="0" fontId="5" fillId="0" borderId="10" xfId="3" applyBorder="1" applyAlignment="1">
      <alignment horizontal="center" vertical="center"/>
    </xf>
    <xf numFmtId="0" fontId="5" fillId="2" borderId="4" xfId="4" applyFill="1" applyBorder="1" applyAlignment="1">
      <alignment horizontal="left" vertical="top"/>
    </xf>
    <xf numFmtId="0" fontId="5" fillId="2" borderId="5" xfId="4" applyFill="1" applyBorder="1" applyAlignment="1">
      <alignment horizontal="left" vertical="top"/>
    </xf>
    <xf numFmtId="0" fontId="5" fillId="2" borderId="6" xfId="4" applyFill="1" applyBorder="1" applyAlignment="1">
      <alignment horizontal="left" vertical="top"/>
    </xf>
    <xf numFmtId="0" fontId="5" fillId="0" borderId="4" xfId="7" applyBorder="1" applyAlignment="1">
      <alignment horizontal="left" vertical="top"/>
    </xf>
    <xf numFmtId="0" fontId="5" fillId="0" borderId="5" xfId="7" applyBorder="1" applyAlignment="1">
      <alignment horizontal="left" vertical="top"/>
    </xf>
    <xf numFmtId="0" fontId="5" fillId="0" borderId="6" xfId="7" applyBorder="1" applyAlignment="1">
      <alignment horizontal="left" vertical="top"/>
    </xf>
    <xf numFmtId="0" fontId="5" fillId="0" borderId="4" xfId="4" applyBorder="1" applyAlignment="1">
      <alignment horizontal="left" vertical="top"/>
    </xf>
    <xf numFmtId="0" fontId="5" fillId="0" borderId="5" xfId="4" applyBorder="1" applyAlignment="1">
      <alignment horizontal="left" vertical="top"/>
    </xf>
    <xf numFmtId="0" fontId="5" fillId="0" borderId="6" xfId="4" applyBorder="1" applyAlignment="1">
      <alignment horizontal="left" vertical="top"/>
    </xf>
    <xf numFmtId="0" fontId="5" fillId="2" borderId="8" xfId="4" applyFill="1" applyBorder="1" applyAlignment="1">
      <alignment horizontal="left" vertical="top"/>
    </xf>
    <xf numFmtId="0" fontId="5" fillId="2" borderId="10" xfId="4" applyFill="1" applyBorder="1" applyAlignment="1">
      <alignment horizontal="left" vertical="top"/>
    </xf>
    <xf numFmtId="0" fontId="5" fillId="2" borderId="11" xfId="4" applyFill="1" applyBorder="1" applyAlignment="1">
      <alignment horizontal="left" vertical="top"/>
    </xf>
    <xf numFmtId="0" fontId="5" fillId="2" borderId="9" xfId="4" applyFill="1" applyBorder="1" applyAlignment="1">
      <alignment horizontal="left" vertical="top"/>
    </xf>
    <xf numFmtId="0" fontId="5" fillId="2" borderId="0" xfId="4" applyFill="1" applyAlignment="1">
      <alignment horizontal="left" vertical="top"/>
    </xf>
    <xf numFmtId="0" fontId="5" fillId="2" borderId="12" xfId="4" applyFill="1" applyBorder="1" applyAlignment="1">
      <alignment horizontal="left" vertical="top"/>
    </xf>
    <xf numFmtId="0" fontId="5" fillId="2" borderId="13" xfId="4" applyFill="1" applyBorder="1" applyAlignment="1">
      <alignment horizontal="left" vertical="top"/>
    </xf>
    <xf numFmtId="0" fontId="5" fillId="2" borderId="14" xfId="4" applyFill="1" applyBorder="1" applyAlignment="1">
      <alignment horizontal="left" vertical="top"/>
    </xf>
    <xf numFmtId="0" fontId="5" fillId="2" borderId="15" xfId="4" applyFill="1" applyBorder="1" applyAlignment="1">
      <alignment horizontal="left" vertical="top"/>
    </xf>
    <xf numFmtId="0" fontId="5" fillId="0" borderId="8" xfId="4" applyBorder="1" applyAlignment="1">
      <alignment horizontal="left" vertical="top" wrapText="1"/>
    </xf>
    <xf numFmtId="0" fontId="5" fillId="0" borderId="10" xfId="4" applyBorder="1" applyAlignment="1">
      <alignment horizontal="left" vertical="top" wrapText="1"/>
    </xf>
    <xf numFmtId="0" fontId="5" fillId="0" borderId="11" xfId="4" applyBorder="1" applyAlignment="1">
      <alignment horizontal="left" vertical="top" wrapText="1"/>
    </xf>
    <xf numFmtId="0" fontId="5" fillId="0" borderId="9" xfId="4" applyBorder="1" applyAlignment="1">
      <alignment horizontal="left" vertical="top" wrapText="1"/>
    </xf>
    <xf numFmtId="0" fontId="5" fillId="0" borderId="0" xfId="4" applyAlignment="1">
      <alignment horizontal="left" vertical="top" wrapText="1"/>
    </xf>
    <xf numFmtId="0" fontId="5" fillId="0" borderId="12" xfId="4" applyBorder="1" applyAlignment="1">
      <alignment horizontal="left" vertical="top" wrapText="1"/>
    </xf>
    <xf numFmtId="0" fontId="5" fillId="0" borderId="13" xfId="4" applyBorder="1" applyAlignment="1">
      <alignment horizontal="left" vertical="top" wrapText="1"/>
    </xf>
    <xf numFmtId="0" fontId="5" fillId="0" borderId="14" xfId="4" applyBorder="1" applyAlignment="1">
      <alignment horizontal="left" vertical="top" wrapText="1"/>
    </xf>
    <xf numFmtId="0" fontId="5" fillId="0" borderId="15" xfId="4" applyBorder="1" applyAlignment="1">
      <alignment horizontal="left" vertical="top" wrapText="1"/>
    </xf>
    <xf numFmtId="14" fontId="5" fillId="0" borderId="4" xfId="4" applyNumberFormat="1" applyBorder="1" applyAlignment="1">
      <alignment horizontal="left" vertical="top"/>
    </xf>
    <xf numFmtId="14" fontId="5" fillId="0" borderId="5" xfId="4" applyNumberFormat="1" applyBorder="1" applyAlignment="1">
      <alignment horizontal="left" vertical="top"/>
    </xf>
    <xf numFmtId="14" fontId="5" fillId="0" borderId="6" xfId="4" applyNumberFormat="1" applyBorder="1" applyAlignment="1">
      <alignment horizontal="left" vertical="top"/>
    </xf>
    <xf numFmtId="0" fontId="5" fillId="0" borderId="4" xfId="3" applyBorder="1" applyAlignment="1">
      <alignment horizontal="center" vertical="top"/>
    </xf>
    <xf numFmtId="0" fontId="5" fillId="0" borderId="6" xfId="3" applyBorder="1" applyAlignment="1">
      <alignment horizontal="center" vertical="top"/>
    </xf>
    <xf numFmtId="14" fontId="5" fillId="0" borderId="4" xfId="3" applyNumberFormat="1" applyBorder="1" applyAlignment="1">
      <alignment horizontal="center" vertical="top"/>
    </xf>
    <xf numFmtId="14" fontId="5" fillId="0" borderId="5" xfId="3" applyNumberFormat="1" applyBorder="1" applyAlignment="1">
      <alignment horizontal="center" vertical="top"/>
    </xf>
    <xf numFmtId="14" fontId="5" fillId="0" borderId="6" xfId="3" applyNumberFormat="1" applyBorder="1" applyAlignment="1">
      <alignment horizontal="center" vertical="top"/>
    </xf>
    <xf numFmtId="0" fontId="5" fillId="0" borderId="5" xfId="3" applyBorder="1" applyAlignment="1">
      <alignment horizontal="center" vertical="top"/>
    </xf>
    <xf numFmtId="0" fontId="5" fillId="0" borderId="4" xfId="3" applyBorder="1" applyAlignment="1">
      <alignment horizontal="left" vertical="top"/>
    </xf>
    <xf numFmtId="0" fontId="5" fillId="0" borderId="5" xfId="3" applyBorder="1" applyAlignment="1">
      <alignment horizontal="left" vertical="top"/>
    </xf>
    <xf numFmtId="0" fontId="5" fillId="0" borderId="6" xfId="3" applyBorder="1" applyAlignment="1">
      <alignment horizontal="left" vertical="top"/>
    </xf>
    <xf numFmtId="0" fontId="5" fillId="0" borderId="4" xfId="3" applyBorder="1" applyAlignment="1">
      <alignment horizontal="left" vertical="top" wrapText="1"/>
    </xf>
    <xf numFmtId="0" fontId="5" fillId="0" borderId="5" xfId="3" applyBorder="1" applyAlignment="1">
      <alignment horizontal="left" vertical="top" wrapText="1"/>
    </xf>
    <xf numFmtId="0" fontId="5" fillId="0" borderId="6" xfId="3" applyBorder="1" applyAlignment="1">
      <alignment horizontal="left" vertical="top" wrapText="1"/>
    </xf>
    <xf numFmtId="0" fontId="5" fillId="0" borderId="17" xfId="3" applyBorder="1" applyAlignment="1">
      <alignment horizontal="center" vertical="top"/>
    </xf>
    <xf numFmtId="0" fontId="5" fillId="0" borderId="18" xfId="3" applyBorder="1" applyAlignment="1">
      <alignment horizontal="center" vertical="top"/>
    </xf>
    <xf numFmtId="14" fontId="5" fillId="0" borderId="17" xfId="3" quotePrefix="1" applyNumberFormat="1" applyBorder="1" applyAlignment="1">
      <alignment horizontal="center" vertical="top"/>
    </xf>
    <xf numFmtId="14" fontId="5" fillId="0" borderId="19" xfId="3" quotePrefix="1" applyNumberFormat="1" applyBorder="1" applyAlignment="1">
      <alignment horizontal="center" vertical="top"/>
    </xf>
    <xf numFmtId="14" fontId="5" fillId="0" borderId="18" xfId="3" quotePrefix="1" applyNumberFormat="1" applyBorder="1" applyAlignment="1">
      <alignment horizontal="center" vertical="top"/>
    </xf>
    <xf numFmtId="14" fontId="5" fillId="0" borderId="17" xfId="3" applyNumberFormat="1" applyBorder="1" applyAlignment="1">
      <alignment horizontal="center" vertical="top"/>
    </xf>
    <xf numFmtId="0" fontId="5" fillId="0" borderId="19" xfId="3" applyBorder="1" applyAlignment="1">
      <alignment horizontal="center" vertical="top"/>
    </xf>
    <xf numFmtId="0" fontId="5" fillId="0" borderId="17" xfId="3" applyBorder="1" applyAlignment="1">
      <alignment horizontal="left" vertical="top"/>
    </xf>
    <xf numFmtId="0" fontId="5" fillId="0" borderId="19" xfId="3" applyBorder="1" applyAlignment="1">
      <alignment horizontal="left" vertical="top"/>
    </xf>
    <xf numFmtId="0" fontId="5" fillId="0" borderId="18" xfId="3" applyBorder="1" applyAlignment="1">
      <alignment horizontal="left" vertical="top"/>
    </xf>
    <xf numFmtId="0" fontId="5" fillId="0" borderId="17" xfId="3" applyBorder="1" applyAlignment="1">
      <alignment horizontal="left" vertical="top" wrapText="1"/>
    </xf>
    <xf numFmtId="0" fontId="5" fillId="0" borderId="19" xfId="3" applyBorder="1" applyAlignment="1">
      <alignment horizontal="left" vertical="top" wrapText="1"/>
    </xf>
    <xf numFmtId="0" fontId="5" fillId="0" borderId="18" xfId="3" applyBorder="1" applyAlignment="1">
      <alignment horizontal="left" vertical="top" wrapText="1"/>
    </xf>
    <xf numFmtId="0" fontId="15" fillId="0" borderId="5" xfId="3" applyFont="1" applyBorder="1" applyAlignment="1">
      <alignment horizontal="left" vertical="top"/>
    </xf>
    <xf numFmtId="0" fontId="5" fillId="5" borderId="3" xfId="8" applyFont="1" applyFill="1" applyBorder="1" applyAlignment="1">
      <alignment horizontal="left" vertical="top" wrapText="1"/>
    </xf>
    <xf numFmtId="0" fontId="5" fillId="5" borderId="3" xfId="0" applyFont="1" applyFill="1" applyBorder="1" applyAlignment="1">
      <alignment horizontal="left" vertical="top" wrapText="1"/>
    </xf>
    <xf numFmtId="0" fontId="17" fillId="5" borderId="4" xfId="1" applyFont="1" applyFill="1" applyBorder="1" applyAlignment="1">
      <alignment horizontal="left" vertical="top" wrapText="1"/>
    </xf>
    <xf numFmtId="0" fontId="0" fillId="5" borderId="6" xfId="0" applyFill="1" applyBorder="1" applyAlignment="1">
      <alignment horizontal="left" vertical="top" wrapText="1"/>
    </xf>
  </cellXfs>
  <cellStyles count="10">
    <cellStyle name="パーセント 2" xfId="6" xr:uid="{00000000-0005-0000-0000-000000000000}"/>
    <cellStyle name="ハイパーリンク 2" xfId="9" xr:uid="{7A0F3C4E-1288-44AC-A38C-3A49F33C7DB3}"/>
    <cellStyle name="標準" xfId="0" builtinId="0"/>
    <cellStyle name="標準 12" xfId="8" xr:uid="{07D0604F-7586-4D15-918E-456E0E04436E}"/>
    <cellStyle name="標準 2" xfId="1" xr:uid="{00000000-0005-0000-0000-000002000000}"/>
    <cellStyle name="標準 2 2" xfId="5" xr:uid="{00000000-0005-0000-0000-000003000000}"/>
    <cellStyle name="標準 3" xfId="3" xr:uid="{00000000-0005-0000-0000-000004000000}"/>
    <cellStyle name="標準_画面標準" xfId="4" xr:uid="{00000000-0005-0000-0000-000005000000}"/>
    <cellStyle name="標準_画面標準定義" xfId="7" xr:uid="{00000000-0005-0000-0000-000006000000}"/>
    <cellStyle name="標準_方式設計書(14.開発標準：D03サンプル_自動テスト仕様書：ＤＢアクセス)_V1.00" xfId="2" xr:uid="{00000000-0005-0000-0000-000007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C7B15EAA-E7C5-42B2-9CCE-D1AEF18E6C97}">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53375" y="285750"/>
          <a:ext cx="1400175"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画面</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プロジェクト管理システム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プロジェクト管理</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プロジェクト登録</a:t>
          </a:r>
          <a:endParaRPr lang="en-US" altLang="ja-JP" sz="1800" b="1"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11</xdr:row>
      <xdr:rowOff>0</xdr:rowOff>
    </xdr:from>
    <xdr:to>
      <xdr:col>12</xdr:col>
      <xdr:colOff>575468</xdr:colOff>
      <xdr:row>21</xdr:row>
      <xdr:rowOff>66674</xdr:rowOff>
    </xdr:to>
    <xdr:sp macro="" textlink="">
      <xdr:nvSpPr>
        <xdr:cNvPr id="4" name="正方形/長方形 3">
          <a:extLst>
            <a:ext uri="{FF2B5EF4-FFF2-40B4-BE49-F238E27FC236}">
              <a16:creationId xmlns:a16="http://schemas.microsoft.com/office/drawing/2014/main" id="{3BB89081-66D0-44CF-9396-A900721332A8}"/>
            </a:ext>
          </a:extLst>
        </xdr:cNvPr>
        <xdr:cNvSpPr/>
      </xdr:nvSpPr>
      <xdr:spPr>
        <a:xfrm>
          <a:off x="3270250" y="1689100"/>
          <a:ext cx="10900568" cy="3140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000" b="0" i="0">
              <a:solidFill>
                <a:schemeClr val="lt1"/>
              </a:solidFill>
              <a:effectLst/>
              <a:latin typeface="+mn-lt"/>
              <a:ea typeface="+mn-ea"/>
              <a:cs typeface="+mn-cs"/>
            </a:rPr>
            <a:t>クラス単体テストで確認が必要な観点なし。取引単体テストで品質担保する。</a:t>
          </a:r>
          <a:endParaRPr kumimoji="1" lang="ja-JP" altLang="en-US" sz="4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625" defaultRowHeight="13.5"/>
  <cols>
    <col min="1" max="16384" width="6.6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16</v>
      </c>
    </row>
    <row r="24" spans="6:11" ht="13.5" customHeight="1">
      <c r="F24" s="5"/>
      <c r="G24" s="5"/>
      <c r="H24" s="5"/>
    </row>
    <row r="25" spans="6:11" ht="18" customHeight="1">
      <c r="F25" s="5"/>
      <c r="G25" s="5"/>
      <c r="H25" s="5"/>
      <c r="I25" s="269" t="str">
        <f ca="1">IF(INDIRECT("変更履歴!D8")="","",MAX(INDIRECT("変更履歴!D8"):INDIRECT("変更履歴!F33")))</f>
        <v/>
      </c>
      <c r="J25" s="269"/>
      <c r="K25" s="269"/>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8.75">
      <c r="F32" s="5"/>
      <c r="G32" s="8"/>
      <c r="H32" s="5"/>
      <c r="J32" s="9" t="s">
        <v>17</v>
      </c>
    </row>
    <row r="33" spans="6:10" ht="18.75">
      <c r="F33" s="5"/>
      <c r="H33" s="5"/>
      <c r="J33" s="10"/>
    </row>
    <row r="34" spans="6:10" ht="18.75">
      <c r="F34" s="5"/>
      <c r="H34" s="5"/>
      <c r="J34" s="9" t="s">
        <v>18</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625" defaultRowHeight="11.25"/>
  <cols>
    <col min="1" max="16384" width="3.625" style="22"/>
  </cols>
  <sheetData>
    <row r="1" spans="1:40" s="13" customFormat="1" ht="12" customHeight="1">
      <c r="A1" s="276" t="s">
        <v>19</v>
      </c>
      <c r="B1" s="277"/>
      <c r="C1" s="277"/>
      <c r="D1" s="278"/>
      <c r="E1" s="279" t="s">
        <v>564</v>
      </c>
      <c r="F1" s="280"/>
      <c r="G1" s="280"/>
      <c r="H1" s="280"/>
      <c r="I1" s="280"/>
      <c r="J1" s="280"/>
      <c r="K1" s="280"/>
      <c r="L1" s="280"/>
      <c r="M1" s="280"/>
      <c r="N1" s="281"/>
      <c r="O1" s="285" t="s">
        <v>20</v>
      </c>
      <c r="P1" s="286"/>
      <c r="Q1" s="286"/>
      <c r="R1" s="287"/>
      <c r="S1" s="294" t="s">
        <v>1044</v>
      </c>
      <c r="T1" s="295"/>
      <c r="U1" s="295"/>
      <c r="V1" s="295"/>
      <c r="W1" s="295"/>
      <c r="X1" s="295"/>
      <c r="Y1" s="295"/>
      <c r="Z1" s="296"/>
      <c r="AA1" s="276" t="s">
        <v>21</v>
      </c>
      <c r="AB1" s="278"/>
      <c r="AC1" s="303" t="str">
        <f>IF(AF8="","",AF8)</f>
        <v>TIS</v>
      </c>
      <c r="AD1" s="304"/>
      <c r="AE1" s="304"/>
      <c r="AF1" s="305"/>
      <c r="AG1" s="270"/>
      <c r="AH1" s="271"/>
      <c r="AI1" s="272"/>
      <c r="AJ1" s="11"/>
      <c r="AK1" s="11"/>
      <c r="AL1" s="11"/>
      <c r="AM1" s="11"/>
      <c r="AN1" s="12"/>
    </row>
    <row r="2" spans="1:40" s="13" customFormat="1" ht="12" customHeight="1">
      <c r="A2" s="276" t="s">
        <v>22</v>
      </c>
      <c r="B2" s="277"/>
      <c r="C2" s="277"/>
      <c r="D2" s="278"/>
      <c r="E2" s="279" t="s">
        <v>621</v>
      </c>
      <c r="F2" s="280"/>
      <c r="G2" s="280"/>
      <c r="H2" s="280"/>
      <c r="I2" s="280"/>
      <c r="J2" s="280"/>
      <c r="K2" s="280"/>
      <c r="L2" s="280"/>
      <c r="M2" s="280"/>
      <c r="N2" s="281"/>
      <c r="O2" s="288"/>
      <c r="P2" s="289"/>
      <c r="Q2" s="289"/>
      <c r="R2" s="290"/>
      <c r="S2" s="297"/>
      <c r="T2" s="298"/>
      <c r="U2" s="298"/>
      <c r="V2" s="298"/>
      <c r="W2" s="298"/>
      <c r="X2" s="298"/>
      <c r="Y2" s="298"/>
      <c r="Z2" s="299"/>
      <c r="AA2" s="276" t="s">
        <v>23</v>
      </c>
      <c r="AB2" s="278"/>
      <c r="AC2" s="282" t="str">
        <f ca="1">IF(COUNTA(AF9:AF33)&lt;&gt;0,INDIRECT("AF"&amp;(COUNTA(AF9:AF33)+8)),"")</f>
        <v/>
      </c>
      <c r="AD2" s="283"/>
      <c r="AE2" s="283"/>
      <c r="AF2" s="284"/>
      <c r="AG2" s="270" t="str">
        <f>IF(D9="","",MAX(D9:F33))</f>
        <v/>
      </c>
      <c r="AH2" s="271"/>
      <c r="AI2" s="272"/>
      <c r="AJ2" s="11"/>
      <c r="AK2" s="11"/>
      <c r="AL2" s="11"/>
      <c r="AM2" s="11"/>
      <c r="AN2" s="11"/>
    </row>
    <row r="3" spans="1:40" s="13" customFormat="1" ht="12" customHeight="1">
      <c r="A3" s="276" t="s">
        <v>24</v>
      </c>
      <c r="B3" s="277"/>
      <c r="C3" s="277"/>
      <c r="D3" s="278"/>
      <c r="E3" s="279" t="s">
        <v>622</v>
      </c>
      <c r="F3" s="280"/>
      <c r="G3" s="280"/>
      <c r="H3" s="280"/>
      <c r="I3" s="280"/>
      <c r="J3" s="280"/>
      <c r="K3" s="280"/>
      <c r="L3" s="280"/>
      <c r="M3" s="280"/>
      <c r="N3" s="281"/>
      <c r="O3" s="291"/>
      <c r="P3" s="292"/>
      <c r="Q3" s="292"/>
      <c r="R3" s="293"/>
      <c r="S3" s="300"/>
      <c r="T3" s="301"/>
      <c r="U3" s="301"/>
      <c r="V3" s="301"/>
      <c r="W3" s="301"/>
      <c r="X3" s="301"/>
      <c r="Y3" s="301"/>
      <c r="Z3" s="302"/>
      <c r="AA3" s="276"/>
      <c r="AB3" s="278"/>
      <c r="AC3" s="303"/>
      <c r="AD3" s="304"/>
      <c r="AE3" s="304"/>
      <c r="AF3" s="305"/>
      <c r="AG3" s="270"/>
      <c r="AH3" s="271"/>
      <c r="AI3" s="272"/>
      <c r="AJ3" s="11"/>
      <c r="AK3" s="11"/>
      <c r="AL3" s="11"/>
      <c r="AM3" s="11"/>
      <c r="AN3" s="11"/>
    </row>
    <row r="5" spans="1:40" s="13" customFormat="1" ht="22.5" customHeight="1">
      <c r="N5" s="14" t="s">
        <v>25</v>
      </c>
      <c r="AA5" s="15"/>
      <c r="AB5" s="15"/>
      <c r="AC5" s="16"/>
      <c r="AD5" s="17"/>
      <c r="AE5" s="17"/>
      <c r="AF5" s="17"/>
      <c r="AG5" s="15"/>
      <c r="AH5" s="15"/>
      <c r="AI5" s="15"/>
    </row>
    <row r="6" spans="1:40" s="13" customFormat="1" ht="15" customHeight="1">
      <c r="N6" s="14"/>
      <c r="AA6" s="15"/>
      <c r="AB6" s="15"/>
      <c r="AC6" s="16"/>
      <c r="AD6" s="17"/>
      <c r="AE6" s="17"/>
      <c r="AF6" s="17"/>
      <c r="AG6" s="15"/>
      <c r="AH6" s="15"/>
      <c r="AI6" s="15"/>
    </row>
    <row r="7" spans="1:40" s="19" customFormat="1" ht="15" customHeight="1" thickBot="1">
      <c r="A7" s="18" t="s">
        <v>26</v>
      </c>
      <c r="B7" s="273" t="s">
        <v>27</v>
      </c>
      <c r="C7" s="274"/>
      <c r="D7" s="273" t="s">
        <v>28</v>
      </c>
      <c r="E7" s="275"/>
      <c r="F7" s="274"/>
      <c r="G7" s="273" t="s">
        <v>8</v>
      </c>
      <c r="H7" s="275"/>
      <c r="I7" s="274"/>
      <c r="J7" s="273" t="s">
        <v>29</v>
      </c>
      <c r="K7" s="275"/>
      <c r="L7" s="275"/>
      <c r="M7" s="275"/>
      <c r="N7" s="275"/>
      <c r="O7" s="275"/>
      <c r="P7" s="274"/>
      <c r="Q7" s="273" t="s">
        <v>30</v>
      </c>
      <c r="R7" s="275"/>
      <c r="S7" s="275"/>
      <c r="T7" s="275"/>
      <c r="U7" s="275"/>
      <c r="V7" s="275"/>
      <c r="W7" s="275"/>
      <c r="X7" s="275"/>
      <c r="Y7" s="275"/>
      <c r="Z7" s="275"/>
      <c r="AA7" s="275"/>
      <c r="AB7" s="275"/>
      <c r="AC7" s="275"/>
      <c r="AD7" s="275"/>
      <c r="AE7" s="274"/>
      <c r="AF7" s="273" t="s">
        <v>31</v>
      </c>
      <c r="AG7" s="275"/>
      <c r="AH7" s="275"/>
      <c r="AI7" s="274"/>
    </row>
    <row r="8" spans="1:40" s="19" customFormat="1" ht="15" customHeight="1" thickTop="1">
      <c r="A8" s="20">
        <v>1</v>
      </c>
      <c r="B8" s="318" t="s">
        <v>34</v>
      </c>
      <c r="C8" s="319"/>
      <c r="D8" s="320"/>
      <c r="E8" s="321"/>
      <c r="F8" s="322"/>
      <c r="G8" s="323" t="s">
        <v>35</v>
      </c>
      <c r="H8" s="324"/>
      <c r="I8" s="319"/>
      <c r="J8" s="325"/>
      <c r="K8" s="326"/>
      <c r="L8" s="326"/>
      <c r="M8" s="326"/>
      <c r="N8" s="326"/>
      <c r="O8" s="326"/>
      <c r="P8" s="327"/>
      <c r="Q8" s="328" t="s">
        <v>36</v>
      </c>
      <c r="R8" s="329"/>
      <c r="S8" s="329"/>
      <c r="T8" s="329"/>
      <c r="U8" s="329"/>
      <c r="V8" s="329"/>
      <c r="W8" s="329"/>
      <c r="X8" s="329"/>
      <c r="Y8" s="329"/>
      <c r="Z8" s="329"/>
      <c r="AA8" s="329"/>
      <c r="AB8" s="329"/>
      <c r="AC8" s="329"/>
      <c r="AD8" s="329"/>
      <c r="AE8" s="330"/>
      <c r="AF8" s="325" t="s">
        <v>37</v>
      </c>
      <c r="AG8" s="326"/>
      <c r="AH8" s="326"/>
      <c r="AI8" s="327"/>
    </row>
    <row r="9" spans="1:40" s="19" customFormat="1" ht="15" customHeight="1">
      <c r="A9" s="21"/>
      <c r="B9" s="306"/>
      <c r="C9" s="307"/>
      <c r="D9" s="308"/>
      <c r="E9" s="309"/>
      <c r="F9" s="310"/>
      <c r="G9" s="308"/>
      <c r="H9" s="311"/>
      <c r="I9" s="307"/>
      <c r="J9" s="312"/>
      <c r="K9" s="313"/>
      <c r="L9" s="313"/>
      <c r="M9" s="313"/>
      <c r="N9" s="313"/>
      <c r="O9" s="313"/>
      <c r="P9" s="314"/>
      <c r="Q9" s="315"/>
      <c r="R9" s="316"/>
      <c r="S9" s="316"/>
      <c r="T9" s="316"/>
      <c r="U9" s="316"/>
      <c r="V9" s="316"/>
      <c r="W9" s="316"/>
      <c r="X9" s="316"/>
      <c r="Y9" s="316"/>
      <c r="Z9" s="316"/>
      <c r="AA9" s="316"/>
      <c r="AB9" s="316"/>
      <c r="AC9" s="316"/>
      <c r="AD9" s="316"/>
      <c r="AE9" s="317"/>
      <c r="AF9" s="312"/>
      <c r="AG9" s="313"/>
      <c r="AH9" s="313"/>
      <c r="AI9" s="314"/>
    </row>
    <row r="10" spans="1:40" s="19" customFormat="1" ht="15" customHeight="1">
      <c r="A10" s="21"/>
      <c r="B10" s="306"/>
      <c r="C10" s="307"/>
      <c r="D10" s="308"/>
      <c r="E10" s="309"/>
      <c r="F10" s="310"/>
      <c r="G10" s="306"/>
      <c r="H10" s="311"/>
      <c r="I10" s="307"/>
      <c r="J10" s="312"/>
      <c r="K10" s="313"/>
      <c r="L10" s="313"/>
      <c r="M10" s="313"/>
      <c r="N10" s="313"/>
      <c r="O10" s="313"/>
      <c r="P10" s="314"/>
      <c r="Q10" s="315"/>
      <c r="R10" s="316"/>
      <c r="S10" s="316"/>
      <c r="T10" s="316"/>
      <c r="U10" s="316"/>
      <c r="V10" s="316"/>
      <c r="W10" s="316"/>
      <c r="X10" s="316"/>
      <c r="Y10" s="316"/>
      <c r="Z10" s="316"/>
      <c r="AA10" s="316"/>
      <c r="AB10" s="316"/>
      <c r="AC10" s="316"/>
      <c r="AD10" s="316"/>
      <c r="AE10" s="317"/>
      <c r="AF10" s="312"/>
      <c r="AG10" s="313"/>
      <c r="AH10" s="313"/>
      <c r="AI10" s="314"/>
    </row>
    <row r="11" spans="1:40" s="19" customFormat="1" ht="15" customHeight="1">
      <c r="A11" s="21"/>
      <c r="B11" s="306"/>
      <c r="C11" s="307"/>
      <c r="D11" s="308"/>
      <c r="E11" s="309"/>
      <c r="F11" s="310"/>
      <c r="G11" s="306"/>
      <c r="H11" s="311"/>
      <c r="I11" s="307"/>
      <c r="J11" s="312"/>
      <c r="K11" s="313"/>
      <c r="L11" s="313"/>
      <c r="M11" s="313"/>
      <c r="N11" s="313"/>
      <c r="O11" s="313"/>
      <c r="P11" s="314"/>
      <c r="Q11" s="315"/>
      <c r="R11" s="316"/>
      <c r="S11" s="316"/>
      <c r="T11" s="316"/>
      <c r="U11" s="316"/>
      <c r="V11" s="316"/>
      <c r="W11" s="316"/>
      <c r="X11" s="316"/>
      <c r="Y11" s="316"/>
      <c r="Z11" s="316"/>
      <c r="AA11" s="316"/>
      <c r="AB11" s="316"/>
      <c r="AC11" s="316"/>
      <c r="AD11" s="316"/>
      <c r="AE11" s="317"/>
      <c r="AF11" s="312"/>
      <c r="AG11" s="313"/>
      <c r="AH11" s="313"/>
      <c r="AI11" s="314"/>
    </row>
    <row r="12" spans="1:40" s="19" customFormat="1" ht="15" customHeight="1">
      <c r="A12" s="21"/>
      <c r="B12" s="306"/>
      <c r="C12" s="307"/>
      <c r="D12" s="308"/>
      <c r="E12" s="309"/>
      <c r="F12" s="310"/>
      <c r="G12" s="306"/>
      <c r="H12" s="311"/>
      <c r="I12" s="307"/>
      <c r="J12" s="312"/>
      <c r="K12" s="313"/>
      <c r="L12" s="313"/>
      <c r="M12" s="313"/>
      <c r="N12" s="313"/>
      <c r="O12" s="313"/>
      <c r="P12" s="314"/>
      <c r="Q12" s="315"/>
      <c r="R12" s="316"/>
      <c r="S12" s="316"/>
      <c r="T12" s="316"/>
      <c r="U12" s="316"/>
      <c r="V12" s="316"/>
      <c r="W12" s="316"/>
      <c r="X12" s="316"/>
      <c r="Y12" s="316"/>
      <c r="Z12" s="316"/>
      <c r="AA12" s="316"/>
      <c r="AB12" s="316"/>
      <c r="AC12" s="316"/>
      <c r="AD12" s="316"/>
      <c r="AE12" s="317"/>
      <c r="AF12" s="312"/>
      <c r="AG12" s="313"/>
      <c r="AH12" s="313"/>
      <c r="AI12" s="314"/>
    </row>
    <row r="13" spans="1:40" s="19" customFormat="1" ht="15" customHeight="1">
      <c r="A13" s="21"/>
      <c r="B13" s="306"/>
      <c r="C13" s="307"/>
      <c r="D13" s="308"/>
      <c r="E13" s="309"/>
      <c r="F13" s="310"/>
      <c r="G13" s="306"/>
      <c r="H13" s="311"/>
      <c r="I13" s="307"/>
      <c r="J13" s="312"/>
      <c r="K13" s="313"/>
      <c r="L13" s="313"/>
      <c r="M13" s="313"/>
      <c r="N13" s="313"/>
      <c r="O13" s="313"/>
      <c r="P13" s="314"/>
      <c r="Q13" s="315"/>
      <c r="R13" s="316"/>
      <c r="S13" s="316"/>
      <c r="T13" s="316"/>
      <c r="U13" s="316"/>
      <c r="V13" s="316"/>
      <c r="W13" s="316"/>
      <c r="X13" s="316"/>
      <c r="Y13" s="316"/>
      <c r="Z13" s="316"/>
      <c r="AA13" s="316"/>
      <c r="AB13" s="316"/>
      <c r="AC13" s="316"/>
      <c r="AD13" s="316"/>
      <c r="AE13" s="317"/>
      <c r="AF13" s="312"/>
      <c r="AG13" s="313"/>
      <c r="AH13" s="313"/>
      <c r="AI13" s="314"/>
    </row>
    <row r="14" spans="1:40" s="19" customFormat="1" ht="15" customHeight="1">
      <c r="A14" s="21"/>
      <c r="B14" s="306"/>
      <c r="C14" s="307"/>
      <c r="D14" s="308"/>
      <c r="E14" s="309"/>
      <c r="F14" s="310"/>
      <c r="G14" s="306"/>
      <c r="H14" s="311"/>
      <c r="I14" s="307"/>
      <c r="J14" s="312"/>
      <c r="K14" s="313"/>
      <c r="L14" s="313"/>
      <c r="M14" s="313"/>
      <c r="N14" s="313"/>
      <c r="O14" s="313"/>
      <c r="P14" s="314"/>
      <c r="Q14" s="315"/>
      <c r="R14" s="316"/>
      <c r="S14" s="316"/>
      <c r="T14" s="316"/>
      <c r="U14" s="316"/>
      <c r="V14" s="316"/>
      <c r="W14" s="316"/>
      <c r="X14" s="316"/>
      <c r="Y14" s="316"/>
      <c r="Z14" s="316"/>
      <c r="AA14" s="316"/>
      <c r="AB14" s="316"/>
      <c r="AC14" s="316"/>
      <c r="AD14" s="316"/>
      <c r="AE14" s="317"/>
      <c r="AF14" s="312"/>
      <c r="AG14" s="313"/>
      <c r="AH14" s="313"/>
      <c r="AI14" s="314"/>
    </row>
    <row r="15" spans="1:40" s="19" customFormat="1" ht="15" customHeight="1">
      <c r="A15" s="21"/>
      <c r="B15" s="306"/>
      <c r="C15" s="307"/>
      <c r="D15" s="308"/>
      <c r="E15" s="309"/>
      <c r="F15" s="310"/>
      <c r="G15" s="306"/>
      <c r="H15" s="311"/>
      <c r="I15" s="307"/>
      <c r="J15" s="312"/>
      <c r="K15" s="313"/>
      <c r="L15" s="313"/>
      <c r="M15" s="313"/>
      <c r="N15" s="313"/>
      <c r="O15" s="313"/>
      <c r="P15" s="314"/>
      <c r="Q15" s="315"/>
      <c r="R15" s="316"/>
      <c r="S15" s="316"/>
      <c r="T15" s="316"/>
      <c r="U15" s="316"/>
      <c r="V15" s="316"/>
      <c r="W15" s="316"/>
      <c r="X15" s="316"/>
      <c r="Y15" s="316"/>
      <c r="Z15" s="316"/>
      <c r="AA15" s="316"/>
      <c r="AB15" s="316"/>
      <c r="AC15" s="316"/>
      <c r="AD15" s="316"/>
      <c r="AE15" s="317"/>
      <c r="AF15" s="312"/>
      <c r="AG15" s="313"/>
      <c r="AH15" s="313"/>
      <c r="AI15" s="314"/>
    </row>
    <row r="16" spans="1:40" s="19" customFormat="1" ht="15" customHeight="1">
      <c r="A16" s="21"/>
      <c r="B16" s="306"/>
      <c r="C16" s="307"/>
      <c r="D16" s="308"/>
      <c r="E16" s="309"/>
      <c r="F16" s="310"/>
      <c r="G16" s="306"/>
      <c r="H16" s="311"/>
      <c r="I16" s="307"/>
      <c r="J16" s="312"/>
      <c r="K16" s="313"/>
      <c r="L16" s="313"/>
      <c r="M16" s="313"/>
      <c r="N16" s="313"/>
      <c r="O16" s="313"/>
      <c r="P16" s="314"/>
      <c r="Q16" s="315"/>
      <c r="R16" s="316"/>
      <c r="S16" s="316"/>
      <c r="T16" s="316"/>
      <c r="U16" s="316"/>
      <c r="V16" s="316"/>
      <c r="W16" s="316"/>
      <c r="X16" s="316"/>
      <c r="Y16" s="316"/>
      <c r="Z16" s="316"/>
      <c r="AA16" s="316"/>
      <c r="AB16" s="316"/>
      <c r="AC16" s="316"/>
      <c r="AD16" s="316"/>
      <c r="AE16" s="317"/>
      <c r="AF16" s="312"/>
      <c r="AG16" s="313"/>
      <c r="AH16" s="313"/>
      <c r="AI16" s="314"/>
    </row>
    <row r="17" spans="1:35" s="19" customFormat="1" ht="15" customHeight="1">
      <c r="A17" s="21"/>
      <c r="B17" s="306"/>
      <c r="C17" s="307"/>
      <c r="D17" s="308"/>
      <c r="E17" s="309"/>
      <c r="F17" s="310"/>
      <c r="G17" s="306"/>
      <c r="H17" s="311"/>
      <c r="I17" s="307"/>
      <c r="J17" s="312"/>
      <c r="K17" s="313"/>
      <c r="L17" s="313"/>
      <c r="M17" s="313"/>
      <c r="N17" s="313"/>
      <c r="O17" s="313"/>
      <c r="P17" s="314"/>
      <c r="Q17" s="315"/>
      <c r="R17" s="316"/>
      <c r="S17" s="316"/>
      <c r="T17" s="316"/>
      <c r="U17" s="316"/>
      <c r="V17" s="316"/>
      <c r="W17" s="316"/>
      <c r="X17" s="316"/>
      <c r="Y17" s="316"/>
      <c r="Z17" s="316"/>
      <c r="AA17" s="316"/>
      <c r="AB17" s="316"/>
      <c r="AC17" s="316"/>
      <c r="AD17" s="316"/>
      <c r="AE17" s="317"/>
      <c r="AF17" s="312"/>
      <c r="AG17" s="313"/>
      <c r="AH17" s="313"/>
      <c r="AI17" s="314"/>
    </row>
    <row r="18" spans="1:35" s="19" customFormat="1" ht="15" customHeight="1">
      <c r="A18" s="21"/>
      <c r="B18" s="306"/>
      <c r="C18" s="307"/>
      <c r="D18" s="308"/>
      <c r="E18" s="309"/>
      <c r="F18" s="310"/>
      <c r="G18" s="306"/>
      <c r="H18" s="311"/>
      <c r="I18" s="307"/>
      <c r="J18" s="312"/>
      <c r="K18" s="313"/>
      <c r="L18" s="313"/>
      <c r="M18" s="313"/>
      <c r="N18" s="313"/>
      <c r="O18" s="313"/>
      <c r="P18" s="314"/>
      <c r="Q18" s="315"/>
      <c r="R18" s="316"/>
      <c r="S18" s="316"/>
      <c r="T18" s="316"/>
      <c r="U18" s="316"/>
      <c r="V18" s="316"/>
      <c r="W18" s="316"/>
      <c r="X18" s="316"/>
      <c r="Y18" s="316"/>
      <c r="Z18" s="316"/>
      <c r="AA18" s="316"/>
      <c r="AB18" s="316"/>
      <c r="AC18" s="316"/>
      <c r="AD18" s="316"/>
      <c r="AE18" s="317"/>
      <c r="AF18" s="312"/>
      <c r="AG18" s="313"/>
      <c r="AH18" s="313"/>
      <c r="AI18" s="314"/>
    </row>
    <row r="19" spans="1:35" s="19" customFormat="1" ht="15" customHeight="1">
      <c r="A19" s="21"/>
      <c r="B19" s="306"/>
      <c r="C19" s="307"/>
      <c r="D19" s="308"/>
      <c r="E19" s="309"/>
      <c r="F19" s="310"/>
      <c r="G19" s="306"/>
      <c r="H19" s="311"/>
      <c r="I19" s="307"/>
      <c r="J19" s="312"/>
      <c r="K19" s="313"/>
      <c r="L19" s="313"/>
      <c r="M19" s="313"/>
      <c r="N19" s="313"/>
      <c r="O19" s="313"/>
      <c r="P19" s="314"/>
      <c r="Q19" s="315"/>
      <c r="R19" s="316"/>
      <c r="S19" s="316"/>
      <c r="T19" s="316"/>
      <c r="U19" s="316"/>
      <c r="V19" s="316"/>
      <c r="W19" s="316"/>
      <c r="X19" s="316"/>
      <c r="Y19" s="316"/>
      <c r="Z19" s="316"/>
      <c r="AA19" s="316"/>
      <c r="AB19" s="316"/>
      <c r="AC19" s="316"/>
      <c r="AD19" s="316"/>
      <c r="AE19" s="317"/>
      <c r="AF19" s="312"/>
      <c r="AG19" s="313"/>
      <c r="AH19" s="313"/>
      <c r="AI19" s="314"/>
    </row>
    <row r="20" spans="1:35" s="19" customFormat="1" ht="15" customHeight="1">
      <c r="A20" s="21"/>
      <c r="B20" s="306"/>
      <c r="C20" s="307"/>
      <c r="D20" s="308"/>
      <c r="E20" s="309"/>
      <c r="F20" s="310"/>
      <c r="G20" s="306"/>
      <c r="H20" s="311"/>
      <c r="I20" s="307"/>
      <c r="J20" s="312"/>
      <c r="K20" s="313"/>
      <c r="L20" s="313"/>
      <c r="M20" s="313"/>
      <c r="N20" s="313"/>
      <c r="O20" s="313"/>
      <c r="P20" s="314"/>
      <c r="Q20" s="315"/>
      <c r="R20" s="316"/>
      <c r="S20" s="316"/>
      <c r="T20" s="316"/>
      <c r="U20" s="316"/>
      <c r="V20" s="316"/>
      <c r="W20" s="316"/>
      <c r="X20" s="316"/>
      <c r="Y20" s="316"/>
      <c r="Z20" s="316"/>
      <c r="AA20" s="316"/>
      <c r="AB20" s="316"/>
      <c r="AC20" s="316"/>
      <c r="AD20" s="316"/>
      <c r="AE20" s="317"/>
      <c r="AF20" s="312"/>
      <c r="AG20" s="313"/>
      <c r="AH20" s="313"/>
      <c r="AI20" s="314"/>
    </row>
    <row r="21" spans="1:35" s="19" customFormat="1" ht="15" customHeight="1">
      <c r="A21" s="21"/>
      <c r="B21" s="306"/>
      <c r="C21" s="307"/>
      <c r="D21" s="308"/>
      <c r="E21" s="309"/>
      <c r="F21" s="310"/>
      <c r="G21" s="306"/>
      <c r="H21" s="311"/>
      <c r="I21" s="307"/>
      <c r="J21" s="312"/>
      <c r="K21" s="313"/>
      <c r="L21" s="313"/>
      <c r="M21" s="313"/>
      <c r="N21" s="313"/>
      <c r="O21" s="313"/>
      <c r="P21" s="314"/>
      <c r="Q21" s="315"/>
      <c r="R21" s="316"/>
      <c r="S21" s="316"/>
      <c r="T21" s="316"/>
      <c r="U21" s="316"/>
      <c r="V21" s="316"/>
      <c r="W21" s="316"/>
      <c r="X21" s="316"/>
      <c r="Y21" s="316"/>
      <c r="Z21" s="316"/>
      <c r="AA21" s="316"/>
      <c r="AB21" s="316"/>
      <c r="AC21" s="316"/>
      <c r="AD21" s="316"/>
      <c r="AE21" s="317"/>
      <c r="AF21" s="312"/>
      <c r="AG21" s="313"/>
      <c r="AH21" s="313"/>
      <c r="AI21" s="314"/>
    </row>
    <row r="22" spans="1:35" s="19" customFormat="1" ht="15" customHeight="1">
      <c r="A22" s="21"/>
      <c r="B22" s="306"/>
      <c r="C22" s="307"/>
      <c r="D22" s="308"/>
      <c r="E22" s="309"/>
      <c r="F22" s="310"/>
      <c r="G22" s="306"/>
      <c r="H22" s="311"/>
      <c r="I22" s="307"/>
      <c r="J22" s="312"/>
      <c r="K22" s="313"/>
      <c r="L22" s="313"/>
      <c r="M22" s="313"/>
      <c r="N22" s="313"/>
      <c r="O22" s="313"/>
      <c r="P22" s="314"/>
      <c r="Q22" s="315"/>
      <c r="R22" s="316"/>
      <c r="S22" s="316"/>
      <c r="T22" s="316"/>
      <c r="U22" s="316"/>
      <c r="V22" s="316"/>
      <c r="W22" s="316"/>
      <c r="X22" s="316"/>
      <c r="Y22" s="316"/>
      <c r="Z22" s="316"/>
      <c r="AA22" s="316"/>
      <c r="AB22" s="316"/>
      <c r="AC22" s="316"/>
      <c r="AD22" s="316"/>
      <c r="AE22" s="317"/>
      <c r="AF22" s="312"/>
      <c r="AG22" s="313"/>
      <c r="AH22" s="313"/>
      <c r="AI22" s="314"/>
    </row>
    <row r="23" spans="1:35" s="19" customFormat="1" ht="15" customHeight="1">
      <c r="A23" s="21"/>
      <c r="B23" s="306"/>
      <c r="C23" s="307"/>
      <c r="D23" s="308"/>
      <c r="E23" s="309"/>
      <c r="F23" s="310"/>
      <c r="G23" s="306"/>
      <c r="H23" s="311"/>
      <c r="I23" s="307"/>
      <c r="J23" s="312"/>
      <c r="K23" s="313"/>
      <c r="L23" s="313"/>
      <c r="M23" s="313"/>
      <c r="N23" s="313"/>
      <c r="O23" s="313"/>
      <c r="P23" s="314"/>
      <c r="Q23" s="315"/>
      <c r="R23" s="316"/>
      <c r="S23" s="316"/>
      <c r="T23" s="316"/>
      <c r="U23" s="316"/>
      <c r="V23" s="316"/>
      <c r="W23" s="316"/>
      <c r="X23" s="316"/>
      <c r="Y23" s="316"/>
      <c r="Z23" s="316"/>
      <c r="AA23" s="316"/>
      <c r="AB23" s="316"/>
      <c r="AC23" s="316"/>
      <c r="AD23" s="316"/>
      <c r="AE23" s="317"/>
      <c r="AF23" s="312"/>
      <c r="AG23" s="313"/>
      <c r="AH23" s="313"/>
      <c r="AI23" s="314"/>
    </row>
    <row r="24" spans="1:35" s="19" customFormat="1" ht="15" customHeight="1">
      <c r="A24" s="21"/>
      <c r="B24" s="306"/>
      <c r="C24" s="307"/>
      <c r="D24" s="308"/>
      <c r="E24" s="309"/>
      <c r="F24" s="310"/>
      <c r="G24" s="306"/>
      <c r="H24" s="311"/>
      <c r="I24" s="307"/>
      <c r="J24" s="312"/>
      <c r="K24" s="313"/>
      <c r="L24" s="313"/>
      <c r="M24" s="313"/>
      <c r="N24" s="313"/>
      <c r="O24" s="313"/>
      <c r="P24" s="314"/>
      <c r="Q24" s="315"/>
      <c r="R24" s="316"/>
      <c r="S24" s="316"/>
      <c r="T24" s="316"/>
      <c r="U24" s="316"/>
      <c r="V24" s="316"/>
      <c r="W24" s="316"/>
      <c r="X24" s="316"/>
      <c r="Y24" s="316"/>
      <c r="Z24" s="316"/>
      <c r="AA24" s="316"/>
      <c r="AB24" s="316"/>
      <c r="AC24" s="316"/>
      <c r="AD24" s="316"/>
      <c r="AE24" s="317"/>
      <c r="AF24" s="312"/>
      <c r="AG24" s="313"/>
      <c r="AH24" s="313"/>
      <c r="AI24" s="314"/>
    </row>
    <row r="25" spans="1:35" s="19" customFormat="1" ht="15" customHeight="1">
      <c r="A25" s="21"/>
      <c r="B25" s="306"/>
      <c r="C25" s="307"/>
      <c r="D25" s="308"/>
      <c r="E25" s="309"/>
      <c r="F25" s="310"/>
      <c r="G25" s="306"/>
      <c r="H25" s="311"/>
      <c r="I25" s="307"/>
      <c r="J25" s="312"/>
      <c r="K25" s="313"/>
      <c r="L25" s="313"/>
      <c r="M25" s="313"/>
      <c r="N25" s="313"/>
      <c r="O25" s="313"/>
      <c r="P25" s="314"/>
      <c r="Q25" s="315"/>
      <c r="R25" s="316"/>
      <c r="S25" s="316"/>
      <c r="T25" s="316"/>
      <c r="U25" s="316"/>
      <c r="V25" s="316"/>
      <c r="W25" s="316"/>
      <c r="X25" s="316"/>
      <c r="Y25" s="316"/>
      <c r="Z25" s="316"/>
      <c r="AA25" s="316"/>
      <c r="AB25" s="316"/>
      <c r="AC25" s="316"/>
      <c r="AD25" s="316"/>
      <c r="AE25" s="317"/>
      <c r="AF25" s="312"/>
      <c r="AG25" s="313"/>
      <c r="AH25" s="313"/>
      <c r="AI25" s="314"/>
    </row>
    <row r="26" spans="1:35" s="19" customFormat="1" ht="15" customHeight="1">
      <c r="A26" s="21"/>
      <c r="B26" s="306"/>
      <c r="C26" s="307"/>
      <c r="D26" s="308"/>
      <c r="E26" s="309"/>
      <c r="F26" s="310"/>
      <c r="G26" s="306"/>
      <c r="H26" s="311"/>
      <c r="I26" s="307"/>
      <c r="J26" s="312"/>
      <c r="K26" s="313"/>
      <c r="L26" s="313"/>
      <c r="M26" s="313"/>
      <c r="N26" s="313"/>
      <c r="O26" s="313"/>
      <c r="P26" s="314"/>
      <c r="Q26" s="315"/>
      <c r="R26" s="316"/>
      <c r="S26" s="316"/>
      <c r="T26" s="316"/>
      <c r="U26" s="316"/>
      <c r="V26" s="316"/>
      <c r="W26" s="316"/>
      <c r="X26" s="316"/>
      <c r="Y26" s="316"/>
      <c r="Z26" s="316"/>
      <c r="AA26" s="316"/>
      <c r="AB26" s="316"/>
      <c r="AC26" s="316"/>
      <c r="AD26" s="316"/>
      <c r="AE26" s="317"/>
      <c r="AF26" s="312"/>
      <c r="AG26" s="313"/>
      <c r="AH26" s="313"/>
      <c r="AI26" s="314"/>
    </row>
    <row r="27" spans="1:35" s="19" customFormat="1" ht="15" customHeight="1">
      <c r="A27" s="21"/>
      <c r="B27" s="306"/>
      <c r="C27" s="307"/>
      <c r="D27" s="308"/>
      <c r="E27" s="309"/>
      <c r="F27" s="310"/>
      <c r="G27" s="306"/>
      <c r="H27" s="311"/>
      <c r="I27" s="307"/>
      <c r="J27" s="312"/>
      <c r="K27" s="313"/>
      <c r="L27" s="313"/>
      <c r="M27" s="313"/>
      <c r="N27" s="313"/>
      <c r="O27" s="313"/>
      <c r="P27" s="314"/>
      <c r="Q27" s="315"/>
      <c r="R27" s="316"/>
      <c r="S27" s="316"/>
      <c r="T27" s="316"/>
      <c r="U27" s="316"/>
      <c r="V27" s="316"/>
      <c r="W27" s="316"/>
      <c r="X27" s="316"/>
      <c r="Y27" s="316"/>
      <c r="Z27" s="316"/>
      <c r="AA27" s="316"/>
      <c r="AB27" s="316"/>
      <c r="AC27" s="316"/>
      <c r="AD27" s="316"/>
      <c r="AE27" s="317"/>
      <c r="AF27" s="312"/>
      <c r="AG27" s="313"/>
      <c r="AH27" s="313"/>
      <c r="AI27" s="314"/>
    </row>
    <row r="28" spans="1:35" s="19" customFormat="1" ht="15" customHeight="1">
      <c r="A28" s="21"/>
      <c r="B28" s="306"/>
      <c r="C28" s="307"/>
      <c r="D28" s="308"/>
      <c r="E28" s="309"/>
      <c r="F28" s="310"/>
      <c r="G28" s="306"/>
      <c r="H28" s="311"/>
      <c r="I28" s="307"/>
      <c r="J28" s="312"/>
      <c r="K28" s="313"/>
      <c r="L28" s="313"/>
      <c r="M28" s="313"/>
      <c r="N28" s="313"/>
      <c r="O28" s="313"/>
      <c r="P28" s="314"/>
      <c r="Q28" s="315"/>
      <c r="R28" s="316"/>
      <c r="S28" s="316"/>
      <c r="T28" s="316"/>
      <c r="U28" s="316"/>
      <c r="V28" s="316"/>
      <c r="W28" s="316"/>
      <c r="X28" s="316"/>
      <c r="Y28" s="316"/>
      <c r="Z28" s="316"/>
      <c r="AA28" s="316"/>
      <c r="AB28" s="316"/>
      <c r="AC28" s="316"/>
      <c r="AD28" s="316"/>
      <c r="AE28" s="317"/>
      <c r="AF28" s="312"/>
      <c r="AG28" s="313"/>
      <c r="AH28" s="313"/>
      <c r="AI28" s="314"/>
    </row>
    <row r="29" spans="1:35" s="19" customFormat="1" ht="15" customHeight="1">
      <c r="A29" s="21"/>
      <c r="B29" s="306"/>
      <c r="C29" s="307"/>
      <c r="D29" s="308"/>
      <c r="E29" s="309"/>
      <c r="F29" s="310"/>
      <c r="G29" s="306"/>
      <c r="H29" s="311"/>
      <c r="I29" s="307"/>
      <c r="J29" s="312"/>
      <c r="K29" s="313"/>
      <c r="L29" s="313"/>
      <c r="M29" s="313"/>
      <c r="N29" s="313"/>
      <c r="O29" s="313"/>
      <c r="P29" s="314"/>
      <c r="Q29" s="315"/>
      <c r="R29" s="316"/>
      <c r="S29" s="316"/>
      <c r="T29" s="316"/>
      <c r="U29" s="316"/>
      <c r="V29" s="316"/>
      <c r="W29" s="316"/>
      <c r="X29" s="316"/>
      <c r="Y29" s="316"/>
      <c r="Z29" s="316"/>
      <c r="AA29" s="316"/>
      <c r="AB29" s="316"/>
      <c r="AC29" s="316"/>
      <c r="AD29" s="316"/>
      <c r="AE29" s="317"/>
      <c r="AF29" s="312"/>
      <c r="AG29" s="313"/>
      <c r="AH29" s="313"/>
      <c r="AI29" s="314"/>
    </row>
    <row r="30" spans="1:35" s="19" customFormat="1" ht="15" customHeight="1">
      <c r="A30" s="21"/>
      <c r="B30" s="306"/>
      <c r="C30" s="307"/>
      <c r="D30" s="308"/>
      <c r="E30" s="309"/>
      <c r="F30" s="310"/>
      <c r="G30" s="306"/>
      <c r="H30" s="311"/>
      <c r="I30" s="307"/>
      <c r="J30" s="312"/>
      <c r="K30" s="313"/>
      <c r="L30" s="313"/>
      <c r="M30" s="313"/>
      <c r="N30" s="313"/>
      <c r="O30" s="313"/>
      <c r="P30" s="314"/>
      <c r="Q30" s="315"/>
      <c r="R30" s="316"/>
      <c r="S30" s="316"/>
      <c r="T30" s="316"/>
      <c r="U30" s="316"/>
      <c r="V30" s="316"/>
      <c r="W30" s="316"/>
      <c r="X30" s="316"/>
      <c r="Y30" s="316"/>
      <c r="Z30" s="316"/>
      <c r="AA30" s="316"/>
      <c r="AB30" s="316"/>
      <c r="AC30" s="316"/>
      <c r="AD30" s="316"/>
      <c r="AE30" s="317"/>
      <c r="AF30" s="312"/>
      <c r="AG30" s="313"/>
      <c r="AH30" s="313"/>
      <c r="AI30" s="314"/>
    </row>
    <row r="31" spans="1:35" s="19" customFormat="1" ht="15" customHeight="1">
      <c r="A31" s="21"/>
      <c r="B31" s="306"/>
      <c r="C31" s="307"/>
      <c r="D31" s="308"/>
      <c r="E31" s="309"/>
      <c r="F31" s="310"/>
      <c r="G31" s="306"/>
      <c r="H31" s="311"/>
      <c r="I31" s="307"/>
      <c r="J31" s="312"/>
      <c r="K31" s="313"/>
      <c r="L31" s="313"/>
      <c r="M31" s="313"/>
      <c r="N31" s="313"/>
      <c r="O31" s="313"/>
      <c r="P31" s="314"/>
      <c r="Q31" s="315"/>
      <c r="R31" s="316"/>
      <c r="S31" s="316"/>
      <c r="T31" s="316"/>
      <c r="U31" s="316"/>
      <c r="V31" s="316"/>
      <c r="W31" s="316"/>
      <c r="X31" s="316"/>
      <c r="Y31" s="316"/>
      <c r="Z31" s="316"/>
      <c r="AA31" s="316"/>
      <c r="AB31" s="316"/>
      <c r="AC31" s="316"/>
      <c r="AD31" s="316"/>
      <c r="AE31" s="317"/>
      <c r="AF31" s="312"/>
      <c r="AG31" s="313"/>
      <c r="AH31" s="313"/>
      <c r="AI31" s="314"/>
    </row>
    <row r="32" spans="1:35" s="19" customFormat="1" ht="15" customHeight="1">
      <c r="A32" s="21"/>
      <c r="B32" s="306"/>
      <c r="C32" s="307"/>
      <c r="D32" s="308"/>
      <c r="E32" s="309"/>
      <c r="F32" s="310"/>
      <c r="G32" s="306"/>
      <c r="H32" s="311"/>
      <c r="I32" s="307"/>
      <c r="J32" s="312"/>
      <c r="K32" s="331"/>
      <c r="L32" s="313"/>
      <c r="M32" s="313"/>
      <c r="N32" s="313"/>
      <c r="O32" s="313"/>
      <c r="P32" s="314"/>
      <c r="Q32" s="315"/>
      <c r="R32" s="316"/>
      <c r="S32" s="316"/>
      <c r="T32" s="316"/>
      <c r="U32" s="316"/>
      <c r="V32" s="316"/>
      <c r="W32" s="316"/>
      <c r="X32" s="316"/>
      <c r="Y32" s="316"/>
      <c r="Z32" s="316"/>
      <c r="AA32" s="316"/>
      <c r="AB32" s="316"/>
      <c r="AC32" s="316"/>
      <c r="AD32" s="316"/>
      <c r="AE32" s="317"/>
      <c r="AF32" s="312"/>
      <c r="AG32" s="313"/>
      <c r="AH32" s="313"/>
      <c r="AI32" s="314"/>
    </row>
    <row r="33" spans="1:35" s="19" customFormat="1" ht="15" customHeight="1">
      <c r="A33" s="21"/>
      <c r="B33" s="306"/>
      <c r="C33" s="307"/>
      <c r="D33" s="308"/>
      <c r="E33" s="309"/>
      <c r="F33" s="310"/>
      <c r="G33" s="306"/>
      <c r="H33" s="311"/>
      <c r="I33" s="307"/>
      <c r="J33" s="312"/>
      <c r="K33" s="313"/>
      <c r="L33" s="313"/>
      <c r="M33" s="313"/>
      <c r="N33" s="313"/>
      <c r="O33" s="313"/>
      <c r="P33" s="314"/>
      <c r="Q33" s="315"/>
      <c r="R33" s="316"/>
      <c r="S33" s="316"/>
      <c r="T33" s="316"/>
      <c r="U33" s="316"/>
      <c r="V33" s="316"/>
      <c r="W33" s="316"/>
      <c r="X33" s="316"/>
      <c r="Y33" s="316"/>
      <c r="Z33" s="316"/>
      <c r="AA33" s="316"/>
      <c r="AB33" s="316"/>
      <c r="AC33" s="316"/>
      <c r="AD33" s="316"/>
      <c r="AE33" s="317"/>
      <c r="AF33" s="312"/>
      <c r="AG33" s="313"/>
      <c r="AH33" s="313"/>
      <c r="AI33" s="314"/>
    </row>
    <row r="34" spans="1:35" ht="14.25">
      <c r="K34" s="23"/>
    </row>
  </sheetData>
  <mergeCells count="179">
    <mergeCell ref="B33:C33"/>
    <mergeCell ref="D33:F33"/>
    <mergeCell ref="G33:I33"/>
    <mergeCell ref="J33:P33"/>
    <mergeCell ref="Q33:AE33"/>
    <mergeCell ref="AF33:AI33"/>
    <mergeCell ref="B32:C32"/>
    <mergeCell ref="D32:F32"/>
    <mergeCell ref="G32:I32"/>
    <mergeCell ref="J32:P32"/>
    <mergeCell ref="Q32:AE32"/>
    <mergeCell ref="AF32:AI32"/>
    <mergeCell ref="B31:C31"/>
    <mergeCell ref="D31:F31"/>
    <mergeCell ref="G31:I31"/>
    <mergeCell ref="J31:P31"/>
    <mergeCell ref="Q31:AE31"/>
    <mergeCell ref="AF31:AI31"/>
    <mergeCell ref="B30:C30"/>
    <mergeCell ref="D30:F30"/>
    <mergeCell ref="G30:I30"/>
    <mergeCell ref="J30:P30"/>
    <mergeCell ref="Q30:AE30"/>
    <mergeCell ref="AF30:AI30"/>
    <mergeCell ref="B29:C29"/>
    <mergeCell ref="D29:F29"/>
    <mergeCell ref="G29:I29"/>
    <mergeCell ref="J29:P29"/>
    <mergeCell ref="Q29:AE29"/>
    <mergeCell ref="AF29:AI29"/>
    <mergeCell ref="B28:C28"/>
    <mergeCell ref="D28:F28"/>
    <mergeCell ref="G28:I28"/>
    <mergeCell ref="J28:P28"/>
    <mergeCell ref="Q28:AE28"/>
    <mergeCell ref="AF28:AI28"/>
    <mergeCell ref="B27:C27"/>
    <mergeCell ref="D27:F27"/>
    <mergeCell ref="G27:I27"/>
    <mergeCell ref="J27:P27"/>
    <mergeCell ref="Q27:AE27"/>
    <mergeCell ref="AF27:AI27"/>
    <mergeCell ref="B26:C26"/>
    <mergeCell ref="D26:F26"/>
    <mergeCell ref="G26:I26"/>
    <mergeCell ref="J26:P26"/>
    <mergeCell ref="Q26:AE26"/>
    <mergeCell ref="AF26:AI26"/>
    <mergeCell ref="B25:C25"/>
    <mergeCell ref="D25:F25"/>
    <mergeCell ref="G25:I25"/>
    <mergeCell ref="J25:P25"/>
    <mergeCell ref="Q25:AE25"/>
    <mergeCell ref="AF25:AI25"/>
    <mergeCell ref="B24:C24"/>
    <mergeCell ref="D24:F24"/>
    <mergeCell ref="G24:I24"/>
    <mergeCell ref="J24:P24"/>
    <mergeCell ref="Q24:AE24"/>
    <mergeCell ref="AF24:AI24"/>
    <mergeCell ref="B23:C23"/>
    <mergeCell ref="D23:F23"/>
    <mergeCell ref="G23:I23"/>
    <mergeCell ref="J23:P23"/>
    <mergeCell ref="Q23:AE23"/>
    <mergeCell ref="AF23:AI23"/>
    <mergeCell ref="B22:C22"/>
    <mergeCell ref="D22:F22"/>
    <mergeCell ref="G22:I22"/>
    <mergeCell ref="J22:P22"/>
    <mergeCell ref="Q22:AE22"/>
    <mergeCell ref="AF22:AI22"/>
    <mergeCell ref="B21:C21"/>
    <mergeCell ref="D21:F21"/>
    <mergeCell ref="G21:I21"/>
    <mergeCell ref="J21:P21"/>
    <mergeCell ref="Q21:AE21"/>
    <mergeCell ref="AF21:AI21"/>
    <mergeCell ref="B20:C20"/>
    <mergeCell ref="D20:F20"/>
    <mergeCell ref="G20:I20"/>
    <mergeCell ref="J20:P20"/>
    <mergeCell ref="Q20:AE20"/>
    <mergeCell ref="AF20:AI20"/>
    <mergeCell ref="B19:C19"/>
    <mergeCell ref="D19:F19"/>
    <mergeCell ref="G19:I19"/>
    <mergeCell ref="J19:P19"/>
    <mergeCell ref="Q19:AE19"/>
    <mergeCell ref="AF19:AI19"/>
    <mergeCell ref="B18:C18"/>
    <mergeCell ref="D18:F18"/>
    <mergeCell ref="G18:I18"/>
    <mergeCell ref="J18:P18"/>
    <mergeCell ref="Q18:AE18"/>
    <mergeCell ref="AF18:AI18"/>
    <mergeCell ref="B17:C17"/>
    <mergeCell ref="D17:F17"/>
    <mergeCell ref="G17:I17"/>
    <mergeCell ref="J17:P17"/>
    <mergeCell ref="Q17:AE17"/>
    <mergeCell ref="AF17:AI17"/>
    <mergeCell ref="B16:C16"/>
    <mergeCell ref="D16:F16"/>
    <mergeCell ref="G16:I16"/>
    <mergeCell ref="J16:P16"/>
    <mergeCell ref="Q16:AE16"/>
    <mergeCell ref="AF16:AI16"/>
    <mergeCell ref="B15:C15"/>
    <mergeCell ref="D15:F15"/>
    <mergeCell ref="G15:I15"/>
    <mergeCell ref="J15:P15"/>
    <mergeCell ref="Q15:AE15"/>
    <mergeCell ref="AF15:AI15"/>
    <mergeCell ref="B14:C14"/>
    <mergeCell ref="D14:F14"/>
    <mergeCell ref="G14:I14"/>
    <mergeCell ref="J14:P14"/>
    <mergeCell ref="Q14:AE14"/>
    <mergeCell ref="AF14:AI14"/>
    <mergeCell ref="B13:C13"/>
    <mergeCell ref="D13:F13"/>
    <mergeCell ref="G13:I13"/>
    <mergeCell ref="J13:P13"/>
    <mergeCell ref="Q13:AE13"/>
    <mergeCell ref="AF13:AI13"/>
    <mergeCell ref="B12:C12"/>
    <mergeCell ref="D12:F12"/>
    <mergeCell ref="G12:I12"/>
    <mergeCell ref="J12:P12"/>
    <mergeCell ref="Q12:AE12"/>
    <mergeCell ref="AF12:AI12"/>
    <mergeCell ref="B11:C11"/>
    <mergeCell ref="D11:F11"/>
    <mergeCell ref="G11:I11"/>
    <mergeCell ref="J11:P11"/>
    <mergeCell ref="Q11:AE11"/>
    <mergeCell ref="AF11:AI11"/>
    <mergeCell ref="B10:C10"/>
    <mergeCell ref="D10:F10"/>
    <mergeCell ref="G10:I10"/>
    <mergeCell ref="J10:P10"/>
    <mergeCell ref="Q10:AE10"/>
    <mergeCell ref="AF10:AI10"/>
    <mergeCell ref="B9:C9"/>
    <mergeCell ref="D9:F9"/>
    <mergeCell ref="G9:I9"/>
    <mergeCell ref="J9:P9"/>
    <mergeCell ref="Q9:AE9"/>
    <mergeCell ref="AF9:AI9"/>
    <mergeCell ref="B8:C8"/>
    <mergeCell ref="D8:F8"/>
    <mergeCell ref="G8:I8"/>
    <mergeCell ref="J8:P8"/>
    <mergeCell ref="Q8:AE8"/>
    <mergeCell ref="AF8:AI8"/>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719B5-4DAF-4B89-8454-05CE68122848}">
  <sheetPr>
    <pageSetUpPr fitToPage="1"/>
  </sheetPr>
  <dimension ref="A1:Q295"/>
  <sheetViews>
    <sheetView showGridLines="0" view="pageBreakPreview" zoomScaleNormal="80" zoomScaleSheetLayoutView="100" workbookViewId="0">
      <pane ySplit="10" topLeftCell="A11" activePane="bottomLeft" state="frozen"/>
      <selection pane="bottomLeft"/>
    </sheetView>
  </sheetViews>
  <sheetFormatPr defaultColWidth="15.875" defaultRowHeight="11.25" outlineLevelCol="1"/>
  <cols>
    <col min="1" max="3" width="8.625" style="24" customWidth="1"/>
    <col min="4" max="4" width="8.625" style="25" customWidth="1"/>
    <col min="5" max="5" width="8.625" style="24" customWidth="1"/>
    <col min="6" max="6" width="40.625" style="24" customWidth="1"/>
    <col min="7" max="7" width="40.625" style="24" hidden="1" customWidth="1" outlineLevel="1"/>
    <col min="8" max="8" width="15.625" style="24" customWidth="1" collapsed="1"/>
    <col min="9" max="9" width="15.625" style="24" customWidth="1"/>
    <col min="10" max="10" width="25.625" style="35" customWidth="1"/>
    <col min="11" max="11" width="25.625" style="33" customWidth="1"/>
    <col min="12" max="12" width="12.625" style="25" customWidth="1"/>
    <col min="13" max="17" width="8.625" style="24" customWidth="1"/>
    <col min="18" max="16384" width="15.875" style="24"/>
  </cols>
  <sheetData>
    <row r="1" spans="1:17">
      <c r="A1" s="24" t="s">
        <v>564</v>
      </c>
    </row>
    <row r="2" spans="1:17">
      <c r="A2" s="24" t="s">
        <v>595</v>
      </c>
    </row>
    <row r="4" spans="1:17">
      <c r="A4" s="24" t="s">
        <v>565</v>
      </c>
    </row>
    <row r="5" spans="1:17">
      <c r="A5" s="24" t="s">
        <v>631</v>
      </c>
    </row>
    <row r="6" spans="1:17">
      <c r="A6" s="24" t="s">
        <v>632</v>
      </c>
      <c r="J6" s="24"/>
      <c r="K6" s="24"/>
      <c r="N6" s="24" t="s">
        <v>12</v>
      </c>
      <c r="P6" s="24" t="s">
        <v>0</v>
      </c>
    </row>
    <row r="7" spans="1:17">
      <c r="A7" s="24" t="s">
        <v>1046</v>
      </c>
      <c r="J7" s="24"/>
      <c r="K7" s="24"/>
      <c r="N7" s="24" t="s">
        <v>13</v>
      </c>
      <c r="P7" s="24" t="s">
        <v>1</v>
      </c>
    </row>
    <row r="8" spans="1:17" ht="12" thickBot="1">
      <c r="A8" s="26"/>
      <c r="B8" s="26"/>
      <c r="C8" s="26"/>
      <c r="D8" s="27"/>
      <c r="E8" s="26"/>
      <c r="F8" s="26"/>
      <c r="G8" s="26"/>
      <c r="H8" s="26"/>
      <c r="I8" s="26"/>
      <c r="J8" s="34"/>
      <c r="K8" s="36"/>
      <c r="L8" s="27"/>
      <c r="M8" s="26"/>
      <c r="N8" s="26"/>
      <c r="O8" s="26"/>
      <c r="P8" s="26"/>
      <c r="Q8" s="26"/>
    </row>
    <row r="9" spans="1:17" ht="12" thickTop="1"/>
    <row r="10" spans="1:17" s="30" customFormat="1">
      <c r="A10" s="31" t="s">
        <v>32</v>
      </c>
      <c r="B10" s="28" t="s">
        <v>38</v>
      </c>
      <c r="C10" s="28" t="s">
        <v>39</v>
      </c>
      <c r="D10" s="28" t="s">
        <v>40</v>
      </c>
      <c r="E10" s="28" t="s">
        <v>41</v>
      </c>
      <c r="F10" s="37" t="s">
        <v>42</v>
      </c>
      <c r="G10" s="37" t="s">
        <v>510</v>
      </c>
      <c r="H10" s="37" t="s">
        <v>43</v>
      </c>
      <c r="I10" s="37" t="s">
        <v>44</v>
      </c>
      <c r="J10" s="38" t="s">
        <v>2</v>
      </c>
      <c r="K10" s="39" t="s">
        <v>3</v>
      </c>
      <c r="L10" s="40" t="s">
        <v>630</v>
      </c>
      <c r="M10" s="41" t="s">
        <v>4</v>
      </c>
      <c r="N10" s="41" t="s">
        <v>11</v>
      </c>
      <c r="O10" s="41" t="s">
        <v>5</v>
      </c>
      <c r="P10" s="41" t="s">
        <v>6</v>
      </c>
      <c r="Q10" s="42"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71" t="s">
        <v>46</v>
      </c>
      <c r="C11" s="140" t="s">
        <v>47</v>
      </c>
      <c r="D11" s="265" t="s">
        <v>48</v>
      </c>
      <c r="E11" s="140" t="s">
        <v>49</v>
      </c>
      <c r="F11" s="140" t="s">
        <v>50</v>
      </c>
      <c r="G11" s="45" t="s">
        <v>561</v>
      </c>
      <c r="H11" s="45"/>
      <c r="I11" s="45"/>
      <c r="J11" s="45"/>
      <c r="K11" s="45"/>
      <c r="L11" s="46"/>
      <c r="M11" s="48"/>
      <c r="N11" s="47"/>
      <c r="O11" s="47"/>
      <c r="P11" s="48"/>
      <c r="Q11" s="49"/>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43"/>
      <c r="C12" s="143"/>
      <c r="D12" s="265"/>
      <c r="E12" s="140" t="s">
        <v>51</v>
      </c>
      <c r="F12" s="140" t="s">
        <v>52</v>
      </c>
      <c r="G12" s="45" t="s">
        <v>561</v>
      </c>
      <c r="H12" s="45"/>
      <c r="I12" s="45"/>
      <c r="J12" s="45"/>
      <c r="K12" s="45"/>
      <c r="L12" s="46"/>
      <c r="M12" s="48"/>
      <c r="N12" s="47"/>
      <c r="O12" s="47"/>
      <c r="P12" s="48"/>
      <c r="Q12" s="49"/>
    </row>
    <row r="13" spans="1:17" s="30" customFormat="1"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43"/>
      <c r="C13" s="143"/>
      <c r="D13" s="140" t="s">
        <v>53</v>
      </c>
      <c r="E13" s="140" t="s">
        <v>54</v>
      </c>
      <c r="F13" s="140" t="s">
        <v>55</v>
      </c>
      <c r="G13" s="45" t="s">
        <v>561</v>
      </c>
      <c r="H13" s="45"/>
      <c r="I13" s="45"/>
      <c r="J13" s="45"/>
      <c r="K13" s="45"/>
      <c r="L13" s="46"/>
      <c r="M13" s="49"/>
      <c r="N13" s="47"/>
      <c r="O13" s="49"/>
      <c r="P13" s="47"/>
      <c r="Q13" s="48"/>
    </row>
    <row r="14" spans="1:17" s="30" customFormat="1"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43"/>
      <c r="C14" s="143"/>
      <c r="D14" s="265"/>
      <c r="E14" s="265"/>
      <c r="F14" s="140" t="s">
        <v>56</v>
      </c>
      <c r="G14" s="45" t="s">
        <v>561</v>
      </c>
      <c r="H14" s="45"/>
      <c r="I14" s="45"/>
      <c r="J14" s="45"/>
      <c r="K14" s="45"/>
      <c r="L14" s="46"/>
      <c r="M14" s="49"/>
      <c r="N14" s="47"/>
      <c r="O14" s="49"/>
      <c r="P14" s="47"/>
      <c r="Q14" s="48"/>
    </row>
    <row r="15" spans="1:17" s="30" customFormat="1"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43"/>
      <c r="C15" s="143"/>
      <c r="D15" s="265"/>
      <c r="E15" s="265"/>
      <c r="F15" s="127" t="s">
        <v>57</v>
      </c>
      <c r="G15" s="45" t="s">
        <v>561</v>
      </c>
      <c r="H15" s="45"/>
      <c r="I15" s="144"/>
      <c r="J15" s="45"/>
      <c r="K15" s="45"/>
      <c r="L15" s="46"/>
      <c r="M15" s="48"/>
      <c r="N15" s="48"/>
      <c r="O15" s="49"/>
      <c r="P15" s="47"/>
      <c r="Q15" s="48"/>
    </row>
    <row r="16" spans="1:17" s="30" customFormat="1"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43"/>
      <c r="C16" s="143"/>
      <c r="D16" s="265"/>
      <c r="E16" s="265"/>
      <c r="F16" s="127" t="s">
        <v>58</v>
      </c>
      <c r="G16" s="45" t="s">
        <v>561</v>
      </c>
      <c r="H16" s="45"/>
      <c r="I16" s="144"/>
      <c r="J16" s="45"/>
      <c r="K16" s="45"/>
      <c r="L16" s="46"/>
      <c r="M16" s="48"/>
      <c r="N16" s="49"/>
      <c r="O16" s="47"/>
      <c r="P16" s="48"/>
      <c r="Q16" s="49"/>
    </row>
    <row r="17" spans="1:17" s="30" customFormat="1"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43"/>
      <c r="C17" s="143"/>
      <c r="D17" s="145"/>
      <c r="E17" s="146"/>
      <c r="F17" s="127" t="s">
        <v>59</v>
      </c>
      <c r="G17" s="45" t="s">
        <v>561</v>
      </c>
      <c r="H17" s="45"/>
      <c r="I17" s="144"/>
      <c r="J17" s="45"/>
      <c r="K17" s="50"/>
      <c r="L17" s="46"/>
      <c r="M17" s="48"/>
      <c r="N17" s="49"/>
      <c r="O17" s="47"/>
      <c r="P17" s="48"/>
      <c r="Q17" s="49"/>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43"/>
      <c r="C18" s="143"/>
      <c r="D18" s="147" t="s">
        <v>60</v>
      </c>
      <c r="E18" s="265" t="s">
        <v>61</v>
      </c>
      <c r="F18" s="140" t="s">
        <v>62</v>
      </c>
      <c r="G18" s="45" t="s">
        <v>561</v>
      </c>
      <c r="H18" s="45"/>
      <c r="I18" s="45"/>
      <c r="J18" s="45"/>
      <c r="K18" s="45"/>
      <c r="L18" s="46"/>
      <c r="M18" s="48"/>
      <c r="N18" s="49"/>
      <c r="O18" s="47"/>
      <c r="P18" s="48"/>
      <c r="Q18" s="49"/>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43"/>
      <c r="C19" s="143"/>
      <c r="D19" s="147"/>
      <c r="E19" s="265"/>
      <c r="F19" s="140" t="s">
        <v>63</v>
      </c>
      <c r="G19" s="45" t="s">
        <v>561</v>
      </c>
      <c r="H19" s="45"/>
      <c r="I19" s="45"/>
      <c r="J19" s="45"/>
      <c r="K19" s="45"/>
      <c r="L19" s="46"/>
      <c r="M19" s="48"/>
      <c r="N19" s="49"/>
      <c r="O19" s="47"/>
      <c r="P19" s="48"/>
      <c r="Q19" s="49"/>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43"/>
      <c r="C20" s="143"/>
      <c r="D20" s="147"/>
      <c r="E20" s="146"/>
      <c r="F20" s="127" t="s">
        <v>64</v>
      </c>
      <c r="G20" s="45" t="s">
        <v>561</v>
      </c>
      <c r="H20" s="45"/>
      <c r="I20" s="144"/>
      <c r="J20" s="45"/>
      <c r="K20" s="45"/>
      <c r="L20" s="46"/>
      <c r="M20" s="48"/>
      <c r="N20" s="49"/>
      <c r="O20" s="47"/>
      <c r="P20" s="48"/>
      <c r="Q20" s="49"/>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43"/>
      <c r="C21" s="143"/>
      <c r="D21" s="147"/>
      <c r="E21" s="265" t="s">
        <v>65</v>
      </c>
      <c r="F21" s="140" t="s">
        <v>66</v>
      </c>
      <c r="G21" s="45" t="s">
        <v>561</v>
      </c>
      <c r="H21" s="45"/>
      <c r="I21" s="45"/>
      <c r="J21" s="45"/>
      <c r="K21" s="45"/>
      <c r="L21" s="46"/>
      <c r="M21" s="49"/>
      <c r="N21" s="47"/>
      <c r="O21" s="49"/>
      <c r="P21" s="48"/>
      <c r="Q21" s="49"/>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43"/>
      <c r="C22" s="143"/>
      <c r="D22" s="147"/>
      <c r="E22" s="265"/>
      <c r="F22" s="140" t="s">
        <v>67</v>
      </c>
      <c r="G22" s="45" t="s">
        <v>561</v>
      </c>
      <c r="H22" s="45"/>
      <c r="I22" s="45"/>
      <c r="J22" s="45"/>
      <c r="K22" s="45"/>
      <c r="L22" s="46"/>
      <c r="M22" s="49"/>
      <c r="N22" s="47"/>
      <c r="O22" s="49"/>
      <c r="P22" s="48"/>
      <c r="Q22" s="49"/>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43"/>
      <c r="C23" s="143"/>
      <c r="D23" s="147"/>
      <c r="E23" s="265"/>
      <c r="F23" s="140" t="s">
        <v>68</v>
      </c>
      <c r="G23" s="45" t="s">
        <v>561</v>
      </c>
      <c r="H23" s="45"/>
      <c r="I23" s="45"/>
      <c r="J23" s="45"/>
      <c r="K23" s="45"/>
      <c r="L23" s="46"/>
      <c r="M23" s="49"/>
      <c r="N23" s="47"/>
      <c r="O23" s="49"/>
      <c r="P23" s="48"/>
      <c r="Q23" s="49"/>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43"/>
      <c r="C24" s="143"/>
      <c r="D24" s="145"/>
      <c r="E24" s="146"/>
      <c r="F24" s="140" t="s">
        <v>69</v>
      </c>
      <c r="G24" s="45" t="s">
        <v>561</v>
      </c>
      <c r="H24" s="45"/>
      <c r="I24" s="45"/>
      <c r="J24" s="45"/>
      <c r="K24" s="45"/>
      <c r="L24" s="46"/>
      <c r="M24" s="49"/>
      <c r="N24" s="47"/>
      <c r="O24" s="49"/>
      <c r="P24" s="48"/>
      <c r="Q24" s="49"/>
    </row>
    <row r="25" spans="1:17" s="30" customFormat="1"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43"/>
      <c r="C25" s="143"/>
      <c r="D25" s="147" t="s">
        <v>70</v>
      </c>
      <c r="E25" s="147" t="s">
        <v>54</v>
      </c>
      <c r="F25" s="140" t="s">
        <v>71</v>
      </c>
      <c r="G25" s="45" t="s">
        <v>561</v>
      </c>
      <c r="H25" s="45"/>
      <c r="I25" s="45"/>
      <c r="J25" s="45"/>
      <c r="K25" s="45"/>
      <c r="L25" s="46"/>
      <c r="M25" s="49"/>
      <c r="N25" s="47"/>
      <c r="O25" s="49"/>
      <c r="P25" s="47"/>
      <c r="Q25" s="48"/>
    </row>
    <row r="26" spans="1:17" s="30" customFormat="1">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43"/>
      <c r="C26" s="143"/>
      <c r="D26" s="147"/>
      <c r="E26" s="265"/>
      <c r="F26" s="140" t="s">
        <v>72</v>
      </c>
      <c r="G26" s="45" t="s">
        <v>561</v>
      </c>
      <c r="H26" s="45"/>
      <c r="I26" s="45"/>
      <c r="J26" s="45"/>
      <c r="K26" s="45"/>
      <c r="L26" s="46"/>
      <c r="M26" s="48"/>
      <c r="N26" s="48"/>
      <c r="O26" s="49"/>
      <c r="P26" s="47"/>
      <c r="Q26" s="48"/>
    </row>
    <row r="27" spans="1:17" s="30" customFormat="1"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43"/>
      <c r="C27" s="143"/>
      <c r="D27" s="148" t="s">
        <v>73</v>
      </c>
      <c r="E27" s="140" t="s">
        <v>74</v>
      </c>
      <c r="F27" s="140" t="s">
        <v>75</v>
      </c>
      <c r="G27" s="45" t="s">
        <v>561</v>
      </c>
      <c r="H27" s="45"/>
      <c r="I27" s="45"/>
      <c r="J27" s="45"/>
      <c r="K27" s="45"/>
      <c r="L27" s="46"/>
      <c r="M27" s="49"/>
      <c r="N27" s="47"/>
      <c r="O27" s="49"/>
      <c r="P27" s="47"/>
      <c r="Q27" s="48"/>
    </row>
    <row r="28" spans="1:17" s="30" customFormat="1"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43"/>
      <c r="C28" s="143"/>
      <c r="D28" s="147"/>
      <c r="E28" s="265"/>
      <c r="F28" s="140" t="s">
        <v>76</v>
      </c>
      <c r="G28" s="45" t="s">
        <v>561</v>
      </c>
      <c r="H28" s="45"/>
      <c r="I28" s="45"/>
      <c r="J28" s="45"/>
      <c r="K28" s="45"/>
      <c r="L28" s="46"/>
      <c r="M28" s="48"/>
      <c r="N28" s="48"/>
      <c r="O28" s="49"/>
      <c r="P28" s="47"/>
      <c r="Q28" s="48"/>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43"/>
      <c r="C29" s="143"/>
      <c r="D29" s="265"/>
      <c r="E29" s="140" t="s">
        <v>77</v>
      </c>
      <c r="F29" s="140" t="s">
        <v>78</v>
      </c>
      <c r="G29" s="45" t="s">
        <v>561</v>
      </c>
      <c r="H29" s="45"/>
      <c r="I29" s="45"/>
      <c r="J29" s="45"/>
      <c r="K29" s="45"/>
      <c r="L29" s="46"/>
      <c r="M29" s="49"/>
      <c r="N29" s="47"/>
      <c r="O29" s="49"/>
      <c r="P29" s="49"/>
      <c r="Q29" s="49"/>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43"/>
      <c r="C30" s="143"/>
      <c r="D30" s="147"/>
      <c r="E30" s="265"/>
      <c r="F30" s="140" t="s">
        <v>79</v>
      </c>
      <c r="G30" s="45" t="s">
        <v>561</v>
      </c>
      <c r="H30" s="45"/>
      <c r="I30" s="45"/>
      <c r="J30" s="45"/>
      <c r="K30" s="45"/>
      <c r="L30" s="46"/>
      <c r="M30" s="49"/>
      <c r="N30" s="49"/>
      <c r="O30" s="49"/>
      <c r="P30" s="49"/>
      <c r="Q30" s="49"/>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43"/>
      <c r="C31" s="143"/>
      <c r="D31" s="147"/>
      <c r="E31" s="265"/>
      <c r="F31" s="140" t="s">
        <v>80</v>
      </c>
      <c r="G31" s="45" t="s">
        <v>561</v>
      </c>
      <c r="H31" s="45"/>
      <c r="I31" s="45"/>
      <c r="J31" s="45"/>
      <c r="K31" s="45"/>
      <c r="L31" s="46"/>
      <c r="M31" s="49"/>
      <c r="N31" s="47"/>
      <c r="O31" s="49"/>
      <c r="P31" s="49"/>
      <c r="Q31" s="49"/>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43"/>
      <c r="C32" s="143"/>
      <c r="D32" s="147"/>
      <c r="E32" s="265"/>
      <c r="F32" s="140" t="s">
        <v>81</v>
      </c>
      <c r="G32" s="45" t="s">
        <v>561</v>
      </c>
      <c r="H32" s="45"/>
      <c r="I32" s="45"/>
      <c r="J32" s="45"/>
      <c r="K32" s="45"/>
      <c r="L32" s="46"/>
      <c r="M32" s="49"/>
      <c r="N32" s="49"/>
      <c r="O32" s="49"/>
      <c r="P32" s="49"/>
      <c r="Q32" s="49"/>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43"/>
      <c r="C33" s="143"/>
      <c r="D33" s="147"/>
      <c r="E33" s="140" t="s">
        <v>82</v>
      </c>
      <c r="F33" s="127" t="s">
        <v>83</v>
      </c>
      <c r="G33" s="45" t="s">
        <v>561</v>
      </c>
      <c r="H33" s="45"/>
      <c r="I33" s="144"/>
      <c r="J33" s="45"/>
      <c r="K33" s="45"/>
      <c r="L33" s="46"/>
      <c r="M33" s="49"/>
      <c r="N33" s="49"/>
      <c r="O33" s="49"/>
      <c r="P33" s="49"/>
      <c r="Q33" s="49"/>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43"/>
      <c r="C34" s="143"/>
      <c r="D34" s="147"/>
      <c r="E34" s="146"/>
      <c r="F34" s="127" t="s">
        <v>84</v>
      </c>
      <c r="G34" s="45" t="s">
        <v>561</v>
      </c>
      <c r="H34" s="45"/>
      <c r="I34" s="144"/>
      <c r="J34" s="45"/>
      <c r="K34" s="45"/>
      <c r="L34" s="46"/>
      <c r="M34" s="49"/>
      <c r="N34" s="49"/>
      <c r="O34" s="49"/>
      <c r="P34" s="49"/>
      <c r="Q34" s="49"/>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43"/>
      <c r="C35" s="149"/>
      <c r="D35" s="265"/>
      <c r="E35" s="140" t="s">
        <v>85</v>
      </c>
      <c r="F35" s="140" t="s">
        <v>597</v>
      </c>
      <c r="G35" s="45" t="s">
        <v>598</v>
      </c>
      <c r="H35" s="144"/>
      <c r="I35" s="144"/>
      <c r="J35" s="144"/>
      <c r="K35" s="45"/>
      <c r="L35" s="46"/>
      <c r="M35" s="49"/>
      <c r="N35" s="47"/>
      <c r="O35" s="49"/>
      <c r="P35" s="49"/>
      <c r="Q35" s="49"/>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43"/>
      <c r="C36" s="148" t="s">
        <v>87</v>
      </c>
      <c r="D36" s="148" t="s">
        <v>495</v>
      </c>
      <c r="E36" s="140" t="s">
        <v>495</v>
      </c>
      <c r="F36" s="127" t="s">
        <v>88</v>
      </c>
      <c r="G36" s="127"/>
      <c r="H36" s="127"/>
      <c r="I36" s="127"/>
      <c r="J36" s="128" t="s">
        <v>638</v>
      </c>
      <c r="K36" s="228"/>
      <c r="L36" s="97"/>
      <c r="M36" s="96"/>
      <c r="N36" s="96"/>
      <c r="O36" s="96"/>
      <c r="P36" s="96"/>
      <c r="Q36" s="96"/>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43"/>
      <c r="C37" s="143"/>
      <c r="D37" s="147"/>
      <c r="E37" s="265"/>
      <c r="F37" s="127" t="s">
        <v>89</v>
      </c>
      <c r="G37" s="127"/>
      <c r="H37" s="127"/>
      <c r="I37" s="127"/>
      <c r="J37" s="128" t="s">
        <v>638</v>
      </c>
      <c r="K37" s="228"/>
      <c r="L37" s="97"/>
      <c r="M37" s="96"/>
      <c r="N37" s="96"/>
      <c r="O37" s="96"/>
      <c r="P37" s="96"/>
      <c r="Q37" s="96"/>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43"/>
      <c r="C38" s="143"/>
      <c r="D38" s="147"/>
      <c r="E38" s="265"/>
      <c r="F38" s="140" t="s">
        <v>90</v>
      </c>
      <c r="G38" s="128"/>
      <c r="H38" s="127"/>
      <c r="I38" s="127"/>
      <c r="J38" s="128" t="s">
        <v>1045</v>
      </c>
      <c r="K38" s="228"/>
      <c r="L38" s="97"/>
      <c r="M38" s="96"/>
      <c r="N38" s="230"/>
      <c r="O38" s="96"/>
      <c r="P38" s="96"/>
      <c r="Q38" s="96"/>
    </row>
    <row r="39" spans="1:17" s="30" customFormat="1"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43"/>
      <c r="C39" s="143"/>
      <c r="D39" s="145"/>
      <c r="E39" s="146"/>
      <c r="F39" s="266" t="s">
        <v>91</v>
      </c>
      <c r="G39" s="128"/>
      <c r="H39" s="127"/>
      <c r="I39" s="127"/>
      <c r="J39" s="128" t="s">
        <v>1045</v>
      </c>
      <c r="K39" s="228"/>
      <c r="L39" s="97"/>
      <c r="M39" s="96"/>
      <c r="N39" s="230"/>
      <c r="O39" s="96"/>
      <c r="P39" s="229"/>
      <c r="Q39" s="96"/>
    </row>
    <row r="40" spans="1:17" s="30" customFormat="1"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43"/>
      <c r="C40" s="143"/>
      <c r="D40" s="147" t="s">
        <v>92</v>
      </c>
      <c r="E40" s="265" t="s">
        <v>54</v>
      </c>
      <c r="F40" s="127" t="s">
        <v>93</v>
      </c>
      <c r="G40" s="127"/>
      <c r="H40" s="127"/>
      <c r="I40" s="127"/>
      <c r="J40" s="128" t="s">
        <v>1045</v>
      </c>
      <c r="K40" s="80"/>
      <c r="L40" s="97"/>
      <c r="M40" s="229"/>
      <c r="N40" s="96"/>
      <c r="O40" s="230"/>
      <c r="P40" s="229"/>
      <c r="Q40" s="96"/>
    </row>
    <row r="41" spans="1:17" s="30" customFormat="1" ht="22.5">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232"/>
      <c r="C41" s="232"/>
      <c r="D41" s="145"/>
      <c r="E41" s="146"/>
      <c r="F41" s="127" t="s">
        <v>94</v>
      </c>
      <c r="G41" s="127"/>
      <c r="H41" s="127"/>
      <c r="I41" s="127"/>
      <c r="J41" s="128" t="s">
        <v>1045</v>
      </c>
      <c r="K41" s="80"/>
      <c r="L41" s="97"/>
      <c r="M41" s="229"/>
      <c r="N41" s="96"/>
      <c r="O41" s="230"/>
      <c r="P41" s="229"/>
      <c r="Q41" s="96"/>
    </row>
    <row r="42" spans="1:17" s="30" customFormat="1" ht="22.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72" t="s">
        <v>95</v>
      </c>
      <c r="C42" s="267" t="s">
        <v>96</v>
      </c>
      <c r="D42" s="267" t="s">
        <v>97</v>
      </c>
      <c r="E42" s="157" t="s">
        <v>98</v>
      </c>
      <c r="F42" s="144" t="s">
        <v>99</v>
      </c>
      <c r="G42" s="65" t="s">
        <v>493</v>
      </c>
      <c r="H42" s="144"/>
      <c r="I42" s="144"/>
      <c r="J42" s="55"/>
      <c r="K42" s="50"/>
      <c r="L42" s="46"/>
      <c r="M42" s="49"/>
      <c r="N42" s="47"/>
      <c r="O42" s="49"/>
      <c r="P42" s="48"/>
      <c r="Q42" s="49"/>
    </row>
    <row r="43" spans="1:17" s="30" customFormat="1" ht="22.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43"/>
      <c r="C43" s="149"/>
      <c r="D43" s="160"/>
      <c r="E43" s="160"/>
      <c r="F43" s="161" t="s">
        <v>100</v>
      </c>
      <c r="G43" s="65" t="s">
        <v>493</v>
      </c>
      <c r="H43" s="144"/>
      <c r="I43" s="144"/>
      <c r="J43" s="55"/>
      <c r="K43" s="50"/>
      <c r="L43" s="46"/>
      <c r="M43" s="49"/>
      <c r="N43" s="47"/>
      <c r="O43" s="49"/>
      <c r="P43" s="48"/>
      <c r="Q43" s="49"/>
    </row>
    <row r="44" spans="1:17" s="30" customFormat="1" ht="33.7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43"/>
      <c r="C44" s="149"/>
      <c r="D44" s="160"/>
      <c r="E44" s="162"/>
      <c r="F44" s="144" t="s">
        <v>101</v>
      </c>
      <c r="G44" s="65" t="s">
        <v>493</v>
      </c>
      <c r="H44" s="144"/>
      <c r="I44" s="144"/>
      <c r="J44" s="55"/>
      <c r="K44" s="50"/>
      <c r="L44" s="46"/>
      <c r="M44" s="48"/>
      <c r="N44" s="49"/>
      <c r="O44" s="47"/>
      <c r="P44" s="48"/>
      <c r="Q44" s="49"/>
    </row>
    <row r="45" spans="1:17" s="30" customFormat="1" ht="22.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43"/>
      <c r="C45" s="149"/>
      <c r="D45" s="160"/>
      <c r="E45" s="160" t="s">
        <v>102</v>
      </c>
      <c r="F45" s="144" t="s">
        <v>103</v>
      </c>
      <c r="G45" s="65" t="s">
        <v>493</v>
      </c>
      <c r="H45" s="144"/>
      <c r="I45" s="144"/>
      <c r="J45" s="55"/>
      <c r="K45" s="50"/>
      <c r="L45" s="46"/>
      <c r="M45" s="48"/>
      <c r="N45" s="49"/>
      <c r="O45" s="47"/>
      <c r="P45" s="48"/>
      <c r="Q45" s="49"/>
    </row>
    <row r="46" spans="1:17" s="30" customFormat="1" ht="22.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43"/>
      <c r="C46" s="149"/>
      <c r="D46" s="160"/>
      <c r="E46" s="160"/>
      <c r="F46" s="144" t="s">
        <v>104</v>
      </c>
      <c r="G46" s="65" t="s">
        <v>493</v>
      </c>
      <c r="H46" s="144"/>
      <c r="I46" s="144"/>
      <c r="J46" s="55"/>
      <c r="K46" s="50"/>
      <c r="L46" s="46"/>
      <c r="M46" s="48"/>
      <c r="N46" s="49"/>
      <c r="O46" s="47"/>
      <c r="P46" s="48"/>
      <c r="Q46" s="49"/>
    </row>
    <row r="47" spans="1:17" s="30" customFormat="1" ht="33.7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43"/>
      <c r="C47" s="149"/>
      <c r="D47" s="160"/>
      <c r="E47" s="162"/>
      <c r="F47" s="144" t="s">
        <v>101</v>
      </c>
      <c r="G47" s="65" t="s">
        <v>493</v>
      </c>
      <c r="H47" s="144"/>
      <c r="I47" s="144"/>
      <c r="J47" s="55"/>
      <c r="K47" s="50"/>
      <c r="L47" s="46"/>
      <c r="M47" s="48"/>
      <c r="N47" s="49"/>
      <c r="O47" s="47"/>
      <c r="P47" s="48"/>
      <c r="Q47" s="49"/>
    </row>
    <row r="48" spans="1:17" s="30" customFormat="1" ht="2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43"/>
      <c r="C48" s="149"/>
      <c r="D48" s="160"/>
      <c r="E48" s="160" t="s">
        <v>105</v>
      </c>
      <c r="F48" s="161" t="s">
        <v>106</v>
      </c>
      <c r="G48" s="65" t="s">
        <v>493</v>
      </c>
      <c r="H48" s="144"/>
      <c r="I48" s="144"/>
      <c r="J48" s="55"/>
      <c r="K48" s="50"/>
      <c r="L48" s="46"/>
      <c r="M48" s="49"/>
      <c r="N48" s="47"/>
      <c r="O48" s="49"/>
      <c r="P48" s="48"/>
      <c r="Q48" s="49"/>
    </row>
    <row r="49" spans="1:17" s="30" customFormat="1"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43"/>
      <c r="C49" s="149"/>
      <c r="D49" s="160"/>
      <c r="E49" s="160"/>
      <c r="F49" s="161" t="s">
        <v>107</v>
      </c>
      <c r="G49" s="65" t="s">
        <v>493</v>
      </c>
      <c r="H49" s="144"/>
      <c r="I49" s="144"/>
      <c r="J49" s="55"/>
      <c r="K49" s="50"/>
      <c r="L49" s="46"/>
      <c r="M49" s="49"/>
      <c r="N49" s="47"/>
      <c r="O49" s="49"/>
      <c r="P49" s="48"/>
      <c r="Q49" s="49"/>
    </row>
    <row r="50" spans="1:17" s="30" customFormat="1"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43"/>
      <c r="C50" s="149"/>
      <c r="D50" s="160"/>
      <c r="E50" s="161" t="s">
        <v>108</v>
      </c>
      <c r="F50" s="144" t="s">
        <v>109</v>
      </c>
      <c r="G50" s="65" t="s">
        <v>493</v>
      </c>
      <c r="H50" s="144"/>
      <c r="I50" s="144"/>
      <c r="J50" s="55"/>
      <c r="K50" s="50"/>
      <c r="L50" s="46"/>
      <c r="M50" s="48"/>
      <c r="N50" s="49"/>
      <c r="O50" s="47"/>
      <c r="P50" s="48"/>
      <c r="Q50" s="49"/>
    </row>
    <row r="51" spans="1:17" s="30" customFormat="1"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43"/>
      <c r="C51" s="149"/>
      <c r="D51" s="160"/>
      <c r="E51" s="160"/>
      <c r="F51" s="144" t="s">
        <v>110</v>
      </c>
      <c r="G51" s="65" t="s">
        <v>493</v>
      </c>
      <c r="H51" s="144"/>
      <c r="I51" s="144"/>
      <c r="J51" s="55"/>
      <c r="K51" s="50"/>
      <c r="L51" s="46"/>
      <c r="M51" s="48"/>
      <c r="N51" s="49"/>
      <c r="O51" s="47"/>
      <c r="P51" s="48"/>
      <c r="Q51" s="49"/>
    </row>
    <row r="52" spans="1:17" s="30" customFormat="1" ht="2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43"/>
      <c r="C52" s="149"/>
      <c r="D52" s="160"/>
      <c r="E52" s="160"/>
      <c r="F52" s="144" t="s">
        <v>111</v>
      </c>
      <c r="G52" s="65" t="s">
        <v>493</v>
      </c>
      <c r="H52" s="144"/>
      <c r="I52" s="144"/>
      <c r="J52" s="55"/>
      <c r="K52" s="50"/>
      <c r="L52" s="46"/>
      <c r="M52" s="48"/>
      <c r="N52" s="49"/>
      <c r="O52" s="47"/>
      <c r="P52" s="48"/>
      <c r="Q52" s="49"/>
    </row>
    <row r="53" spans="1:17" s="30" customFormat="1"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43"/>
      <c r="C53" s="149"/>
      <c r="D53" s="160"/>
      <c r="E53" s="160"/>
      <c r="F53" s="144" t="s">
        <v>112</v>
      </c>
      <c r="G53" s="65" t="s">
        <v>493</v>
      </c>
      <c r="H53" s="144"/>
      <c r="I53" s="144"/>
      <c r="J53" s="55"/>
      <c r="K53" s="50"/>
      <c r="L53" s="46"/>
      <c r="M53" s="48"/>
      <c r="N53" s="49"/>
      <c r="O53" s="47"/>
      <c r="P53" s="48"/>
      <c r="Q53" s="49"/>
    </row>
    <row r="54" spans="1:17" s="30" customFormat="1" ht="2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43"/>
      <c r="C54" s="149"/>
      <c r="D54" s="160"/>
      <c r="E54" s="160"/>
      <c r="F54" s="144" t="s">
        <v>113</v>
      </c>
      <c r="G54" s="65" t="s">
        <v>493</v>
      </c>
      <c r="H54" s="144"/>
      <c r="I54" s="144"/>
      <c r="J54" s="55"/>
      <c r="K54" s="50"/>
      <c r="L54" s="46"/>
      <c r="M54" s="48"/>
      <c r="N54" s="49"/>
      <c r="O54" s="47"/>
      <c r="P54" s="48"/>
      <c r="Q54" s="49"/>
    </row>
    <row r="55" spans="1:17" s="30" customFormat="1"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43"/>
      <c r="C55" s="149"/>
      <c r="D55" s="160"/>
      <c r="E55" s="162"/>
      <c r="F55" s="144" t="s">
        <v>114</v>
      </c>
      <c r="G55" s="65" t="s">
        <v>493</v>
      </c>
      <c r="H55" s="144"/>
      <c r="I55" s="144"/>
      <c r="J55" s="55"/>
      <c r="K55" s="50"/>
      <c r="L55" s="46"/>
      <c r="M55" s="48"/>
      <c r="N55" s="49"/>
      <c r="O55" s="47"/>
      <c r="P55" s="48"/>
      <c r="Q55" s="49"/>
    </row>
    <row r="56" spans="1:17" s="30" customFormat="1" ht="33.7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43"/>
      <c r="C56" s="149"/>
      <c r="D56" s="160"/>
      <c r="E56" s="162" t="s">
        <v>115</v>
      </c>
      <c r="F56" s="144" t="s">
        <v>116</v>
      </c>
      <c r="G56" s="65" t="s">
        <v>493</v>
      </c>
      <c r="H56" s="144"/>
      <c r="I56" s="144"/>
      <c r="J56" s="55"/>
      <c r="K56" s="50"/>
      <c r="L56" s="46"/>
      <c r="M56" s="48"/>
      <c r="N56" s="49"/>
      <c r="O56" s="47"/>
      <c r="P56" s="48"/>
      <c r="Q56" s="49"/>
    </row>
    <row r="57" spans="1:17" s="30" customFormat="1"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43"/>
      <c r="C57" s="149"/>
      <c r="D57" s="160"/>
      <c r="E57" s="162" t="s">
        <v>117</v>
      </c>
      <c r="F57" s="144" t="s">
        <v>118</v>
      </c>
      <c r="G57" s="65" t="s">
        <v>493</v>
      </c>
      <c r="H57" s="144"/>
      <c r="I57" s="144"/>
      <c r="J57" s="55"/>
      <c r="K57" s="50"/>
      <c r="L57" s="46"/>
      <c r="M57" s="48"/>
      <c r="N57" s="49"/>
      <c r="O57" s="47"/>
      <c r="P57" s="48"/>
      <c r="Q57" s="49"/>
    </row>
    <row r="58" spans="1:17" s="30" customFormat="1"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43"/>
      <c r="C58" s="149"/>
      <c r="D58" s="162"/>
      <c r="E58" s="162" t="s">
        <v>119</v>
      </c>
      <c r="F58" s="144" t="s">
        <v>120</v>
      </c>
      <c r="G58" s="65" t="s">
        <v>493</v>
      </c>
      <c r="H58" s="144"/>
      <c r="I58" s="144"/>
      <c r="J58" s="55"/>
      <c r="K58" s="50"/>
      <c r="L58" s="46"/>
      <c r="M58" s="48"/>
      <c r="N58" s="49"/>
      <c r="O58" s="47"/>
      <c r="P58" s="48"/>
      <c r="Q58" s="49"/>
    </row>
    <row r="59" spans="1:17" s="30" customFormat="1"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43"/>
      <c r="C59" s="149"/>
      <c r="D59" s="160" t="s">
        <v>121</v>
      </c>
      <c r="E59" s="160" t="s">
        <v>54</v>
      </c>
      <c r="F59" s="144" t="s">
        <v>122</v>
      </c>
      <c r="G59" s="65" t="s">
        <v>493</v>
      </c>
      <c r="H59" s="144"/>
      <c r="I59" s="144"/>
      <c r="J59" s="55"/>
      <c r="K59" s="50"/>
      <c r="L59" s="46"/>
      <c r="M59" s="48"/>
      <c r="N59" s="49"/>
      <c r="O59" s="47"/>
      <c r="P59" s="48"/>
      <c r="Q59" s="49"/>
    </row>
    <row r="60" spans="1:17" s="30" customFormat="1"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43"/>
      <c r="C60" s="143"/>
      <c r="D60" s="160"/>
      <c r="E60" s="160"/>
      <c r="F60" s="161" t="s">
        <v>123</v>
      </c>
      <c r="G60" s="65" t="s">
        <v>493</v>
      </c>
      <c r="H60" s="144"/>
      <c r="I60" s="144"/>
      <c r="J60" s="55"/>
      <c r="K60" s="50"/>
      <c r="L60" s="46"/>
      <c r="M60" s="49"/>
      <c r="N60" s="47"/>
      <c r="O60" s="49"/>
      <c r="P60" s="48"/>
      <c r="Q60" s="49"/>
    </row>
    <row r="61" spans="1:17" s="30" customFormat="1"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43"/>
      <c r="C61" s="143"/>
      <c r="D61" s="160"/>
      <c r="E61" s="160"/>
      <c r="F61" s="144" t="s">
        <v>124</v>
      </c>
      <c r="G61" s="65" t="s">
        <v>493</v>
      </c>
      <c r="H61" s="144"/>
      <c r="I61" s="144"/>
      <c r="J61" s="55"/>
      <c r="K61" s="50"/>
      <c r="L61" s="46"/>
      <c r="M61" s="48"/>
      <c r="N61" s="49"/>
      <c r="O61" s="47"/>
      <c r="P61" s="48"/>
      <c r="Q61" s="49"/>
    </row>
    <row r="62" spans="1:17" s="30" customFormat="1"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43"/>
      <c r="C62" s="143"/>
      <c r="D62" s="160"/>
      <c r="E62" s="160"/>
      <c r="F62" s="144" t="s">
        <v>125</v>
      </c>
      <c r="G62" s="65" t="s">
        <v>493</v>
      </c>
      <c r="H62" s="144"/>
      <c r="I62" s="144"/>
      <c r="J62" s="55"/>
      <c r="K62" s="50"/>
      <c r="L62" s="46"/>
      <c r="M62" s="48"/>
      <c r="N62" s="49"/>
      <c r="O62" s="47"/>
      <c r="P62" s="48"/>
      <c r="Q62" s="49"/>
    </row>
    <row r="63" spans="1:17" s="30" customFormat="1"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43"/>
      <c r="C63" s="143"/>
      <c r="D63" s="160"/>
      <c r="E63" s="162"/>
      <c r="F63" s="144" t="s">
        <v>126</v>
      </c>
      <c r="G63" s="65" t="s">
        <v>493</v>
      </c>
      <c r="H63" s="144"/>
      <c r="I63" s="144"/>
      <c r="J63" s="55"/>
      <c r="K63" s="50"/>
      <c r="L63" s="46"/>
      <c r="M63" s="48"/>
      <c r="N63" s="49"/>
      <c r="O63" s="47"/>
      <c r="P63" s="48"/>
      <c r="Q63" s="49"/>
    </row>
    <row r="64" spans="1:17" s="30" customFormat="1" ht="33.7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43"/>
      <c r="C64" s="143"/>
      <c r="D64" s="160"/>
      <c r="E64" s="160" t="s">
        <v>127</v>
      </c>
      <c r="F64" s="144" t="s">
        <v>128</v>
      </c>
      <c r="G64" s="65" t="s">
        <v>493</v>
      </c>
      <c r="H64" s="144"/>
      <c r="I64" s="144"/>
      <c r="J64" s="55"/>
      <c r="K64" s="50"/>
      <c r="L64" s="46"/>
      <c r="M64" s="48"/>
      <c r="N64" s="49"/>
      <c r="O64" s="47"/>
      <c r="P64" s="48"/>
      <c r="Q64" s="49"/>
    </row>
    <row r="65" spans="1:17" s="30" customFormat="1" ht="33.7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43"/>
      <c r="C65" s="143"/>
      <c r="D65" s="160"/>
      <c r="E65" s="160"/>
      <c r="F65" s="144" t="s">
        <v>129</v>
      </c>
      <c r="G65" s="65" t="s">
        <v>493</v>
      </c>
      <c r="H65" s="144"/>
      <c r="I65" s="144"/>
      <c r="J65" s="55"/>
      <c r="K65" s="50"/>
      <c r="L65" s="46"/>
      <c r="M65" s="48"/>
      <c r="N65" s="49"/>
      <c r="O65" s="47"/>
      <c r="P65" s="48"/>
      <c r="Q65" s="49"/>
    </row>
    <row r="66" spans="1:17" s="30" customFormat="1" ht="33.7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43"/>
      <c r="C66" s="143"/>
      <c r="D66" s="160"/>
      <c r="E66" s="160"/>
      <c r="F66" s="144" t="s">
        <v>130</v>
      </c>
      <c r="G66" s="65" t="s">
        <v>493</v>
      </c>
      <c r="H66" s="144"/>
      <c r="I66" s="144"/>
      <c r="J66" s="55"/>
      <c r="K66" s="50"/>
      <c r="L66" s="46"/>
      <c r="M66" s="48"/>
      <c r="N66" s="49"/>
      <c r="O66" s="47"/>
      <c r="P66" s="48"/>
      <c r="Q66" s="49"/>
    </row>
    <row r="67" spans="1:17" s="30" customFormat="1" ht="33.7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43"/>
      <c r="C67" s="143"/>
      <c r="D67" s="160"/>
      <c r="E67" s="160"/>
      <c r="F67" s="144" t="s">
        <v>131</v>
      </c>
      <c r="G67" s="65" t="s">
        <v>493</v>
      </c>
      <c r="H67" s="144"/>
      <c r="I67" s="144"/>
      <c r="J67" s="55"/>
      <c r="K67" s="50"/>
      <c r="L67" s="46"/>
      <c r="M67" s="48"/>
      <c r="N67" s="49"/>
      <c r="O67" s="47"/>
      <c r="P67" s="48"/>
      <c r="Q67" s="49"/>
    </row>
    <row r="68" spans="1:17" s="30" customFormat="1"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43"/>
      <c r="C68" s="143"/>
      <c r="D68" s="160"/>
      <c r="E68" s="160"/>
      <c r="F68" s="144" t="s">
        <v>132</v>
      </c>
      <c r="G68" s="65" t="s">
        <v>493</v>
      </c>
      <c r="H68" s="144"/>
      <c r="I68" s="144"/>
      <c r="J68" s="55"/>
      <c r="K68" s="50"/>
      <c r="L68" s="46"/>
      <c r="M68" s="48"/>
      <c r="N68" s="49"/>
      <c r="O68" s="47"/>
      <c r="P68" s="48"/>
      <c r="Q68" s="49"/>
    </row>
    <row r="69" spans="1:17" s="30" customFormat="1" ht="22.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43"/>
      <c r="C69" s="143"/>
      <c r="D69" s="160"/>
      <c r="E69" s="160"/>
      <c r="F69" s="144" t="s">
        <v>133</v>
      </c>
      <c r="G69" s="65" t="s">
        <v>493</v>
      </c>
      <c r="H69" s="144"/>
      <c r="I69" s="144"/>
      <c r="J69" s="55"/>
      <c r="K69" s="50"/>
      <c r="L69" s="46"/>
      <c r="M69" s="48"/>
      <c r="N69" s="49"/>
      <c r="O69" s="47"/>
      <c r="P69" s="48"/>
      <c r="Q69" s="49"/>
    </row>
    <row r="70" spans="1:17" s="30" customFormat="1"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43"/>
      <c r="C70" s="143"/>
      <c r="D70" s="160"/>
      <c r="E70" s="160"/>
      <c r="F70" s="144" t="s">
        <v>134</v>
      </c>
      <c r="G70" s="65" t="s">
        <v>493</v>
      </c>
      <c r="H70" s="144"/>
      <c r="I70" s="144"/>
      <c r="J70" s="55"/>
      <c r="K70" s="50"/>
      <c r="L70" s="46"/>
      <c r="M70" s="48"/>
      <c r="N70" s="49"/>
      <c r="O70" s="47"/>
      <c r="P70" s="48"/>
      <c r="Q70" s="49"/>
    </row>
    <row r="71" spans="1:17" s="30" customFormat="1" ht="33.7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58"/>
      <c r="C71" s="158"/>
      <c r="D71" s="160"/>
      <c r="E71" s="162"/>
      <c r="F71" s="144" t="s">
        <v>135</v>
      </c>
      <c r="G71" s="65" t="s">
        <v>493</v>
      </c>
      <c r="H71" s="144"/>
      <c r="I71" s="144"/>
      <c r="J71" s="55"/>
      <c r="K71" s="50"/>
      <c r="L71" s="46"/>
      <c r="M71" s="48"/>
      <c r="N71" s="49"/>
      <c r="O71" s="47"/>
      <c r="P71" s="48"/>
      <c r="Q71" s="49"/>
    </row>
    <row r="72" spans="1:17" s="30" customFormat="1" ht="22.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58"/>
      <c r="C72" s="158"/>
      <c r="D72" s="160"/>
      <c r="E72" s="161" t="s">
        <v>136</v>
      </c>
      <c r="F72" s="161" t="s">
        <v>137</v>
      </c>
      <c r="G72" s="65" t="s">
        <v>493</v>
      </c>
      <c r="H72" s="144"/>
      <c r="I72" s="144"/>
      <c r="J72" s="55"/>
      <c r="K72" s="50"/>
      <c r="L72" s="46"/>
      <c r="M72" s="49"/>
      <c r="N72" s="47"/>
      <c r="O72" s="49"/>
      <c r="P72" s="48"/>
      <c r="Q72" s="49"/>
    </row>
    <row r="73" spans="1:17" s="30" customFormat="1" ht="22.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58"/>
      <c r="C73" s="163"/>
      <c r="D73" s="160"/>
      <c r="E73" s="161" t="s">
        <v>138</v>
      </c>
      <c r="F73" s="144" t="s">
        <v>139</v>
      </c>
      <c r="G73" s="65" t="s">
        <v>493</v>
      </c>
      <c r="H73" s="144"/>
      <c r="I73" s="144"/>
      <c r="J73" s="55"/>
      <c r="K73" s="50"/>
      <c r="L73" s="46"/>
      <c r="M73" s="48"/>
      <c r="N73" s="49"/>
      <c r="O73" s="47"/>
      <c r="P73" s="48"/>
      <c r="Q73" s="49"/>
    </row>
    <row r="74" spans="1:17" s="30" customFormat="1" ht="22.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58"/>
      <c r="C74" s="163"/>
      <c r="D74" s="160"/>
      <c r="E74" s="160"/>
      <c r="F74" s="144" t="s">
        <v>140</v>
      </c>
      <c r="G74" s="65" t="s">
        <v>493</v>
      </c>
      <c r="H74" s="144"/>
      <c r="I74" s="144"/>
      <c r="J74" s="55"/>
      <c r="K74" s="50"/>
      <c r="L74" s="46"/>
      <c r="M74" s="48"/>
      <c r="N74" s="49"/>
      <c r="O74" s="47"/>
      <c r="P74" s="48"/>
      <c r="Q74" s="49"/>
    </row>
    <row r="75" spans="1:17" ht="22.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58"/>
      <c r="C75" s="163"/>
      <c r="D75" s="160"/>
      <c r="E75" s="160"/>
      <c r="F75" s="144" t="s">
        <v>141</v>
      </c>
      <c r="G75" s="65" t="s">
        <v>493</v>
      </c>
      <c r="H75" s="144"/>
      <c r="I75" s="144"/>
      <c r="J75" s="55"/>
      <c r="K75" s="49"/>
      <c r="L75" s="46"/>
      <c r="M75" s="49"/>
      <c r="N75" s="49"/>
      <c r="O75" s="49"/>
      <c r="P75" s="49"/>
      <c r="Q75" s="49"/>
    </row>
    <row r="76" spans="1:17" ht="22.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58"/>
      <c r="C76" s="163"/>
      <c r="D76" s="160"/>
      <c r="E76" s="160"/>
      <c r="F76" s="144" t="s">
        <v>142</v>
      </c>
      <c r="G76" s="65" t="s">
        <v>493</v>
      </c>
      <c r="H76" s="144"/>
      <c r="I76" s="144"/>
      <c r="J76" s="55"/>
      <c r="K76" s="49"/>
      <c r="L76" s="46"/>
      <c r="M76" s="49"/>
      <c r="N76" s="49"/>
      <c r="O76" s="49"/>
      <c r="P76" s="49"/>
      <c r="Q76" s="49"/>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59"/>
      <c r="C77" s="164"/>
      <c r="D77" s="162"/>
      <c r="E77" s="162"/>
      <c r="F77" s="144" t="s">
        <v>143</v>
      </c>
      <c r="G77" s="65" t="s">
        <v>493</v>
      </c>
      <c r="H77" s="144"/>
      <c r="I77" s="144"/>
      <c r="J77" s="55"/>
      <c r="K77" s="49"/>
      <c r="L77" s="46"/>
      <c r="M77" s="49"/>
      <c r="N77" s="49"/>
      <c r="O77" s="49"/>
      <c r="P77" s="49"/>
      <c r="Q77" s="49"/>
    </row>
    <row r="78" spans="1:17" ht="2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59"/>
      <c r="C78" s="165" t="s">
        <v>144</v>
      </c>
      <c r="D78" s="161" t="s">
        <v>15</v>
      </c>
      <c r="E78" s="161" t="s">
        <v>54</v>
      </c>
      <c r="F78" s="161" t="s">
        <v>145</v>
      </c>
      <c r="G78" s="65" t="s">
        <v>493</v>
      </c>
      <c r="H78" s="144"/>
      <c r="I78" s="144"/>
      <c r="J78" s="55"/>
      <c r="K78" s="50"/>
      <c r="L78" s="46"/>
      <c r="M78" s="49"/>
      <c r="N78" s="47"/>
      <c r="O78" s="49"/>
      <c r="P78" s="49"/>
      <c r="Q78" s="49"/>
    </row>
    <row r="79" spans="1:17" ht="33.7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58"/>
      <c r="C79" s="166"/>
      <c r="D79" s="160"/>
      <c r="E79" s="160"/>
      <c r="F79" s="161" t="s">
        <v>146</v>
      </c>
      <c r="G79" s="65" t="s">
        <v>493</v>
      </c>
      <c r="H79" s="144"/>
      <c r="I79" s="144"/>
      <c r="J79" s="55"/>
      <c r="K79" s="50"/>
      <c r="L79" s="46"/>
      <c r="M79" s="49"/>
      <c r="N79" s="47"/>
      <c r="O79" s="49"/>
      <c r="P79" s="49"/>
      <c r="Q79" s="49"/>
    </row>
    <row r="80" spans="1:17" ht="22.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58"/>
      <c r="C80" s="166"/>
      <c r="D80" s="160"/>
      <c r="E80" s="161" t="s">
        <v>147</v>
      </c>
      <c r="F80" s="161" t="s">
        <v>148</v>
      </c>
      <c r="G80" s="65" t="s">
        <v>493</v>
      </c>
      <c r="H80" s="144"/>
      <c r="I80" s="144"/>
      <c r="J80" s="55"/>
      <c r="K80" s="49"/>
      <c r="L80" s="46"/>
      <c r="M80" s="49"/>
      <c r="N80" s="49"/>
      <c r="O80" s="49"/>
      <c r="P80" s="49"/>
      <c r="Q80" s="49"/>
    </row>
    <row r="81" spans="1:17" ht="33.7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58"/>
      <c r="C81" s="166"/>
      <c r="D81" s="160"/>
      <c r="E81" s="161" t="s">
        <v>149</v>
      </c>
      <c r="F81" s="144" t="s">
        <v>150</v>
      </c>
      <c r="G81" s="65" t="s">
        <v>493</v>
      </c>
      <c r="H81" s="144"/>
      <c r="I81" s="144"/>
      <c r="J81" s="55"/>
      <c r="K81" s="50"/>
      <c r="L81" s="46"/>
      <c r="M81" s="49"/>
      <c r="N81" s="49"/>
      <c r="O81" s="49"/>
      <c r="P81" s="49"/>
      <c r="Q81" s="49"/>
    </row>
    <row r="82" spans="1:17" ht="33.7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58"/>
      <c r="C82" s="166"/>
      <c r="D82" s="160"/>
      <c r="E82" s="162"/>
      <c r="F82" s="144" t="s">
        <v>151</v>
      </c>
      <c r="G82" s="65" t="s">
        <v>493</v>
      </c>
      <c r="H82" s="144"/>
      <c r="I82" s="144"/>
      <c r="J82" s="55"/>
      <c r="K82" s="49"/>
      <c r="L82" s="46"/>
      <c r="M82" s="49"/>
      <c r="N82" s="49"/>
      <c r="O82" s="49"/>
      <c r="P82" s="49"/>
      <c r="Q82" s="49"/>
    </row>
    <row r="83" spans="1:17" ht="22.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58"/>
      <c r="C83" s="166"/>
      <c r="D83" s="160"/>
      <c r="E83" s="162" t="s">
        <v>152</v>
      </c>
      <c r="F83" s="144" t="s">
        <v>153</v>
      </c>
      <c r="G83" s="65" t="s">
        <v>493</v>
      </c>
      <c r="H83" s="144"/>
      <c r="I83" s="144"/>
      <c r="J83" s="55"/>
      <c r="K83" s="49"/>
      <c r="L83" s="46"/>
      <c r="M83" s="49"/>
      <c r="N83" s="49"/>
      <c r="O83" s="49"/>
      <c r="P83" s="49"/>
      <c r="Q83" s="49"/>
    </row>
    <row r="84" spans="1:17" ht="2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58"/>
      <c r="C84" s="167"/>
      <c r="D84" s="162"/>
      <c r="E84" s="162" t="s">
        <v>154</v>
      </c>
      <c r="F84" s="144" t="s">
        <v>155</v>
      </c>
      <c r="G84" s="65" t="s">
        <v>493</v>
      </c>
      <c r="H84" s="144"/>
      <c r="I84" s="144"/>
      <c r="J84" s="55"/>
      <c r="K84" s="49"/>
      <c r="L84" s="46"/>
      <c r="M84" s="49"/>
      <c r="N84" s="49"/>
      <c r="O84" s="49"/>
      <c r="P84" s="49"/>
      <c r="Q84" s="49"/>
    </row>
    <row r="85" spans="1:17" ht="22.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58"/>
      <c r="C85" s="160" t="s">
        <v>156</v>
      </c>
      <c r="D85" s="160" t="s">
        <v>15</v>
      </c>
      <c r="E85" s="144" t="s">
        <v>54</v>
      </c>
      <c r="F85" s="144" t="s">
        <v>157</v>
      </c>
      <c r="G85" s="65" t="s">
        <v>493</v>
      </c>
      <c r="H85" s="144"/>
      <c r="I85" s="144"/>
      <c r="J85" s="55"/>
      <c r="K85" s="49"/>
      <c r="L85" s="46"/>
      <c r="M85" s="49"/>
      <c r="N85" s="49"/>
      <c r="O85" s="49"/>
      <c r="P85" s="49"/>
      <c r="Q85" s="49"/>
    </row>
    <row r="86" spans="1:17" ht="22.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58"/>
      <c r="C86" s="166"/>
      <c r="D86" s="160"/>
      <c r="E86" s="162" t="s">
        <v>147</v>
      </c>
      <c r="F86" s="144" t="s">
        <v>158</v>
      </c>
      <c r="G86" s="65" t="s">
        <v>493</v>
      </c>
      <c r="H86" s="144"/>
      <c r="I86" s="144"/>
      <c r="J86" s="55"/>
      <c r="K86" s="49"/>
      <c r="L86" s="46"/>
      <c r="M86" s="49"/>
      <c r="N86" s="49"/>
      <c r="O86" s="49"/>
      <c r="P86" s="49"/>
      <c r="Q86" s="49"/>
    </row>
    <row r="87" spans="1:17" ht="33.7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58"/>
      <c r="C87" s="167"/>
      <c r="D87" s="162"/>
      <c r="E87" s="162" t="s">
        <v>159</v>
      </c>
      <c r="F87" s="144" t="s">
        <v>160</v>
      </c>
      <c r="G87" s="65" t="s">
        <v>493</v>
      </c>
      <c r="H87" s="144"/>
      <c r="I87" s="144"/>
      <c r="J87" s="55"/>
      <c r="K87" s="49"/>
      <c r="L87" s="46"/>
      <c r="M87" s="49"/>
      <c r="N87" s="49"/>
      <c r="O87" s="49"/>
      <c r="P87" s="49"/>
      <c r="Q87" s="49"/>
    </row>
    <row r="88" spans="1:17" ht="22.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58"/>
      <c r="C88" s="168" t="s">
        <v>161</v>
      </c>
      <c r="D88" s="160" t="s">
        <v>15</v>
      </c>
      <c r="E88" s="161" t="s">
        <v>54</v>
      </c>
      <c r="F88" s="161" t="s">
        <v>162</v>
      </c>
      <c r="G88" s="65" t="s">
        <v>493</v>
      </c>
      <c r="H88" s="144"/>
      <c r="I88" s="144"/>
      <c r="J88" s="55"/>
      <c r="K88" s="49"/>
      <c r="L88" s="46"/>
      <c r="M88" s="49"/>
      <c r="N88" s="47"/>
      <c r="O88" s="49"/>
      <c r="P88" s="49"/>
      <c r="Q88" s="49"/>
    </row>
    <row r="89" spans="1:17" ht="33.7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58"/>
      <c r="C89" s="166"/>
      <c r="D89" s="160"/>
      <c r="E89" s="162"/>
      <c r="F89" s="144" t="s">
        <v>163</v>
      </c>
      <c r="G89" s="65" t="s">
        <v>493</v>
      </c>
      <c r="H89" s="144"/>
      <c r="I89" s="144"/>
      <c r="J89" s="55"/>
      <c r="K89" s="49"/>
      <c r="L89" s="46"/>
      <c r="M89" s="49"/>
      <c r="N89" s="49"/>
      <c r="O89" s="49"/>
      <c r="P89" s="49"/>
      <c r="Q89" s="49"/>
    </row>
    <row r="90" spans="1:17" ht="22.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58"/>
      <c r="C90" s="166"/>
      <c r="D90" s="160"/>
      <c r="E90" s="144" t="s">
        <v>147</v>
      </c>
      <c r="F90" s="144" t="s">
        <v>164</v>
      </c>
      <c r="G90" s="65" t="s">
        <v>493</v>
      </c>
      <c r="H90" s="144"/>
      <c r="I90" s="144"/>
      <c r="J90" s="55"/>
      <c r="K90" s="49"/>
      <c r="L90" s="46"/>
      <c r="M90" s="49"/>
      <c r="N90" s="49"/>
      <c r="O90" s="49"/>
      <c r="P90" s="49"/>
      <c r="Q90" s="49"/>
    </row>
    <row r="91" spans="1:17" ht="33.7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58"/>
      <c r="C91" s="166"/>
      <c r="D91" s="160"/>
      <c r="E91" s="160" t="s">
        <v>149</v>
      </c>
      <c r="F91" s="144" t="s">
        <v>165</v>
      </c>
      <c r="G91" s="65" t="s">
        <v>493</v>
      </c>
      <c r="H91" s="144"/>
      <c r="I91" s="144"/>
      <c r="J91" s="55"/>
      <c r="K91" s="49"/>
      <c r="L91" s="46"/>
      <c r="M91" s="49"/>
      <c r="N91" s="49"/>
      <c r="O91" s="49"/>
      <c r="P91" s="49"/>
      <c r="Q91" s="49"/>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58"/>
      <c r="C92" s="166"/>
      <c r="D92" s="160"/>
      <c r="E92" s="162"/>
      <c r="F92" s="144" t="s">
        <v>166</v>
      </c>
      <c r="G92" s="65" t="s">
        <v>493</v>
      </c>
      <c r="H92" s="144"/>
      <c r="I92" s="144"/>
      <c r="J92" s="55"/>
      <c r="K92" s="49"/>
      <c r="L92" s="46"/>
      <c r="M92" s="49"/>
      <c r="N92" s="49"/>
      <c r="O92" s="49"/>
      <c r="P92" s="49"/>
      <c r="Q92" s="49"/>
    </row>
    <row r="93" spans="1:17" ht="33.7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58"/>
      <c r="C93" s="167"/>
      <c r="D93" s="162"/>
      <c r="E93" s="162" t="s">
        <v>159</v>
      </c>
      <c r="F93" s="144" t="s">
        <v>167</v>
      </c>
      <c r="G93" s="65" t="s">
        <v>493</v>
      </c>
      <c r="H93" s="144"/>
      <c r="I93" s="144"/>
      <c r="J93" s="55"/>
      <c r="K93" s="49"/>
      <c r="L93" s="46"/>
      <c r="M93" s="49"/>
      <c r="N93" s="49"/>
      <c r="O93" s="49"/>
      <c r="P93" s="49"/>
      <c r="Q93" s="49"/>
    </row>
    <row r="94" spans="1:17" ht="22.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58"/>
      <c r="C94" s="160" t="s">
        <v>168</v>
      </c>
      <c r="D94" s="160" t="s">
        <v>15</v>
      </c>
      <c r="E94" s="160" t="s">
        <v>169</v>
      </c>
      <c r="F94" s="144" t="s">
        <v>170</v>
      </c>
      <c r="G94" s="65" t="s">
        <v>493</v>
      </c>
      <c r="H94" s="144"/>
      <c r="I94" s="144"/>
      <c r="J94" s="55"/>
      <c r="K94" s="49"/>
      <c r="L94" s="46"/>
      <c r="M94" s="49"/>
      <c r="N94" s="49"/>
      <c r="O94" s="49"/>
      <c r="P94" s="49"/>
      <c r="Q94" s="49"/>
    </row>
    <row r="95" spans="1:17" ht="33.7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58"/>
      <c r="C95" s="158"/>
      <c r="D95" s="160"/>
      <c r="E95" s="160"/>
      <c r="F95" s="144" t="s">
        <v>171</v>
      </c>
      <c r="G95" s="65" t="s">
        <v>493</v>
      </c>
      <c r="H95" s="144"/>
      <c r="I95" s="144"/>
      <c r="J95" s="55"/>
      <c r="K95" s="49"/>
      <c r="L95" s="46"/>
      <c r="M95" s="49"/>
      <c r="N95" s="49"/>
      <c r="O95" s="49"/>
      <c r="P95" s="49"/>
      <c r="Q95" s="49"/>
    </row>
    <row r="96" spans="1:17" ht="22.5">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58"/>
      <c r="C96" s="158"/>
      <c r="D96" s="160"/>
      <c r="E96" s="160"/>
      <c r="F96" s="144" t="s">
        <v>172</v>
      </c>
      <c r="G96" s="65" t="s">
        <v>493</v>
      </c>
      <c r="H96" s="144"/>
      <c r="I96" s="144"/>
      <c r="J96" s="55"/>
      <c r="K96" s="49"/>
      <c r="L96" s="46"/>
      <c r="M96" s="49"/>
      <c r="N96" s="49"/>
      <c r="O96" s="49"/>
      <c r="P96" s="49"/>
      <c r="Q96" s="49"/>
    </row>
    <row r="97" spans="1:17" ht="33.7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58"/>
      <c r="C97" s="166"/>
      <c r="D97" s="160"/>
      <c r="E97" s="160"/>
      <c r="F97" s="144" t="s">
        <v>173</v>
      </c>
      <c r="G97" s="65" t="s">
        <v>493</v>
      </c>
      <c r="H97" s="144"/>
      <c r="I97" s="144"/>
      <c r="J97" s="55"/>
      <c r="K97" s="49"/>
      <c r="L97" s="46"/>
      <c r="M97" s="49"/>
      <c r="N97" s="49"/>
      <c r="O97" s="49"/>
      <c r="P97" s="49"/>
      <c r="Q97" s="49"/>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58"/>
      <c r="C98" s="166"/>
      <c r="D98" s="160"/>
      <c r="E98" s="162"/>
      <c r="F98" s="144" t="s">
        <v>174</v>
      </c>
      <c r="G98" s="65" t="s">
        <v>493</v>
      </c>
      <c r="H98" s="144"/>
      <c r="I98" s="144"/>
      <c r="J98" s="55"/>
      <c r="K98" s="49"/>
      <c r="L98" s="46"/>
      <c r="M98" s="49"/>
      <c r="N98" s="49"/>
      <c r="O98" s="49"/>
      <c r="P98" s="49"/>
      <c r="Q98" s="49"/>
    </row>
    <row r="99" spans="1:17" ht="22.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58"/>
      <c r="C99" s="158"/>
      <c r="D99" s="160"/>
      <c r="E99" s="160" t="s">
        <v>175</v>
      </c>
      <c r="F99" s="144" t="s">
        <v>176</v>
      </c>
      <c r="G99" s="65" t="s">
        <v>493</v>
      </c>
      <c r="H99" s="144"/>
      <c r="I99" s="144"/>
      <c r="J99" s="55"/>
      <c r="K99" s="49"/>
      <c r="L99" s="46"/>
      <c r="M99" s="49"/>
      <c r="N99" s="49"/>
      <c r="O99" s="49"/>
      <c r="P99" s="49"/>
      <c r="Q99" s="49"/>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63"/>
      <c r="C100" s="159"/>
      <c r="D100" s="160"/>
      <c r="E100" s="160"/>
      <c r="F100" s="144" t="s">
        <v>177</v>
      </c>
      <c r="G100" s="65" t="s">
        <v>493</v>
      </c>
      <c r="H100" s="144"/>
      <c r="I100" s="144"/>
      <c r="J100" s="55"/>
      <c r="K100" s="49"/>
      <c r="L100" s="46"/>
      <c r="M100" s="49"/>
      <c r="N100" s="49"/>
      <c r="O100" s="49"/>
      <c r="P100" s="49"/>
      <c r="Q100" s="49"/>
    </row>
    <row r="101" spans="1:17" ht="22.5">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63"/>
      <c r="C101" s="159"/>
      <c r="D101" s="160"/>
      <c r="E101" s="160"/>
      <c r="F101" s="144" t="s">
        <v>178</v>
      </c>
      <c r="G101" s="65" t="s">
        <v>493</v>
      </c>
      <c r="H101" s="144"/>
      <c r="I101" s="144"/>
      <c r="J101" s="55"/>
      <c r="K101" s="49"/>
      <c r="L101" s="46"/>
      <c r="M101" s="49"/>
      <c r="N101" s="49"/>
      <c r="O101" s="49"/>
      <c r="P101" s="49"/>
      <c r="Q101" s="49"/>
    </row>
    <row r="102" spans="1:17" ht="33.7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58"/>
      <c r="C102" s="166"/>
      <c r="D102" s="160"/>
      <c r="E102" s="160"/>
      <c r="F102" s="144" t="s">
        <v>179</v>
      </c>
      <c r="G102" s="65" t="s">
        <v>493</v>
      </c>
      <c r="H102" s="144"/>
      <c r="I102" s="144"/>
      <c r="J102" s="55"/>
      <c r="K102" s="49"/>
      <c r="L102" s="46"/>
      <c r="M102" s="49"/>
      <c r="N102" s="49"/>
      <c r="O102" s="49"/>
      <c r="P102" s="49"/>
      <c r="Q102" s="49"/>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58"/>
      <c r="C103" s="166"/>
      <c r="D103" s="160"/>
      <c r="E103" s="162"/>
      <c r="F103" s="144" t="s">
        <v>180</v>
      </c>
      <c r="G103" s="65" t="s">
        <v>493</v>
      </c>
      <c r="H103" s="144"/>
      <c r="I103" s="144"/>
      <c r="J103" s="55"/>
      <c r="K103" s="49"/>
      <c r="L103" s="46"/>
      <c r="M103" s="49"/>
      <c r="N103" s="49"/>
      <c r="O103" s="49"/>
      <c r="P103" s="49"/>
      <c r="Q103" s="49"/>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63"/>
      <c r="C104" s="167"/>
      <c r="D104" s="160"/>
      <c r="E104" s="162" t="s">
        <v>159</v>
      </c>
      <c r="F104" s="144" t="s">
        <v>181</v>
      </c>
      <c r="G104" s="65" t="s">
        <v>493</v>
      </c>
      <c r="H104" s="144"/>
      <c r="I104" s="144"/>
      <c r="J104" s="55"/>
      <c r="K104" s="49"/>
      <c r="L104" s="46"/>
      <c r="M104" s="49"/>
      <c r="N104" s="49"/>
      <c r="O104" s="49"/>
      <c r="P104" s="49"/>
      <c r="Q104" s="49"/>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69" t="s">
        <v>182</v>
      </c>
      <c r="C105" s="144" t="s">
        <v>183</v>
      </c>
      <c r="D105" s="144" t="s">
        <v>54</v>
      </c>
      <c r="E105" s="162" t="s">
        <v>54</v>
      </c>
      <c r="F105" s="144" t="s">
        <v>184</v>
      </c>
      <c r="G105" s="65" t="s">
        <v>493</v>
      </c>
      <c r="H105" s="144"/>
      <c r="I105" s="144"/>
      <c r="J105" s="49"/>
      <c r="K105" s="49"/>
      <c r="L105" s="46"/>
      <c r="M105" s="49"/>
      <c r="N105" s="49"/>
      <c r="O105" s="49"/>
      <c r="P105" s="49"/>
      <c r="Q105" s="49"/>
    </row>
    <row r="106" spans="1:17" ht="22.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58"/>
      <c r="C106" s="160" t="s">
        <v>185</v>
      </c>
      <c r="D106" s="160" t="s">
        <v>54</v>
      </c>
      <c r="E106" s="160" t="s">
        <v>54</v>
      </c>
      <c r="F106" s="144" t="s">
        <v>186</v>
      </c>
      <c r="G106" s="65" t="s">
        <v>493</v>
      </c>
      <c r="H106" s="144"/>
      <c r="I106" s="144"/>
      <c r="J106" s="49"/>
      <c r="K106" s="49"/>
      <c r="L106" s="46"/>
      <c r="M106" s="49"/>
      <c r="N106" s="49"/>
      <c r="O106" s="49"/>
      <c r="P106" s="49"/>
      <c r="Q106" s="49"/>
    </row>
    <row r="107" spans="1:17" ht="22.5">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58"/>
      <c r="C107" s="162"/>
      <c r="D107" s="162"/>
      <c r="E107" s="162"/>
      <c r="F107" s="144" t="s">
        <v>187</v>
      </c>
      <c r="G107" s="65" t="s">
        <v>493</v>
      </c>
      <c r="H107" s="144"/>
      <c r="I107" s="144"/>
      <c r="J107" s="49"/>
      <c r="K107" s="49"/>
      <c r="L107" s="46"/>
      <c r="M107" s="49"/>
      <c r="N107" s="49"/>
      <c r="O107" s="49"/>
      <c r="P107" s="49"/>
      <c r="Q107" s="49"/>
    </row>
    <row r="108" spans="1:17" ht="22.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58"/>
      <c r="C108" s="162" t="s">
        <v>188</v>
      </c>
      <c r="D108" s="162" t="s">
        <v>54</v>
      </c>
      <c r="E108" s="162" t="s">
        <v>54</v>
      </c>
      <c r="F108" s="144" t="s">
        <v>189</v>
      </c>
      <c r="G108" s="65" t="s">
        <v>493</v>
      </c>
      <c r="H108" s="144"/>
      <c r="I108" s="144"/>
      <c r="J108" s="49"/>
      <c r="K108" s="49"/>
      <c r="L108" s="46"/>
      <c r="M108" s="49"/>
      <c r="N108" s="49"/>
      <c r="O108" s="49"/>
      <c r="P108" s="49"/>
      <c r="Q108" s="49"/>
    </row>
    <row r="109" spans="1:17" ht="22.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58"/>
      <c r="C109" s="160" t="s">
        <v>190</v>
      </c>
      <c r="D109" s="160" t="s">
        <v>54</v>
      </c>
      <c r="E109" s="160" t="s">
        <v>54</v>
      </c>
      <c r="F109" s="144" t="s">
        <v>191</v>
      </c>
      <c r="G109" s="65" t="s">
        <v>493</v>
      </c>
      <c r="H109" s="144"/>
      <c r="I109" s="144"/>
      <c r="J109" s="49"/>
      <c r="K109" s="49"/>
      <c r="L109" s="46"/>
      <c r="M109" s="49"/>
      <c r="N109" s="49"/>
      <c r="O109" s="49"/>
      <c r="P109" s="49"/>
      <c r="Q109" s="49"/>
    </row>
    <row r="110" spans="1:17" ht="22.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70"/>
      <c r="C110" s="162"/>
      <c r="D110" s="162"/>
      <c r="E110" s="162"/>
      <c r="F110" s="144" t="s">
        <v>192</v>
      </c>
      <c r="G110" s="65" t="s">
        <v>493</v>
      </c>
      <c r="H110" s="144"/>
      <c r="I110" s="144"/>
      <c r="J110" s="49"/>
      <c r="K110" s="49"/>
      <c r="L110" s="46"/>
      <c r="M110" s="49"/>
      <c r="N110" s="49"/>
      <c r="O110" s="49"/>
      <c r="P110" s="49"/>
      <c r="Q110" s="49"/>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71" t="s">
        <v>193</v>
      </c>
      <c r="C111" s="140" t="s">
        <v>194</v>
      </c>
      <c r="D111" s="140" t="s">
        <v>54</v>
      </c>
      <c r="E111" s="171" t="s">
        <v>54</v>
      </c>
      <c r="F111" s="127" t="s">
        <v>195</v>
      </c>
      <c r="G111" s="127"/>
      <c r="H111" s="127"/>
      <c r="I111" s="127"/>
      <c r="J111" s="96" t="s">
        <v>641</v>
      </c>
      <c r="K111" s="96"/>
      <c r="L111" s="96"/>
      <c r="M111" s="96"/>
      <c r="N111" s="96"/>
      <c r="O111" s="96"/>
      <c r="P111" s="96"/>
      <c r="Q111" s="96"/>
    </row>
    <row r="112" spans="1:17" ht="22.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332" t="s">
        <v>196</v>
      </c>
      <c r="C112" s="147"/>
      <c r="D112" s="265"/>
      <c r="E112" s="172"/>
      <c r="F112" s="127" t="s">
        <v>197</v>
      </c>
      <c r="G112" s="127"/>
      <c r="H112" s="127"/>
      <c r="I112" s="127"/>
      <c r="J112" s="96" t="s">
        <v>641</v>
      </c>
      <c r="K112" s="96"/>
      <c r="L112" s="96"/>
      <c r="M112" s="96"/>
      <c r="N112" s="96"/>
      <c r="O112" s="96"/>
      <c r="P112" s="96"/>
      <c r="Q112" s="96"/>
    </row>
    <row r="113" spans="1:17" ht="22.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332"/>
      <c r="C113" s="147"/>
      <c r="D113" s="265"/>
      <c r="E113" s="172"/>
      <c r="F113" s="127" t="s">
        <v>198</v>
      </c>
      <c r="G113" s="127"/>
      <c r="H113" s="127"/>
      <c r="I113" s="127"/>
      <c r="J113" s="96" t="s">
        <v>641</v>
      </c>
      <c r="K113" s="96"/>
      <c r="L113" s="96"/>
      <c r="M113" s="96"/>
      <c r="N113" s="96"/>
      <c r="O113" s="96"/>
      <c r="P113" s="96"/>
      <c r="Q113" s="96"/>
    </row>
    <row r="114" spans="1:17" ht="22.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72"/>
      <c r="C114" s="147"/>
      <c r="D114" s="265"/>
      <c r="E114" s="146"/>
      <c r="F114" s="127" t="s">
        <v>199</v>
      </c>
      <c r="G114" s="127"/>
      <c r="H114" s="127"/>
      <c r="I114" s="127"/>
      <c r="J114" s="96" t="s">
        <v>641</v>
      </c>
      <c r="K114" s="96"/>
      <c r="L114" s="96"/>
      <c r="M114" s="96"/>
      <c r="N114" s="96"/>
      <c r="O114" s="96"/>
      <c r="P114" s="96"/>
      <c r="Q114" s="96"/>
    </row>
    <row r="115" spans="1:17" ht="22.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72"/>
      <c r="C115" s="147"/>
      <c r="D115" s="265"/>
      <c r="E115" s="265" t="s">
        <v>138</v>
      </c>
      <c r="F115" s="127" t="s">
        <v>200</v>
      </c>
      <c r="G115" s="127"/>
      <c r="H115" s="127"/>
      <c r="I115" s="127"/>
      <c r="J115" s="96" t="s">
        <v>641</v>
      </c>
      <c r="K115" s="96"/>
      <c r="L115" s="96"/>
      <c r="M115" s="96"/>
      <c r="N115" s="96"/>
      <c r="O115" s="96"/>
      <c r="P115" s="96"/>
      <c r="Q115" s="96"/>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72"/>
      <c r="C116" s="147"/>
      <c r="D116" s="265"/>
      <c r="E116" s="265"/>
      <c r="F116" s="127" t="s">
        <v>201</v>
      </c>
      <c r="G116" s="127"/>
      <c r="H116" s="127"/>
      <c r="I116" s="127"/>
      <c r="J116" s="96" t="s">
        <v>641</v>
      </c>
      <c r="K116" s="96"/>
      <c r="L116" s="96"/>
      <c r="M116" s="96"/>
      <c r="N116" s="96"/>
      <c r="O116" s="96"/>
      <c r="P116" s="96"/>
      <c r="Q116" s="96"/>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72"/>
      <c r="C117" s="147"/>
      <c r="D117" s="265"/>
      <c r="E117" s="265"/>
      <c r="F117" s="127" t="s">
        <v>202</v>
      </c>
      <c r="G117" s="127"/>
      <c r="H117" s="127"/>
      <c r="I117" s="127"/>
      <c r="J117" s="96" t="s">
        <v>641</v>
      </c>
      <c r="K117" s="96"/>
      <c r="L117" s="96"/>
      <c r="M117" s="96"/>
      <c r="N117" s="96"/>
      <c r="O117" s="96"/>
      <c r="P117" s="96"/>
      <c r="Q117" s="96"/>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72"/>
      <c r="C118" s="147"/>
      <c r="D118" s="265"/>
      <c r="E118" s="265"/>
      <c r="F118" s="127" t="s">
        <v>203</v>
      </c>
      <c r="G118" s="127"/>
      <c r="H118" s="127"/>
      <c r="I118" s="127"/>
      <c r="J118" s="96" t="s">
        <v>641</v>
      </c>
      <c r="K118" s="96"/>
      <c r="L118" s="96"/>
      <c r="M118" s="96"/>
      <c r="N118" s="96"/>
      <c r="O118" s="96"/>
      <c r="P118" s="96"/>
      <c r="Q118" s="96"/>
    </row>
    <row r="119" spans="1:17" ht="33.7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72"/>
      <c r="C119" s="147"/>
      <c r="D119" s="265"/>
      <c r="E119" s="146"/>
      <c r="F119" s="127" t="s">
        <v>204</v>
      </c>
      <c r="G119" s="127" t="s">
        <v>627</v>
      </c>
      <c r="H119" s="127"/>
      <c r="I119" s="127"/>
      <c r="J119" s="96"/>
      <c r="K119" s="96"/>
      <c r="L119" s="96"/>
      <c r="M119" s="96"/>
      <c r="N119" s="96"/>
      <c r="O119" s="96"/>
      <c r="P119" s="96"/>
      <c r="Q119" s="96"/>
    </row>
    <row r="120" spans="1:17" ht="33.7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72"/>
      <c r="C120" s="147"/>
      <c r="D120" s="265"/>
      <c r="E120" s="265" t="s">
        <v>205</v>
      </c>
      <c r="F120" s="127" t="s">
        <v>206</v>
      </c>
      <c r="G120" s="127"/>
      <c r="H120" s="127"/>
      <c r="I120" s="127"/>
      <c r="J120" s="96" t="s">
        <v>641</v>
      </c>
      <c r="K120" s="96"/>
      <c r="L120" s="96"/>
      <c r="M120" s="96"/>
      <c r="N120" s="96"/>
      <c r="O120" s="96"/>
      <c r="P120" s="96"/>
      <c r="Q120" s="96"/>
    </row>
    <row r="121" spans="1:17" ht="33.7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72"/>
      <c r="C121" s="147"/>
      <c r="D121" s="265"/>
      <c r="E121" s="265"/>
      <c r="F121" s="127" t="s">
        <v>207</v>
      </c>
      <c r="G121" s="127"/>
      <c r="H121" s="127"/>
      <c r="I121" s="127"/>
      <c r="J121" s="96" t="s">
        <v>641</v>
      </c>
      <c r="K121" s="96"/>
      <c r="L121" s="96"/>
      <c r="M121" s="96"/>
      <c r="N121" s="96"/>
      <c r="O121" s="96"/>
      <c r="P121" s="96"/>
      <c r="Q121" s="96"/>
    </row>
    <row r="122" spans="1:17" ht="4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72"/>
      <c r="C122" s="147"/>
      <c r="D122" s="265"/>
      <c r="E122" s="265"/>
      <c r="F122" s="127" t="s">
        <v>208</v>
      </c>
      <c r="G122" s="127" t="s">
        <v>599</v>
      </c>
      <c r="H122" s="127"/>
      <c r="I122" s="127"/>
      <c r="J122" s="96"/>
      <c r="K122" s="96"/>
      <c r="L122" s="96"/>
      <c r="M122" s="96"/>
      <c r="N122" s="96"/>
      <c r="O122" s="96"/>
      <c r="P122" s="96"/>
      <c r="Q122" s="96"/>
    </row>
    <row r="123" spans="1:17" ht="4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72"/>
      <c r="C123" s="147"/>
      <c r="D123" s="265"/>
      <c r="E123" s="265"/>
      <c r="F123" s="127" t="s">
        <v>209</v>
      </c>
      <c r="G123" s="127" t="s">
        <v>599</v>
      </c>
      <c r="H123" s="127"/>
      <c r="I123" s="127"/>
      <c r="J123" s="96"/>
      <c r="K123" s="96"/>
      <c r="L123" s="96"/>
      <c r="M123" s="96"/>
      <c r="N123" s="96"/>
      <c r="O123" s="96"/>
      <c r="P123" s="96"/>
      <c r="Q123" s="96"/>
    </row>
    <row r="124" spans="1:17" ht="33.7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72"/>
      <c r="C124" s="147"/>
      <c r="D124" s="265"/>
      <c r="E124" s="146"/>
      <c r="F124" s="127" t="s">
        <v>210</v>
      </c>
      <c r="G124" s="127" t="s">
        <v>599</v>
      </c>
      <c r="H124" s="127"/>
      <c r="I124" s="127"/>
      <c r="J124" s="96"/>
      <c r="K124" s="96"/>
      <c r="L124" s="96"/>
      <c r="M124" s="96"/>
      <c r="N124" s="96"/>
      <c r="O124" s="96"/>
      <c r="P124" s="96"/>
      <c r="Q124" s="96"/>
    </row>
    <row r="125" spans="1:17" ht="33.7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72"/>
      <c r="C125" s="147"/>
      <c r="D125" s="146"/>
      <c r="E125" s="146" t="s">
        <v>211</v>
      </c>
      <c r="F125" s="127" t="s">
        <v>212</v>
      </c>
      <c r="G125" s="127"/>
      <c r="H125" s="127"/>
      <c r="I125" s="127"/>
      <c r="J125" s="96" t="s">
        <v>641</v>
      </c>
      <c r="K125" s="96"/>
      <c r="L125" s="96"/>
      <c r="M125" s="96"/>
      <c r="N125" s="96"/>
      <c r="O125" s="96"/>
      <c r="P125" s="96"/>
      <c r="Q125" s="96"/>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72"/>
      <c r="C126" s="145"/>
      <c r="D126" s="146" t="s">
        <v>159</v>
      </c>
      <c r="E126" s="146" t="s">
        <v>54</v>
      </c>
      <c r="F126" s="127" t="s">
        <v>213</v>
      </c>
      <c r="G126" s="127"/>
      <c r="H126" s="127"/>
      <c r="I126" s="127"/>
      <c r="J126" s="96" t="s">
        <v>641</v>
      </c>
      <c r="K126" s="96"/>
      <c r="L126" s="96"/>
      <c r="M126" s="96"/>
      <c r="N126" s="96"/>
      <c r="O126" s="96"/>
      <c r="P126" s="96"/>
      <c r="Q126" s="96"/>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72"/>
      <c r="C127" s="265" t="s">
        <v>46</v>
      </c>
      <c r="D127" s="265" t="s">
        <v>214</v>
      </c>
      <c r="E127" s="127" t="s">
        <v>215</v>
      </c>
      <c r="F127" s="127" t="s">
        <v>216</v>
      </c>
      <c r="G127" s="127" t="s">
        <v>599</v>
      </c>
      <c r="H127" s="127"/>
      <c r="I127" s="127"/>
      <c r="J127" s="96"/>
      <c r="K127" s="96"/>
      <c r="L127" s="96"/>
      <c r="M127" s="96"/>
      <c r="N127" s="96"/>
      <c r="O127" s="96"/>
      <c r="P127" s="96"/>
      <c r="Q127" s="96"/>
    </row>
    <row r="128" spans="1:17" ht="22.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72"/>
      <c r="C128" s="265"/>
      <c r="D128" s="265"/>
      <c r="E128" s="265" t="s">
        <v>217</v>
      </c>
      <c r="F128" s="127" t="s">
        <v>218</v>
      </c>
      <c r="G128" s="127"/>
      <c r="H128" s="127"/>
      <c r="I128" s="127"/>
      <c r="J128" s="96" t="s">
        <v>641</v>
      </c>
      <c r="K128" s="96"/>
      <c r="L128" s="96"/>
      <c r="M128" s="96"/>
      <c r="N128" s="96"/>
      <c r="O128" s="96"/>
      <c r="P128" s="96"/>
      <c r="Q128" s="96"/>
    </row>
    <row r="129" spans="1:17" ht="22.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72"/>
      <c r="C129" s="265"/>
      <c r="D129" s="265"/>
      <c r="E129" s="265"/>
      <c r="F129" s="127" t="s">
        <v>219</v>
      </c>
      <c r="G129" s="127"/>
      <c r="H129" s="127"/>
      <c r="I129" s="127"/>
      <c r="J129" s="96" t="s">
        <v>641</v>
      </c>
      <c r="K129" s="96"/>
      <c r="L129" s="96"/>
      <c r="M129" s="96"/>
      <c r="N129" s="96"/>
      <c r="O129" s="96"/>
      <c r="P129" s="96"/>
      <c r="Q129" s="96"/>
    </row>
    <row r="130" spans="1:17" ht="4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73"/>
      <c r="C130" s="146"/>
      <c r="D130" s="146"/>
      <c r="E130" s="146"/>
      <c r="F130" s="127" t="s">
        <v>220</v>
      </c>
      <c r="G130" s="127"/>
      <c r="H130" s="127"/>
      <c r="I130" s="127"/>
      <c r="J130" s="96" t="s">
        <v>641</v>
      </c>
      <c r="K130" s="96"/>
      <c r="L130" s="96"/>
      <c r="M130" s="96"/>
      <c r="N130" s="96"/>
      <c r="O130" s="96"/>
      <c r="P130" s="96"/>
      <c r="Q130" s="96"/>
    </row>
    <row r="131" spans="1:17" ht="22.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71" t="s">
        <v>221</v>
      </c>
      <c r="C131" s="140" t="s">
        <v>194</v>
      </c>
      <c r="D131" s="140" t="s">
        <v>54</v>
      </c>
      <c r="E131" s="171" t="s">
        <v>54</v>
      </c>
      <c r="F131" s="127" t="s">
        <v>222</v>
      </c>
      <c r="G131" s="127" t="s">
        <v>600</v>
      </c>
      <c r="H131" s="127"/>
      <c r="I131" s="127"/>
      <c r="J131" s="96"/>
      <c r="K131" s="96"/>
      <c r="L131" s="96"/>
      <c r="M131" s="96"/>
      <c r="N131" s="96"/>
      <c r="O131" s="96"/>
      <c r="P131" s="96"/>
      <c r="Q131" s="96"/>
    </row>
    <row r="132" spans="1:17" ht="22.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332" t="s">
        <v>223</v>
      </c>
      <c r="C132" s="147"/>
      <c r="D132" s="265"/>
      <c r="E132" s="265"/>
      <c r="F132" s="127" t="s">
        <v>224</v>
      </c>
      <c r="G132" s="127" t="s">
        <v>600</v>
      </c>
      <c r="H132" s="127"/>
      <c r="I132" s="127"/>
      <c r="J132" s="96"/>
      <c r="K132" s="96"/>
      <c r="L132" s="96"/>
      <c r="M132" s="96"/>
      <c r="N132" s="96"/>
      <c r="O132" s="96"/>
      <c r="P132" s="96"/>
      <c r="Q132" s="96"/>
    </row>
    <row r="133" spans="1:17" ht="22.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332"/>
      <c r="C133" s="147"/>
      <c r="D133" s="265"/>
      <c r="E133" s="265"/>
      <c r="F133" s="127" t="s">
        <v>225</v>
      </c>
      <c r="G133" s="127" t="s">
        <v>600</v>
      </c>
      <c r="H133" s="127"/>
      <c r="I133" s="127"/>
      <c r="J133" s="96"/>
      <c r="K133" s="96"/>
      <c r="L133" s="96"/>
      <c r="M133" s="96"/>
      <c r="N133" s="96"/>
      <c r="O133" s="96"/>
      <c r="P133" s="96"/>
      <c r="Q133" s="96"/>
    </row>
    <row r="134" spans="1:17" ht="22.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72"/>
      <c r="C134" s="147"/>
      <c r="D134" s="265"/>
      <c r="E134" s="146"/>
      <c r="F134" s="127" t="s">
        <v>226</v>
      </c>
      <c r="G134" s="127" t="s">
        <v>600</v>
      </c>
      <c r="H134" s="127"/>
      <c r="I134" s="127"/>
      <c r="J134" s="96"/>
      <c r="K134" s="96"/>
      <c r="L134" s="96"/>
      <c r="M134" s="96"/>
      <c r="N134" s="96"/>
      <c r="O134" s="96"/>
      <c r="P134" s="96"/>
      <c r="Q134" s="96"/>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72"/>
      <c r="C135" s="147"/>
      <c r="D135" s="265"/>
      <c r="E135" s="265" t="s">
        <v>227</v>
      </c>
      <c r="F135" s="127" t="s">
        <v>228</v>
      </c>
      <c r="G135" s="127" t="s">
        <v>601</v>
      </c>
      <c r="H135" s="127"/>
      <c r="I135" s="127"/>
      <c r="J135" s="96"/>
      <c r="K135" s="96"/>
      <c r="L135" s="96"/>
      <c r="M135" s="96"/>
      <c r="N135" s="96"/>
      <c r="O135" s="96"/>
      <c r="P135" s="96"/>
      <c r="Q135" s="96"/>
    </row>
    <row r="136" spans="1:17" ht="33.7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72"/>
      <c r="C136" s="147"/>
      <c r="D136" s="146"/>
      <c r="E136" s="146"/>
      <c r="F136" s="127" t="s">
        <v>229</v>
      </c>
      <c r="G136" s="127" t="s">
        <v>601</v>
      </c>
      <c r="H136" s="127"/>
      <c r="I136" s="127"/>
      <c r="J136" s="96"/>
      <c r="K136" s="96"/>
      <c r="L136" s="96"/>
      <c r="M136" s="96"/>
      <c r="N136" s="96"/>
      <c r="O136" s="96"/>
      <c r="P136" s="96"/>
      <c r="Q136" s="96"/>
    </row>
    <row r="137" spans="1:17" ht="33.7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72"/>
      <c r="C137" s="145"/>
      <c r="D137" s="146" t="s">
        <v>159</v>
      </c>
      <c r="E137" s="146" t="s">
        <v>54</v>
      </c>
      <c r="F137" s="127" t="s">
        <v>230</v>
      </c>
      <c r="G137" s="127"/>
      <c r="H137" s="127"/>
      <c r="I137" s="127"/>
      <c r="J137" s="96" t="s">
        <v>642</v>
      </c>
      <c r="K137" s="96"/>
      <c r="L137" s="96"/>
      <c r="M137" s="96"/>
      <c r="N137" s="96"/>
      <c r="O137" s="96"/>
      <c r="P137" s="96"/>
      <c r="Q137" s="96"/>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72"/>
      <c r="C138" s="147" t="s">
        <v>231</v>
      </c>
      <c r="D138" s="265" t="s">
        <v>214</v>
      </c>
      <c r="E138" s="127" t="s">
        <v>232</v>
      </c>
      <c r="F138" s="127" t="s">
        <v>233</v>
      </c>
      <c r="G138" s="127"/>
      <c r="H138" s="127"/>
      <c r="I138" s="127"/>
      <c r="J138" s="96" t="s">
        <v>642</v>
      </c>
      <c r="K138" s="96"/>
      <c r="L138" s="96"/>
      <c r="M138" s="96"/>
      <c r="N138" s="96"/>
      <c r="O138" s="96"/>
      <c r="P138" s="96"/>
      <c r="Q138" s="96"/>
    </row>
    <row r="139" spans="1:17" ht="33.7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72"/>
      <c r="C139" s="147"/>
      <c r="D139" s="265"/>
      <c r="E139" s="127" t="s">
        <v>234</v>
      </c>
      <c r="F139" s="127" t="s">
        <v>235</v>
      </c>
      <c r="G139" s="127"/>
      <c r="H139" s="127"/>
      <c r="I139" s="127"/>
      <c r="J139" s="96" t="s">
        <v>642</v>
      </c>
      <c r="K139" s="96"/>
      <c r="L139" s="96"/>
      <c r="M139" s="96"/>
      <c r="N139" s="96"/>
      <c r="O139" s="96"/>
      <c r="P139" s="96"/>
      <c r="Q139" s="96"/>
    </row>
    <row r="140" spans="1:17" ht="33.7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72"/>
      <c r="C140" s="147"/>
      <c r="D140" s="265"/>
      <c r="E140" s="127" t="s">
        <v>236</v>
      </c>
      <c r="F140" s="127" t="s">
        <v>237</v>
      </c>
      <c r="G140" s="127"/>
      <c r="H140" s="127"/>
      <c r="I140" s="127"/>
      <c r="J140" s="96" t="s">
        <v>642</v>
      </c>
      <c r="K140" s="96"/>
      <c r="L140" s="96"/>
      <c r="M140" s="96"/>
      <c r="N140" s="96"/>
      <c r="O140" s="96"/>
      <c r="P140" s="96"/>
      <c r="Q140" s="96"/>
    </row>
    <row r="141" spans="1:17" ht="33.7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72"/>
      <c r="C141" s="147"/>
      <c r="D141" s="265"/>
      <c r="E141" s="127" t="s">
        <v>215</v>
      </c>
      <c r="F141" s="127" t="s">
        <v>238</v>
      </c>
      <c r="G141" s="127" t="s">
        <v>602</v>
      </c>
      <c r="H141" s="127"/>
      <c r="I141" s="127"/>
      <c r="J141" s="96"/>
      <c r="K141" s="96"/>
      <c r="L141" s="96"/>
      <c r="M141" s="96"/>
      <c r="N141" s="96"/>
      <c r="O141" s="96"/>
      <c r="P141" s="96"/>
      <c r="Q141" s="96"/>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72"/>
      <c r="C142" s="147"/>
      <c r="D142" s="265"/>
      <c r="E142" s="127" t="s">
        <v>239</v>
      </c>
      <c r="F142" s="127" t="s">
        <v>240</v>
      </c>
      <c r="G142" s="127"/>
      <c r="H142" s="127"/>
      <c r="I142" s="127"/>
      <c r="J142" s="96" t="s">
        <v>642</v>
      </c>
      <c r="K142" s="96"/>
      <c r="L142" s="96"/>
      <c r="M142" s="96"/>
      <c r="N142" s="96"/>
      <c r="O142" s="96"/>
      <c r="P142" s="96"/>
      <c r="Q142" s="96"/>
    </row>
    <row r="143" spans="1:17" ht="22.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72"/>
      <c r="C143" s="147"/>
      <c r="D143" s="265"/>
      <c r="E143" s="172" t="s">
        <v>241</v>
      </c>
      <c r="F143" s="127" t="s">
        <v>242</v>
      </c>
      <c r="G143" s="127" t="s">
        <v>603</v>
      </c>
      <c r="H143" s="127"/>
      <c r="I143" s="127"/>
      <c r="J143" s="96"/>
      <c r="K143" s="96"/>
      <c r="L143" s="96"/>
      <c r="M143" s="96"/>
      <c r="N143" s="96"/>
      <c r="O143" s="96"/>
      <c r="P143" s="96"/>
      <c r="Q143" s="96"/>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72"/>
      <c r="C144" s="147"/>
      <c r="D144" s="265"/>
      <c r="E144" s="172"/>
      <c r="F144" s="127" t="s">
        <v>243</v>
      </c>
      <c r="G144" s="127" t="s">
        <v>603</v>
      </c>
      <c r="H144" s="127"/>
      <c r="I144" s="127"/>
      <c r="J144" s="96"/>
      <c r="K144" s="96"/>
      <c r="L144" s="96"/>
      <c r="M144" s="96"/>
      <c r="N144" s="96"/>
      <c r="O144" s="96"/>
      <c r="P144" s="96"/>
      <c r="Q144" s="96"/>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72"/>
      <c r="C145" s="147"/>
      <c r="D145" s="265"/>
      <c r="E145" s="172"/>
      <c r="F145" s="127" t="s">
        <v>244</v>
      </c>
      <c r="G145" s="127" t="s">
        <v>603</v>
      </c>
      <c r="H145" s="127"/>
      <c r="I145" s="127"/>
      <c r="J145" s="96"/>
      <c r="K145" s="96"/>
      <c r="L145" s="96"/>
      <c r="M145" s="96"/>
      <c r="N145" s="96"/>
      <c r="O145" s="96"/>
      <c r="P145" s="96"/>
      <c r="Q145" s="96"/>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72"/>
      <c r="C146" s="147"/>
      <c r="D146" s="265"/>
      <c r="E146" s="172"/>
      <c r="F146" s="127" t="s">
        <v>245</v>
      </c>
      <c r="G146" s="127" t="s">
        <v>603</v>
      </c>
      <c r="H146" s="127"/>
      <c r="I146" s="127"/>
      <c r="J146" s="96"/>
      <c r="K146" s="96"/>
      <c r="L146" s="96"/>
      <c r="M146" s="96"/>
      <c r="N146" s="96"/>
      <c r="O146" s="96"/>
      <c r="P146" s="96"/>
      <c r="Q146" s="96"/>
    </row>
    <row r="147" spans="1:17" ht="22.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72"/>
      <c r="C147" s="147"/>
      <c r="D147" s="265"/>
      <c r="E147" s="172"/>
      <c r="F147" s="127" t="s">
        <v>246</v>
      </c>
      <c r="G147" s="127" t="s">
        <v>603</v>
      </c>
      <c r="H147" s="127"/>
      <c r="I147" s="127"/>
      <c r="J147" s="96"/>
      <c r="K147" s="96"/>
      <c r="L147" s="96"/>
      <c r="M147" s="96"/>
      <c r="N147" s="96"/>
      <c r="O147" s="96"/>
      <c r="P147" s="96"/>
      <c r="Q147" s="96"/>
    </row>
    <row r="148" spans="1:17" ht="22.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72"/>
      <c r="C148" s="147"/>
      <c r="D148" s="146"/>
      <c r="E148" s="173"/>
      <c r="F148" s="127" t="s">
        <v>247</v>
      </c>
      <c r="G148" s="127" t="s">
        <v>603</v>
      </c>
      <c r="H148" s="127"/>
      <c r="I148" s="127"/>
      <c r="J148" s="96"/>
      <c r="K148" s="96"/>
      <c r="L148" s="96"/>
      <c r="M148" s="96"/>
      <c r="N148" s="96"/>
      <c r="O148" s="96"/>
      <c r="P148" s="96"/>
      <c r="Q148" s="96"/>
    </row>
    <row r="149" spans="1:17" ht="22.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72"/>
      <c r="C149" s="147"/>
      <c r="D149" s="265" t="s">
        <v>248</v>
      </c>
      <c r="E149" s="172" t="s">
        <v>54</v>
      </c>
      <c r="F149" s="127" t="s">
        <v>249</v>
      </c>
      <c r="G149" s="127"/>
      <c r="H149" s="127"/>
      <c r="I149" s="127"/>
      <c r="J149" s="96" t="s">
        <v>642</v>
      </c>
      <c r="K149" s="96"/>
      <c r="L149" s="96"/>
      <c r="M149" s="96"/>
      <c r="N149" s="96"/>
      <c r="O149" s="96"/>
      <c r="P149" s="96"/>
      <c r="Q149" s="96"/>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72"/>
      <c r="C150" s="147"/>
      <c r="D150" s="265"/>
      <c r="E150" s="146"/>
      <c r="F150" s="127" t="s">
        <v>250</v>
      </c>
      <c r="G150" s="127"/>
      <c r="H150" s="127"/>
      <c r="I150" s="127"/>
      <c r="J150" s="96" t="s">
        <v>642</v>
      </c>
      <c r="K150" s="96"/>
      <c r="L150" s="96"/>
      <c r="M150" s="96"/>
      <c r="N150" s="96"/>
      <c r="O150" s="96"/>
      <c r="P150" s="96"/>
      <c r="Q150" s="96"/>
    </row>
    <row r="151" spans="1:17" ht="33.7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72"/>
      <c r="C151" s="147"/>
      <c r="D151" s="265"/>
      <c r="E151" s="265" t="s">
        <v>127</v>
      </c>
      <c r="F151" s="127" t="s">
        <v>251</v>
      </c>
      <c r="G151" s="127"/>
      <c r="H151" s="127"/>
      <c r="I151" s="127"/>
      <c r="J151" s="96" t="s">
        <v>642</v>
      </c>
      <c r="K151" s="96"/>
      <c r="L151" s="96"/>
      <c r="M151" s="96"/>
      <c r="N151" s="96"/>
      <c r="O151" s="96"/>
      <c r="P151" s="96"/>
      <c r="Q151" s="96"/>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72"/>
      <c r="C152" s="147"/>
      <c r="D152" s="265"/>
      <c r="E152" s="172"/>
      <c r="F152" s="127" t="s">
        <v>252</v>
      </c>
      <c r="G152" s="127"/>
      <c r="H152" s="127"/>
      <c r="I152" s="127"/>
      <c r="J152" s="96" t="s">
        <v>642</v>
      </c>
      <c r="K152" s="96"/>
      <c r="L152" s="96"/>
      <c r="M152" s="96"/>
      <c r="N152" s="96"/>
      <c r="O152" s="96"/>
      <c r="P152" s="96"/>
      <c r="Q152" s="96"/>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72"/>
      <c r="C153" s="147"/>
      <c r="D153" s="265"/>
      <c r="E153" s="172"/>
      <c r="F153" s="127" t="s">
        <v>253</v>
      </c>
      <c r="G153" s="127"/>
      <c r="H153" s="127"/>
      <c r="I153" s="127"/>
      <c r="J153" s="96" t="s">
        <v>642</v>
      </c>
      <c r="K153" s="96"/>
      <c r="L153" s="96"/>
      <c r="M153" s="96"/>
      <c r="N153" s="96"/>
      <c r="O153" s="96"/>
      <c r="P153" s="96"/>
      <c r="Q153" s="96"/>
    </row>
    <row r="154" spans="1:17" ht="33.7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72"/>
      <c r="C154" s="147"/>
      <c r="D154" s="265"/>
      <c r="E154" s="172"/>
      <c r="F154" s="127" t="s">
        <v>254</v>
      </c>
      <c r="G154" s="127"/>
      <c r="H154" s="127"/>
      <c r="I154" s="127"/>
      <c r="J154" s="96" t="s">
        <v>642</v>
      </c>
      <c r="K154" s="96"/>
      <c r="L154" s="96"/>
      <c r="M154" s="96"/>
      <c r="N154" s="96"/>
      <c r="O154" s="96"/>
      <c r="P154" s="96"/>
      <c r="Q154" s="96"/>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72"/>
      <c r="C155" s="147"/>
      <c r="D155" s="265"/>
      <c r="E155" s="172"/>
      <c r="F155" s="127" t="s">
        <v>255</v>
      </c>
      <c r="G155" s="127"/>
      <c r="H155" s="127"/>
      <c r="I155" s="127"/>
      <c r="J155" s="96" t="s">
        <v>642</v>
      </c>
      <c r="K155" s="96"/>
      <c r="L155" s="96"/>
      <c r="M155" s="96"/>
      <c r="N155" s="96"/>
      <c r="O155" s="96"/>
      <c r="P155" s="96"/>
      <c r="Q155" s="96"/>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72"/>
      <c r="C156" s="147"/>
      <c r="D156" s="265"/>
      <c r="E156" s="172"/>
      <c r="F156" s="127" t="s">
        <v>256</v>
      </c>
      <c r="G156" s="127"/>
      <c r="H156" s="127"/>
      <c r="I156" s="127"/>
      <c r="J156" s="96" t="s">
        <v>642</v>
      </c>
      <c r="K156" s="96"/>
      <c r="L156" s="96"/>
      <c r="M156" s="96"/>
      <c r="N156" s="96"/>
      <c r="O156" s="96"/>
      <c r="P156" s="96"/>
      <c r="Q156" s="96"/>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72"/>
      <c r="C157" s="147"/>
      <c r="D157" s="265"/>
      <c r="E157" s="172"/>
      <c r="F157" s="127" t="s">
        <v>257</v>
      </c>
      <c r="G157" s="127"/>
      <c r="H157" s="127"/>
      <c r="I157" s="127"/>
      <c r="J157" s="96" t="s">
        <v>642</v>
      </c>
      <c r="K157" s="96"/>
      <c r="L157" s="96"/>
      <c r="M157" s="96"/>
      <c r="N157" s="96"/>
      <c r="O157" s="96"/>
      <c r="P157" s="96"/>
      <c r="Q157" s="96"/>
    </row>
    <row r="158" spans="1:17" ht="33.7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72"/>
      <c r="C158" s="147"/>
      <c r="D158" s="265"/>
      <c r="E158" s="172"/>
      <c r="F158" s="127" t="s">
        <v>258</v>
      </c>
      <c r="G158" s="127"/>
      <c r="H158" s="127"/>
      <c r="I158" s="127"/>
      <c r="J158" s="96" t="s">
        <v>642</v>
      </c>
      <c r="K158" s="96"/>
      <c r="L158" s="96"/>
      <c r="M158" s="96"/>
      <c r="N158" s="96"/>
      <c r="O158" s="96"/>
      <c r="P158" s="96"/>
      <c r="Q158" s="96"/>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72"/>
      <c r="C159" s="147"/>
      <c r="D159" s="265"/>
      <c r="E159" s="172"/>
      <c r="F159" s="127" t="s">
        <v>259</v>
      </c>
      <c r="G159" s="127"/>
      <c r="H159" s="127"/>
      <c r="I159" s="127"/>
      <c r="J159" s="96" t="s">
        <v>642</v>
      </c>
      <c r="K159" s="96"/>
      <c r="L159" s="96"/>
      <c r="M159" s="96"/>
      <c r="N159" s="96"/>
      <c r="O159" s="96"/>
      <c r="P159" s="96"/>
      <c r="Q159" s="96"/>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72"/>
      <c r="C160" s="147"/>
      <c r="D160" s="265"/>
      <c r="E160" s="172"/>
      <c r="F160" s="127" t="s">
        <v>260</v>
      </c>
      <c r="G160" s="127"/>
      <c r="H160" s="127"/>
      <c r="I160" s="127"/>
      <c r="J160" s="96" t="s">
        <v>642</v>
      </c>
      <c r="K160" s="96"/>
      <c r="L160" s="96"/>
      <c r="M160" s="96"/>
      <c r="N160" s="96"/>
      <c r="O160" s="96"/>
      <c r="P160" s="96"/>
      <c r="Q160" s="96"/>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72"/>
      <c r="C161" s="147"/>
      <c r="D161" s="265"/>
      <c r="E161" s="146"/>
      <c r="F161" s="127" t="s">
        <v>261</v>
      </c>
      <c r="G161" s="127"/>
      <c r="H161" s="127"/>
      <c r="I161" s="127"/>
      <c r="J161" s="96" t="s">
        <v>642</v>
      </c>
      <c r="K161" s="96"/>
      <c r="L161" s="96"/>
      <c r="M161" s="96"/>
      <c r="N161" s="96"/>
      <c r="O161" s="96"/>
      <c r="P161" s="96"/>
      <c r="Q161" s="96"/>
    </row>
    <row r="162" spans="1:17">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72"/>
      <c r="C162" s="147"/>
      <c r="D162" s="265"/>
      <c r="E162" s="265" t="s">
        <v>61</v>
      </c>
      <c r="F162" s="127" t="s">
        <v>262</v>
      </c>
      <c r="G162" s="127"/>
      <c r="H162" s="127"/>
      <c r="I162" s="127"/>
      <c r="J162" s="96" t="s">
        <v>642</v>
      </c>
      <c r="K162" s="96"/>
      <c r="L162" s="96"/>
      <c r="M162" s="96"/>
      <c r="N162" s="96"/>
      <c r="O162" s="96"/>
      <c r="P162" s="96"/>
      <c r="Q162" s="96"/>
    </row>
    <row r="163" spans="1:17">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72"/>
      <c r="C163" s="147"/>
      <c r="D163" s="265"/>
      <c r="E163" s="265"/>
      <c r="F163" s="127" t="s">
        <v>263</v>
      </c>
      <c r="G163" s="127"/>
      <c r="H163" s="127"/>
      <c r="I163" s="127"/>
      <c r="J163" s="96" t="s">
        <v>642</v>
      </c>
      <c r="K163" s="96"/>
      <c r="L163" s="96"/>
      <c r="M163" s="96"/>
      <c r="N163" s="96"/>
      <c r="O163" s="96"/>
      <c r="P163" s="96"/>
      <c r="Q163" s="96"/>
    </row>
    <row r="164" spans="1:17" ht="22.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72"/>
      <c r="C164" s="147"/>
      <c r="D164" s="265"/>
      <c r="E164" s="265"/>
      <c r="F164" s="127" t="s">
        <v>264</v>
      </c>
      <c r="G164" s="127"/>
      <c r="H164" s="127"/>
      <c r="I164" s="127"/>
      <c r="J164" s="96" t="s">
        <v>642</v>
      </c>
      <c r="K164" s="96"/>
      <c r="L164" s="96"/>
      <c r="M164" s="96"/>
      <c r="N164" s="96"/>
      <c r="O164" s="96"/>
      <c r="P164" s="96"/>
      <c r="Q164" s="96"/>
    </row>
    <row r="165" spans="1:17" ht="22.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72"/>
      <c r="C165" s="147"/>
      <c r="D165" s="265"/>
      <c r="E165" s="265"/>
      <c r="F165" s="127" t="s">
        <v>265</v>
      </c>
      <c r="G165" s="127"/>
      <c r="H165" s="127"/>
      <c r="I165" s="127"/>
      <c r="J165" s="96" t="s">
        <v>642</v>
      </c>
      <c r="K165" s="96"/>
      <c r="L165" s="96"/>
      <c r="M165" s="96"/>
      <c r="N165" s="96"/>
      <c r="O165" s="96"/>
      <c r="P165" s="96"/>
      <c r="Q165" s="96"/>
    </row>
    <row r="166" spans="1:17" ht="22.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72"/>
      <c r="C166" s="147"/>
      <c r="D166" s="265"/>
      <c r="E166" s="265"/>
      <c r="F166" s="127" t="s">
        <v>266</v>
      </c>
      <c r="G166" s="127"/>
      <c r="H166" s="127"/>
      <c r="I166" s="127"/>
      <c r="J166" s="96" t="s">
        <v>642</v>
      </c>
      <c r="K166" s="96"/>
      <c r="L166" s="96"/>
      <c r="M166" s="96"/>
      <c r="N166" s="96"/>
      <c r="O166" s="96"/>
      <c r="P166" s="96"/>
      <c r="Q166" s="96"/>
    </row>
    <row r="167" spans="1:17" ht="33.7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72"/>
      <c r="C167" s="147"/>
      <c r="D167" s="265"/>
      <c r="E167" s="265"/>
      <c r="F167" s="127" t="s">
        <v>267</v>
      </c>
      <c r="G167" s="127" t="s">
        <v>627</v>
      </c>
      <c r="H167" s="127"/>
      <c r="I167" s="127"/>
      <c r="J167" s="96"/>
      <c r="K167" s="96"/>
      <c r="L167" s="96"/>
      <c r="M167" s="96"/>
      <c r="N167" s="96"/>
      <c r="O167" s="96"/>
      <c r="P167" s="96"/>
      <c r="Q167" s="96"/>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265"/>
      <c r="C168" s="147"/>
      <c r="D168" s="265"/>
      <c r="E168" s="146"/>
      <c r="F168" s="127" t="s">
        <v>268</v>
      </c>
      <c r="G168" s="127" t="s">
        <v>603</v>
      </c>
      <c r="H168" s="127"/>
      <c r="I168" s="127"/>
      <c r="J168" s="96"/>
      <c r="K168" s="96"/>
      <c r="L168" s="96"/>
      <c r="M168" s="96"/>
      <c r="N168" s="96"/>
      <c r="O168" s="96"/>
      <c r="P168" s="96"/>
      <c r="Q168" s="96"/>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265"/>
      <c r="C169" s="147"/>
      <c r="D169" s="265"/>
      <c r="E169" s="140" t="s">
        <v>205</v>
      </c>
      <c r="F169" s="127" t="s">
        <v>269</v>
      </c>
      <c r="G169" s="127"/>
      <c r="H169" s="127"/>
      <c r="I169" s="127"/>
      <c r="J169" s="96" t="s">
        <v>642</v>
      </c>
      <c r="K169" s="96"/>
      <c r="L169" s="96"/>
      <c r="M169" s="96"/>
      <c r="N169" s="96"/>
      <c r="O169" s="96"/>
      <c r="P169" s="96"/>
      <c r="Q169" s="96"/>
    </row>
    <row r="170" spans="1:17" ht="33.7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72"/>
      <c r="C170" s="147"/>
      <c r="D170" s="265"/>
      <c r="E170" s="265"/>
      <c r="F170" s="127" t="s">
        <v>270</v>
      </c>
      <c r="G170" s="127"/>
      <c r="H170" s="127"/>
      <c r="I170" s="127"/>
      <c r="J170" s="96" t="s">
        <v>642</v>
      </c>
      <c r="K170" s="96"/>
      <c r="L170" s="96"/>
      <c r="M170" s="96"/>
      <c r="N170" s="96"/>
      <c r="O170" s="96"/>
      <c r="P170" s="96"/>
      <c r="Q170" s="96"/>
    </row>
    <row r="171" spans="1:17" ht="33.7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72"/>
      <c r="C171" s="147"/>
      <c r="D171" s="265"/>
      <c r="E171" s="265"/>
      <c r="F171" s="127" t="s">
        <v>271</v>
      </c>
      <c r="G171" s="127"/>
      <c r="H171" s="127"/>
      <c r="I171" s="127"/>
      <c r="J171" s="96" t="s">
        <v>642</v>
      </c>
      <c r="K171" s="96"/>
      <c r="L171" s="96"/>
      <c r="M171" s="96"/>
      <c r="N171" s="96"/>
      <c r="O171" s="96"/>
      <c r="P171" s="96"/>
      <c r="Q171" s="96"/>
    </row>
    <row r="172" spans="1:17" ht="4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72"/>
      <c r="C172" s="147"/>
      <c r="D172" s="265"/>
      <c r="E172" s="265"/>
      <c r="F172" s="127" t="s">
        <v>272</v>
      </c>
      <c r="G172" s="127"/>
      <c r="H172" s="127"/>
      <c r="I172" s="127"/>
      <c r="J172" s="96" t="s">
        <v>642</v>
      </c>
      <c r="K172" s="96"/>
      <c r="L172" s="96"/>
      <c r="M172" s="96"/>
      <c r="N172" s="96"/>
      <c r="O172" s="96"/>
      <c r="P172" s="96"/>
      <c r="Q172" s="96"/>
    </row>
    <row r="173" spans="1:17" ht="4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72"/>
      <c r="C173" s="147"/>
      <c r="D173" s="265"/>
      <c r="E173" s="265"/>
      <c r="F173" s="127" t="s">
        <v>273</v>
      </c>
      <c r="G173" s="127"/>
      <c r="H173" s="127"/>
      <c r="I173" s="127"/>
      <c r="J173" s="96" t="s">
        <v>642</v>
      </c>
      <c r="K173" s="96"/>
      <c r="L173" s="96"/>
      <c r="M173" s="96"/>
      <c r="N173" s="96"/>
      <c r="O173" s="96"/>
      <c r="P173" s="96"/>
      <c r="Q173" s="96"/>
    </row>
    <row r="174" spans="1:17" ht="33.7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72"/>
      <c r="C174" s="147"/>
      <c r="D174" s="265"/>
      <c r="E174" s="265"/>
      <c r="F174" s="127" t="s">
        <v>274</v>
      </c>
      <c r="G174" s="127"/>
      <c r="H174" s="127"/>
      <c r="I174" s="127"/>
      <c r="J174" s="96" t="s">
        <v>642</v>
      </c>
      <c r="K174" s="96"/>
      <c r="L174" s="96"/>
      <c r="M174" s="96"/>
      <c r="N174" s="96"/>
      <c r="O174" s="96"/>
      <c r="P174" s="96"/>
      <c r="Q174" s="96"/>
    </row>
    <row r="175" spans="1:17" ht="4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72"/>
      <c r="C175" s="147"/>
      <c r="D175" s="265"/>
      <c r="E175" s="265"/>
      <c r="F175" s="127" t="s">
        <v>275</v>
      </c>
      <c r="G175" s="127" t="s">
        <v>602</v>
      </c>
      <c r="H175" s="127"/>
      <c r="I175" s="127"/>
      <c r="J175" s="96"/>
      <c r="K175" s="96"/>
      <c r="L175" s="96"/>
      <c r="M175" s="96"/>
      <c r="N175" s="96"/>
      <c r="O175" s="96"/>
      <c r="P175" s="96"/>
      <c r="Q175" s="96"/>
    </row>
    <row r="176" spans="1:17" ht="4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72"/>
      <c r="C176" s="147"/>
      <c r="D176" s="265"/>
      <c r="E176" s="265"/>
      <c r="F176" s="127" t="s">
        <v>276</v>
      </c>
      <c r="G176" s="127" t="s">
        <v>602</v>
      </c>
      <c r="H176" s="127"/>
      <c r="I176" s="127"/>
      <c r="J176" s="96"/>
      <c r="K176" s="96"/>
      <c r="L176" s="96"/>
      <c r="M176" s="96"/>
      <c r="N176" s="96"/>
      <c r="O176" s="96"/>
      <c r="P176" s="96"/>
      <c r="Q176" s="96"/>
    </row>
    <row r="177" spans="1:17" ht="22.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72"/>
      <c r="C177" s="147"/>
      <c r="D177" s="265"/>
      <c r="E177" s="146"/>
      <c r="F177" s="127" t="s">
        <v>277</v>
      </c>
      <c r="G177" s="127" t="s">
        <v>602</v>
      </c>
      <c r="H177" s="127"/>
      <c r="I177" s="127"/>
      <c r="J177" s="96"/>
      <c r="K177" s="96"/>
      <c r="L177" s="96"/>
      <c r="M177" s="96"/>
      <c r="N177" s="96"/>
      <c r="O177" s="96"/>
      <c r="P177" s="96"/>
      <c r="Q177" s="96"/>
    </row>
    <row r="178" spans="1:17" ht="33.7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72"/>
      <c r="C178" s="147"/>
      <c r="D178" s="265"/>
      <c r="E178" s="127" t="s">
        <v>239</v>
      </c>
      <c r="F178" s="127" t="s">
        <v>278</v>
      </c>
      <c r="G178" s="127"/>
      <c r="H178" s="127"/>
      <c r="I178" s="127"/>
      <c r="J178" s="96" t="s">
        <v>642</v>
      </c>
      <c r="K178" s="96"/>
      <c r="L178" s="96"/>
      <c r="M178" s="96"/>
      <c r="N178" s="96"/>
      <c r="O178" s="96"/>
      <c r="P178" s="96"/>
      <c r="Q178" s="96"/>
    </row>
    <row r="179" spans="1:17" ht="22.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46"/>
      <c r="C179" s="145"/>
      <c r="D179" s="146"/>
      <c r="E179" s="145" t="s">
        <v>279</v>
      </c>
      <c r="F179" s="127" t="s">
        <v>280</v>
      </c>
      <c r="G179" s="127" t="s">
        <v>604</v>
      </c>
      <c r="H179" s="127"/>
      <c r="I179" s="127"/>
      <c r="J179" s="96"/>
      <c r="K179" s="96"/>
      <c r="L179" s="96"/>
      <c r="M179" s="96"/>
      <c r="N179" s="96"/>
      <c r="O179" s="96"/>
      <c r="P179" s="96"/>
      <c r="Q179" s="96"/>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61" t="s">
        <v>281</v>
      </c>
      <c r="C180" s="161" t="s">
        <v>194</v>
      </c>
      <c r="D180" s="174" t="s">
        <v>282</v>
      </c>
      <c r="E180" s="144" t="s">
        <v>54</v>
      </c>
      <c r="F180" s="144" t="s">
        <v>283</v>
      </c>
      <c r="G180" s="144" t="s">
        <v>494</v>
      </c>
      <c r="H180" s="144"/>
      <c r="I180" s="144"/>
      <c r="J180" s="49"/>
      <c r="K180" s="49"/>
      <c r="L180" s="49"/>
      <c r="M180" s="49"/>
      <c r="N180" s="49"/>
      <c r="O180" s="49"/>
      <c r="P180" s="49"/>
      <c r="Q180" s="49"/>
    </row>
    <row r="181" spans="1:17" ht="22.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60"/>
      <c r="C181" s="168"/>
      <c r="D181" s="174" t="s">
        <v>284</v>
      </c>
      <c r="E181" s="144" t="s">
        <v>54</v>
      </c>
      <c r="F181" s="144" t="s">
        <v>285</v>
      </c>
      <c r="G181" s="144" t="s">
        <v>494</v>
      </c>
      <c r="H181" s="144"/>
      <c r="I181" s="144"/>
      <c r="J181" s="49"/>
      <c r="K181" s="49"/>
      <c r="L181" s="49"/>
      <c r="M181" s="49"/>
      <c r="N181" s="49"/>
      <c r="O181" s="49"/>
      <c r="P181" s="49"/>
      <c r="Q181" s="49"/>
    </row>
    <row r="182" spans="1:17" ht="22.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62"/>
      <c r="C182" s="175"/>
      <c r="D182" s="175" t="s">
        <v>286</v>
      </c>
      <c r="E182" s="175" t="s">
        <v>54</v>
      </c>
      <c r="F182" s="144" t="s">
        <v>287</v>
      </c>
      <c r="G182" s="144" t="s">
        <v>494</v>
      </c>
      <c r="H182" s="144"/>
      <c r="I182" s="144"/>
      <c r="J182" s="49"/>
      <c r="K182" s="49"/>
      <c r="L182" s="49"/>
      <c r="M182" s="49"/>
      <c r="N182" s="49"/>
      <c r="O182" s="49"/>
      <c r="P182" s="49"/>
      <c r="Q182" s="49"/>
    </row>
    <row r="183" spans="1:17" ht="22.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61" t="s">
        <v>288</v>
      </c>
      <c r="C183" s="161" t="s">
        <v>194</v>
      </c>
      <c r="D183" s="161" t="s">
        <v>54</v>
      </c>
      <c r="E183" s="144" t="s">
        <v>289</v>
      </c>
      <c r="F183" s="144" t="s">
        <v>290</v>
      </c>
      <c r="G183" s="144" t="s">
        <v>562</v>
      </c>
      <c r="H183" s="144"/>
      <c r="I183" s="144"/>
      <c r="J183" s="49"/>
      <c r="K183" s="49"/>
      <c r="L183" s="49"/>
      <c r="M183" s="49"/>
      <c r="N183" s="49"/>
      <c r="O183" s="49"/>
      <c r="P183" s="49"/>
      <c r="Q183" s="49"/>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56"/>
      <c r="C184" s="156"/>
      <c r="D184" s="160"/>
      <c r="E184" s="160" t="s">
        <v>61</v>
      </c>
      <c r="F184" s="144" t="s">
        <v>291</v>
      </c>
      <c r="G184" s="144" t="s">
        <v>562</v>
      </c>
      <c r="H184" s="144"/>
      <c r="I184" s="144"/>
      <c r="J184" s="49"/>
      <c r="K184" s="49"/>
      <c r="L184" s="49"/>
      <c r="M184" s="49"/>
      <c r="N184" s="49"/>
      <c r="O184" s="49"/>
      <c r="P184" s="49"/>
      <c r="Q184" s="49"/>
    </row>
    <row r="185" spans="1:17" ht="22.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56"/>
      <c r="C185" s="176"/>
      <c r="D185" s="160"/>
      <c r="E185" s="162"/>
      <c r="F185" s="144" t="s">
        <v>292</v>
      </c>
      <c r="G185" s="144" t="s">
        <v>562</v>
      </c>
      <c r="H185" s="144"/>
      <c r="I185" s="144"/>
      <c r="J185" s="49"/>
      <c r="K185" s="49"/>
      <c r="L185" s="49"/>
      <c r="M185" s="49"/>
      <c r="N185" s="49"/>
      <c r="O185" s="49"/>
      <c r="P185" s="49"/>
      <c r="Q185" s="49"/>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56"/>
      <c r="C186" s="168"/>
      <c r="D186" s="160"/>
      <c r="E186" s="160" t="s">
        <v>293</v>
      </c>
      <c r="F186" s="144" t="s">
        <v>294</v>
      </c>
      <c r="G186" s="144" t="s">
        <v>562</v>
      </c>
      <c r="H186" s="144"/>
      <c r="I186" s="144"/>
      <c r="J186" s="49"/>
      <c r="K186" s="49"/>
      <c r="L186" s="49"/>
      <c r="M186" s="49"/>
      <c r="N186" s="49"/>
      <c r="O186" s="49"/>
      <c r="P186" s="49"/>
      <c r="Q186" s="49"/>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56"/>
      <c r="C187" s="168"/>
      <c r="D187" s="177"/>
      <c r="E187" s="162"/>
      <c r="F187" s="144" t="s">
        <v>295</v>
      </c>
      <c r="G187" s="144" t="s">
        <v>562</v>
      </c>
      <c r="H187" s="144"/>
      <c r="I187" s="144"/>
      <c r="J187" s="49"/>
      <c r="K187" s="49"/>
      <c r="L187" s="49"/>
      <c r="M187" s="49"/>
      <c r="N187" s="49"/>
      <c r="O187" s="49"/>
      <c r="P187" s="49"/>
      <c r="Q187" s="49"/>
    </row>
    <row r="188" spans="1:17" ht="33.7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56"/>
      <c r="C188" s="175"/>
      <c r="D188" s="162" t="s">
        <v>159</v>
      </c>
      <c r="E188" s="162" t="s">
        <v>54</v>
      </c>
      <c r="F188" s="144" t="s">
        <v>296</v>
      </c>
      <c r="G188" s="144" t="s">
        <v>562</v>
      </c>
      <c r="H188" s="144"/>
      <c r="I188" s="144"/>
      <c r="J188" s="49"/>
      <c r="K188" s="49"/>
      <c r="L188" s="49"/>
      <c r="M188" s="49"/>
      <c r="N188" s="49"/>
      <c r="O188" s="49"/>
      <c r="P188" s="49"/>
      <c r="Q188" s="49"/>
    </row>
    <row r="189" spans="1:17" ht="22.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56"/>
      <c r="C189" s="168" t="s">
        <v>297</v>
      </c>
      <c r="D189" s="160" t="s">
        <v>298</v>
      </c>
      <c r="E189" s="160" t="s">
        <v>299</v>
      </c>
      <c r="F189" s="144" t="s">
        <v>300</v>
      </c>
      <c r="G189" s="144" t="s">
        <v>562</v>
      </c>
      <c r="H189" s="144"/>
      <c r="I189" s="144"/>
      <c r="J189" s="49"/>
      <c r="K189" s="49"/>
      <c r="L189" s="49"/>
      <c r="M189" s="49"/>
      <c r="N189" s="49"/>
      <c r="O189" s="49"/>
      <c r="P189" s="49"/>
      <c r="Q189" s="49"/>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56"/>
      <c r="C190" s="176"/>
      <c r="D190" s="160"/>
      <c r="E190" s="160"/>
      <c r="F190" s="144" t="s">
        <v>301</v>
      </c>
      <c r="G190" s="144" t="s">
        <v>562</v>
      </c>
      <c r="H190" s="144"/>
      <c r="I190" s="144"/>
      <c r="J190" s="49"/>
      <c r="K190" s="49"/>
      <c r="L190" s="49"/>
      <c r="M190" s="49"/>
      <c r="N190" s="49"/>
      <c r="O190" s="49"/>
      <c r="P190" s="49"/>
      <c r="Q190" s="49"/>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56"/>
      <c r="C191" s="176"/>
      <c r="D191" s="160"/>
      <c r="E191" s="160"/>
      <c r="F191" s="144" t="s">
        <v>302</v>
      </c>
      <c r="G191" s="144" t="s">
        <v>562</v>
      </c>
      <c r="H191" s="144"/>
      <c r="I191" s="144"/>
      <c r="J191" s="49"/>
      <c r="K191" s="49"/>
      <c r="L191" s="49"/>
      <c r="M191" s="49"/>
      <c r="N191" s="49"/>
      <c r="O191" s="49"/>
      <c r="P191" s="49"/>
      <c r="Q191" s="49"/>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56"/>
      <c r="C192" s="176"/>
      <c r="D192" s="160"/>
      <c r="E192" s="160"/>
      <c r="F192" s="144" t="s">
        <v>303</v>
      </c>
      <c r="G192" s="144" t="s">
        <v>562</v>
      </c>
      <c r="H192" s="144"/>
      <c r="I192" s="144"/>
      <c r="J192" s="49"/>
      <c r="K192" s="49"/>
      <c r="L192" s="49"/>
      <c r="M192" s="49"/>
      <c r="N192" s="49"/>
      <c r="O192" s="49"/>
      <c r="P192" s="49"/>
      <c r="Q192" s="49"/>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56"/>
      <c r="C193" s="176"/>
      <c r="D193" s="160"/>
      <c r="E193" s="160"/>
      <c r="F193" s="144" t="s">
        <v>304</v>
      </c>
      <c r="G193" s="144" t="s">
        <v>562</v>
      </c>
      <c r="H193" s="144"/>
      <c r="I193" s="144"/>
      <c r="J193" s="49"/>
      <c r="K193" s="49"/>
      <c r="L193" s="49"/>
      <c r="M193" s="49"/>
      <c r="N193" s="49"/>
      <c r="O193" s="49"/>
      <c r="P193" s="49"/>
      <c r="Q193" s="49"/>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56"/>
      <c r="C194" s="176"/>
      <c r="D194" s="160"/>
      <c r="E194" s="160"/>
      <c r="F194" s="144" t="s">
        <v>305</v>
      </c>
      <c r="G194" s="144" t="s">
        <v>562</v>
      </c>
      <c r="H194" s="144"/>
      <c r="I194" s="144"/>
      <c r="J194" s="49"/>
      <c r="K194" s="49"/>
      <c r="L194" s="49"/>
      <c r="M194" s="49"/>
      <c r="N194" s="49"/>
      <c r="O194" s="49"/>
      <c r="P194" s="49"/>
      <c r="Q194" s="49"/>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56"/>
      <c r="C195" s="176"/>
      <c r="D195" s="160"/>
      <c r="E195" s="162"/>
      <c r="F195" s="144" t="s">
        <v>306</v>
      </c>
      <c r="G195" s="144" t="s">
        <v>562</v>
      </c>
      <c r="H195" s="144"/>
      <c r="I195" s="144"/>
      <c r="J195" s="49"/>
      <c r="K195" s="49"/>
      <c r="L195" s="49"/>
      <c r="M195" s="49"/>
      <c r="N195" s="49"/>
      <c r="O195" s="49"/>
      <c r="P195" s="49"/>
      <c r="Q195" s="49"/>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56"/>
      <c r="C196" s="156"/>
      <c r="D196" s="162"/>
      <c r="E196" s="162" t="s">
        <v>307</v>
      </c>
      <c r="F196" s="144" t="s">
        <v>308</v>
      </c>
      <c r="G196" s="144" t="s">
        <v>562</v>
      </c>
      <c r="H196" s="144"/>
      <c r="I196" s="144"/>
      <c r="J196" s="49"/>
      <c r="K196" s="49"/>
      <c r="L196" s="49"/>
      <c r="M196" s="49"/>
      <c r="N196" s="49"/>
      <c r="O196" s="49"/>
      <c r="P196" s="49"/>
      <c r="Q196" s="49"/>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56"/>
      <c r="C197" s="156"/>
      <c r="D197" s="160" t="s">
        <v>309</v>
      </c>
      <c r="E197" s="160" t="s">
        <v>127</v>
      </c>
      <c r="F197" s="144" t="s">
        <v>310</v>
      </c>
      <c r="G197" s="144" t="s">
        <v>562</v>
      </c>
      <c r="H197" s="144"/>
      <c r="I197" s="144"/>
      <c r="J197" s="49"/>
      <c r="K197" s="49"/>
      <c r="L197" s="49"/>
      <c r="M197" s="49"/>
      <c r="N197" s="49"/>
      <c r="O197" s="49"/>
      <c r="P197" s="49"/>
      <c r="Q197" s="49"/>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56"/>
      <c r="C198" s="156"/>
      <c r="D198" s="160"/>
      <c r="E198" s="160"/>
      <c r="F198" s="144" t="s">
        <v>311</v>
      </c>
      <c r="G198" s="144" t="s">
        <v>562</v>
      </c>
      <c r="H198" s="144"/>
      <c r="I198" s="144"/>
      <c r="J198" s="49"/>
      <c r="K198" s="49"/>
      <c r="L198" s="49"/>
      <c r="M198" s="49"/>
      <c r="N198" s="49"/>
      <c r="O198" s="49"/>
      <c r="P198" s="49"/>
      <c r="Q198" s="49"/>
    </row>
    <row r="199" spans="1:17">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56"/>
      <c r="C199" s="156"/>
      <c r="D199" s="160"/>
      <c r="E199" s="160"/>
      <c r="F199" s="144" t="s">
        <v>312</v>
      </c>
      <c r="G199" s="144" t="s">
        <v>562</v>
      </c>
      <c r="H199" s="144"/>
      <c r="I199" s="144"/>
      <c r="J199" s="49"/>
      <c r="K199" s="49"/>
      <c r="L199" s="49"/>
      <c r="M199" s="49"/>
      <c r="N199" s="49"/>
      <c r="O199" s="49"/>
      <c r="P199" s="49"/>
      <c r="Q199" s="49"/>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56"/>
      <c r="C200" s="156"/>
      <c r="D200" s="160"/>
      <c r="E200" s="160"/>
      <c r="F200" s="144" t="s">
        <v>313</v>
      </c>
      <c r="G200" s="144" t="s">
        <v>562</v>
      </c>
      <c r="H200" s="144"/>
      <c r="I200" s="144"/>
      <c r="J200" s="49"/>
      <c r="K200" s="49"/>
      <c r="L200" s="49"/>
      <c r="M200" s="49"/>
      <c r="N200" s="49"/>
      <c r="O200" s="49"/>
      <c r="P200" s="49"/>
      <c r="Q200" s="49"/>
    </row>
    <row r="201" spans="1:17" ht="33.7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56"/>
      <c r="C201" s="156"/>
      <c r="D201" s="160"/>
      <c r="E201" s="160"/>
      <c r="F201" s="144" t="s">
        <v>314</v>
      </c>
      <c r="G201" s="144" t="s">
        <v>562</v>
      </c>
      <c r="H201" s="144"/>
      <c r="I201" s="144"/>
      <c r="J201" s="49"/>
      <c r="K201" s="49"/>
      <c r="L201" s="49"/>
      <c r="M201" s="49"/>
      <c r="N201" s="49"/>
      <c r="O201" s="49"/>
      <c r="P201" s="49"/>
      <c r="Q201" s="49"/>
    </row>
    <row r="202" spans="1:17" ht="33.7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56"/>
      <c r="C202" s="156"/>
      <c r="D202" s="160"/>
      <c r="E202" s="160"/>
      <c r="F202" s="144" t="s">
        <v>315</v>
      </c>
      <c r="G202" s="144" t="s">
        <v>562</v>
      </c>
      <c r="H202" s="144"/>
      <c r="I202" s="144"/>
      <c r="J202" s="49"/>
      <c r="K202" s="49"/>
      <c r="L202" s="49"/>
      <c r="M202" s="49"/>
      <c r="N202" s="49"/>
      <c r="O202" s="49"/>
      <c r="P202" s="49"/>
      <c r="Q202" s="49"/>
    </row>
    <row r="203" spans="1:17" ht="4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56"/>
      <c r="C203" s="156"/>
      <c r="D203" s="160"/>
      <c r="E203" s="160"/>
      <c r="F203" s="144" t="s">
        <v>316</v>
      </c>
      <c r="G203" s="144" t="s">
        <v>562</v>
      </c>
      <c r="H203" s="144"/>
      <c r="I203" s="144"/>
      <c r="J203" s="49"/>
      <c r="K203" s="49"/>
      <c r="L203" s="49"/>
      <c r="M203" s="49"/>
      <c r="N203" s="49"/>
      <c r="O203" s="49"/>
      <c r="P203" s="49"/>
      <c r="Q203" s="49"/>
    </row>
    <row r="204" spans="1:17" ht="33.7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56"/>
      <c r="C204" s="156"/>
      <c r="D204" s="160"/>
      <c r="E204" s="160"/>
      <c r="F204" s="144" t="s">
        <v>317</v>
      </c>
      <c r="G204" s="144" t="s">
        <v>562</v>
      </c>
      <c r="H204" s="144"/>
      <c r="I204" s="144"/>
      <c r="J204" s="49"/>
      <c r="K204" s="49"/>
      <c r="L204" s="49"/>
      <c r="M204" s="49"/>
      <c r="N204" s="49"/>
      <c r="O204" s="49"/>
      <c r="P204" s="49"/>
      <c r="Q204" s="49"/>
    </row>
    <row r="205" spans="1:17" ht="33.7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56"/>
      <c r="C205" s="156"/>
      <c r="D205" s="160"/>
      <c r="E205" s="160"/>
      <c r="F205" s="144" t="s">
        <v>318</v>
      </c>
      <c r="G205" s="144" t="s">
        <v>562</v>
      </c>
      <c r="H205" s="144"/>
      <c r="I205" s="144"/>
      <c r="J205" s="49"/>
      <c r="K205" s="49"/>
      <c r="L205" s="49"/>
      <c r="M205" s="49"/>
      <c r="N205" s="49"/>
      <c r="O205" s="49"/>
      <c r="P205" s="49"/>
      <c r="Q205" s="49"/>
    </row>
    <row r="206" spans="1:17" ht="22.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56"/>
      <c r="C206" s="156"/>
      <c r="D206" s="160"/>
      <c r="E206" s="160"/>
      <c r="F206" s="144" t="s">
        <v>319</v>
      </c>
      <c r="G206" s="144" t="s">
        <v>562</v>
      </c>
      <c r="H206" s="144"/>
      <c r="I206" s="144"/>
      <c r="J206" s="49"/>
      <c r="K206" s="49"/>
      <c r="L206" s="49"/>
      <c r="M206" s="49"/>
      <c r="N206" s="49"/>
      <c r="O206" s="49"/>
      <c r="P206" s="49"/>
      <c r="Q206" s="49"/>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56"/>
      <c r="C207" s="156"/>
      <c r="D207" s="160"/>
      <c r="E207" s="160"/>
      <c r="F207" s="144" t="s">
        <v>320</v>
      </c>
      <c r="G207" s="144" t="s">
        <v>562</v>
      </c>
      <c r="H207" s="144"/>
      <c r="I207" s="144"/>
      <c r="J207" s="49"/>
      <c r="K207" s="49"/>
      <c r="L207" s="49"/>
      <c r="M207" s="49"/>
      <c r="N207" s="49"/>
      <c r="O207" s="49"/>
      <c r="P207" s="49"/>
      <c r="Q207" s="49"/>
    </row>
    <row r="208" spans="1:17" ht="33.7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56"/>
      <c r="C208" s="156"/>
      <c r="D208" s="160"/>
      <c r="E208" s="160"/>
      <c r="F208" s="144" t="s">
        <v>321</v>
      </c>
      <c r="G208" s="144" t="s">
        <v>562</v>
      </c>
      <c r="H208" s="144"/>
      <c r="I208" s="144"/>
      <c r="J208" s="49"/>
      <c r="K208" s="49"/>
      <c r="L208" s="49"/>
      <c r="M208" s="49"/>
      <c r="N208" s="49"/>
      <c r="O208" s="49"/>
      <c r="P208" s="49"/>
      <c r="Q208" s="49"/>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60"/>
      <c r="C209" s="156"/>
      <c r="D209" s="162"/>
      <c r="E209" s="162"/>
      <c r="F209" s="144" t="s">
        <v>322</v>
      </c>
      <c r="G209" s="144" t="s">
        <v>562</v>
      </c>
      <c r="H209" s="144"/>
      <c r="I209" s="144"/>
      <c r="J209" s="49"/>
      <c r="K209" s="49"/>
      <c r="L209" s="49"/>
      <c r="M209" s="49"/>
      <c r="N209" s="49"/>
      <c r="O209" s="49"/>
      <c r="P209" s="49"/>
      <c r="Q209" s="49"/>
    </row>
    <row r="210" spans="1:17" ht="22.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60"/>
      <c r="C210" s="156"/>
      <c r="D210" s="161" t="s">
        <v>323</v>
      </c>
      <c r="E210" s="161" t="s">
        <v>127</v>
      </c>
      <c r="F210" s="144" t="s">
        <v>324</v>
      </c>
      <c r="G210" s="144" t="s">
        <v>562</v>
      </c>
      <c r="H210" s="144"/>
      <c r="I210" s="144"/>
      <c r="J210" s="49"/>
      <c r="K210" s="49"/>
      <c r="L210" s="49"/>
      <c r="M210" s="49"/>
      <c r="N210" s="49"/>
      <c r="O210" s="49"/>
      <c r="P210" s="49"/>
      <c r="Q210" s="49"/>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56"/>
      <c r="C211" s="156"/>
      <c r="D211" s="160"/>
      <c r="E211" s="160"/>
      <c r="F211" s="144" t="s">
        <v>325</v>
      </c>
      <c r="G211" s="144" t="s">
        <v>562</v>
      </c>
      <c r="H211" s="144"/>
      <c r="I211" s="144"/>
      <c r="J211" s="49"/>
      <c r="K211" s="49"/>
      <c r="L211" s="49"/>
      <c r="M211" s="49"/>
      <c r="N211" s="49"/>
      <c r="O211" s="49"/>
      <c r="P211" s="49"/>
      <c r="Q211" s="49"/>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56"/>
      <c r="C212" s="156"/>
      <c r="D212" s="160"/>
      <c r="E212" s="160"/>
      <c r="F212" s="144" t="s">
        <v>326</v>
      </c>
      <c r="G212" s="144" t="s">
        <v>562</v>
      </c>
      <c r="H212" s="144"/>
      <c r="I212" s="144"/>
      <c r="J212" s="49"/>
      <c r="K212" s="49"/>
      <c r="L212" s="49"/>
      <c r="M212" s="49"/>
      <c r="N212" s="49"/>
      <c r="O212" s="49"/>
      <c r="P212" s="49"/>
      <c r="Q212" s="49"/>
    </row>
    <row r="213" spans="1:17">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56"/>
      <c r="C213" s="156"/>
      <c r="D213" s="160"/>
      <c r="E213" s="160"/>
      <c r="F213" s="144" t="s">
        <v>312</v>
      </c>
      <c r="G213" s="144" t="s">
        <v>562</v>
      </c>
      <c r="H213" s="144"/>
      <c r="I213" s="144"/>
      <c r="J213" s="49"/>
      <c r="K213" s="49"/>
      <c r="L213" s="49"/>
      <c r="M213" s="49"/>
      <c r="N213" s="49"/>
      <c r="O213" s="49"/>
      <c r="P213" s="49"/>
      <c r="Q213" s="49"/>
    </row>
    <row r="214" spans="1:17" ht="22.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56"/>
      <c r="C214" s="156"/>
      <c r="D214" s="160"/>
      <c r="E214" s="160"/>
      <c r="F214" s="144" t="s">
        <v>313</v>
      </c>
      <c r="G214" s="144" t="s">
        <v>562</v>
      </c>
      <c r="H214" s="144"/>
      <c r="I214" s="144"/>
      <c r="J214" s="49"/>
      <c r="K214" s="49"/>
      <c r="L214" s="49"/>
      <c r="M214" s="49"/>
      <c r="N214" s="49"/>
      <c r="O214" s="49"/>
      <c r="P214" s="49"/>
      <c r="Q214" s="49"/>
    </row>
    <row r="215" spans="1:17" ht="4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56"/>
      <c r="C215" s="156"/>
      <c r="D215" s="160"/>
      <c r="E215" s="160"/>
      <c r="F215" s="144" t="s">
        <v>327</v>
      </c>
      <c r="G215" s="144" t="s">
        <v>562</v>
      </c>
      <c r="H215" s="144"/>
      <c r="I215" s="144"/>
      <c r="J215" s="49"/>
      <c r="K215" s="49"/>
      <c r="L215" s="49"/>
      <c r="M215" s="49"/>
      <c r="N215" s="49"/>
      <c r="O215" s="49"/>
      <c r="P215" s="49"/>
      <c r="Q215" s="49"/>
    </row>
    <row r="216" spans="1:17" ht="33.7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56"/>
      <c r="C216" s="156"/>
      <c r="D216" s="160"/>
      <c r="E216" s="160"/>
      <c r="F216" s="144" t="s">
        <v>328</v>
      </c>
      <c r="G216" s="144" t="s">
        <v>562</v>
      </c>
      <c r="H216" s="144"/>
      <c r="I216" s="144"/>
      <c r="J216" s="49"/>
      <c r="K216" s="49"/>
      <c r="L216" s="49"/>
      <c r="M216" s="49"/>
      <c r="N216" s="49"/>
      <c r="O216" s="49"/>
      <c r="P216" s="49"/>
      <c r="Q216" s="49"/>
    </row>
    <row r="217" spans="1:17" ht="33.7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56"/>
      <c r="C217" s="156"/>
      <c r="D217" s="160"/>
      <c r="E217" s="160"/>
      <c r="F217" s="144" t="s">
        <v>492</v>
      </c>
      <c r="G217" s="144" t="s">
        <v>562</v>
      </c>
      <c r="H217" s="144"/>
      <c r="I217" s="144"/>
      <c r="J217" s="49"/>
      <c r="K217" s="49"/>
      <c r="L217" s="49"/>
      <c r="M217" s="49"/>
      <c r="N217" s="49"/>
      <c r="O217" s="49"/>
      <c r="P217" s="49"/>
      <c r="Q217" s="49"/>
    </row>
    <row r="218" spans="1:17" ht="4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56"/>
      <c r="C218" s="156"/>
      <c r="D218" s="160"/>
      <c r="E218" s="160"/>
      <c r="F218" s="144" t="s">
        <v>329</v>
      </c>
      <c r="G218" s="144" t="s">
        <v>562</v>
      </c>
      <c r="H218" s="144"/>
      <c r="I218" s="144"/>
      <c r="J218" s="49"/>
      <c r="K218" s="49"/>
      <c r="L218" s="49"/>
      <c r="M218" s="49"/>
      <c r="N218" s="49"/>
      <c r="O218" s="49"/>
      <c r="P218" s="49"/>
      <c r="Q218" s="49"/>
    </row>
    <row r="219" spans="1:17" ht="33.7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56"/>
      <c r="C219" s="156"/>
      <c r="D219" s="160"/>
      <c r="E219" s="160"/>
      <c r="F219" s="144" t="s">
        <v>330</v>
      </c>
      <c r="G219" s="144" t="s">
        <v>562</v>
      </c>
      <c r="H219" s="144"/>
      <c r="I219" s="144"/>
      <c r="J219" s="49"/>
      <c r="K219" s="49"/>
      <c r="L219" s="49"/>
      <c r="M219" s="49"/>
      <c r="N219" s="49"/>
      <c r="O219" s="49"/>
      <c r="P219" s="49"/>
      <c r="Q219" s="49"/>
    </row>
    <row r="220" spans="1:17" ht="33.7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56"/>
      <c r="C220" s="156"/>
      <c r="D220" s="160"/>
      <c r="E220" s="160"/>
      <c r="F220" s="144" t="s">
        <v>331</v>
      </c>
      <c r="G220" s="144" t="s">
        <v>562</v>
      </c>
      <c r="H220" s="144"/>
      <c r="I220" s="144"/>
      <c r="J220" s="49"/>
      <c r="K220" s="49"/>
      <c r="L220" s="49"/>
      <c r="M220" s="49"/>
      <c r="N220" s="49"/>
      <c r="O220" s="49"/>
      <c r="P220" s="49"/>
      <c r="Q220" s="49"/>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56"/>
      <c r="C221" s="156"/>
      <c r="D221" s="160"/>
      <c r="E221" s="160"/>
      <c r="F221" s="144" t="s">
        <v>332</v>
      </c>
      <c r="G221" s="144" t="s">
        <v>562</v>
      </c>
      <c r="H221" s="144"/>
      <c r="I221" s="144"/>
      <c r="J221" s="49"/>
      <c r="K221" s="49"/>
      <c r="L221" s="49"/>
      <c r="M221" s="49"/>
      <c r="N221" s="49"/>
      <c r="O221" s="49"/>
      <c r="P221" s="49"/>
      <c r="Q221" s="49"/>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56"/>
      <c r="C222" s="156"/>
      <c r="D222" s="160"/>
      <c r="E222" s="160"/>
      <c r="F222" s="144" t="s">
        <v>333</v>
      </c>
      <c r="G222" s="144" t="s">
        <v>562</v>
      </c>
      <c r="H222" s="144"/>
      <c r="I222" s="144"/>
      <c r="J222" s="49"/>
      <c r="K222" s="49"/>
      <c r="L222" s="49"/>
      <c r="M222" s="49"/>
      <c r="N222" s="49"/>
      <c r="O222" s="49"/>
      <c r="P222" s="49"/>
      <c r="Q222" s="49"/>
    </row>
    <row r="223" spans="1:17" ht="33.7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56"/>
      <c r="C223" s="156"/>
      <c r="D223" s="160"/>
      <c r="E223" s="160"/>
      <c r="F223" s="144" t="s">
        <v>334</v>
      </c>
      <c r="G223" s="144" t="s">
        <v>562</v>
      </c>
      <c r="H223" s="144"/>
      <c r="I223" s="144"/>
      <c r="J223" s="49"/>
      <c r="K223" s="49"/>
      <c r="L223" s="49"/>
      <c r="M223" s="49"/>
      <c r="N223" s="49"/>
      <c r="O223" s="49"/>
      <c r="P223" s="49"/>
      <c r="Q223" s="49"/>
    </row>
    <row r="224" spans="1:17" ht="22.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56"/>
      <c r="C224" s="156"/>
      <c r="D224" s="160"/>
      <c r="E224" s="162"/>
      <c r="F224" s="144" t="s">
        <v>322</v>
      </c>
      <c r="G224" s="144" t="s">
        <v>562</v>
      </c>
      <c r="H224" s="144"/>
      <c r="I224" s="144"/>
      <c r="J224" s="49"/>
      <c r="K224" s="49"/>
      <c r="L224" s="49"/>
      <c r="M224" s="49"/>
      <c r="N224" s="49"/>
      <c r="O224" s="49"/>
      <c r="P224" s="49"/>
      <c r="Q224" s="49"/>
    </row>
    <row r="225" spans="1:17" ht="4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56"/>
      <c r="C225" s="156"/>
      <c r="D225" s="160"/>
      <c r="E225" s="160" t="s">
        <v>335</v>
      </c>
      <c r="F225" s="144" t="s">
        <v>336</v>
      </c>
      <c r="G225" s="144" t="s">
        <v>562</v>
      </c>
      <c r="H225" s="144"/>
      <c r="I225" s="144"/>
      <c r="J225" s="49"/>
      <c r="K225" s="49"/>
      <c r="L225" s="49"/>
      <c r="M225" s="49"/>
      <c r="N225" s="49"/>
      <c r="O225" s="49"/>
      <c r="P225" s="49"/>
      <c r="Q225" s="49"/>
    </row>
    <row r="226" spans="1:17" ht="4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56"/>
      <c r="C226" s="156"/>
      <c r="D226" s="160"/>
      <c r="E226" s="160"/>
      <c r="F226" s="144" t="s">
        <v>337</v>
      </c>
      <c r="G226" s="144" t="s">
        <v>562</v>
      </c>
      <c r="H226" s="144"/>
      <c r="I226" s="144"/>
      <c r="J226" s="49"/>
      <c r="K226" s="49"/>
      <c r="L226" s="49"/>
      <c r="M226" s="49"/>
      <c r="N226" s="49"/>
      <c r="O226" s="49"/>
      <c r="P226" s="49"/>
      <c r="Q226" s="49"/>
    </row>
    <row r="227" spans="1:17" ht="33.7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56"/>
      <c r="C227" s="156"/>
      <c r="D227" s="160"/>
      <c r="E227" s="162"/>
      <c r="F227" s="144" t="s">
        <v>338</v>
      </c>
      <c r="G227" s="144" t="s">
        <v>562</v>
      </c>
      <c r="H227" s="144"/>
      <c r="I227" s="144"/>
      <c r="J227" s="49"/>
      <c r="K227" s="49"/>
      <c r="L227" s="49"/>
      <c r="M227" s="49"/>
      <c r="N227" s="49"/>
      <c r="O227" s="49"/>
      <c r="P227" s="49"/>
      <c r="Q227" s="49"/>
    </row>
    <row r="228" spans="1:17" ht="33.7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56"/>
      <c r="C228" s="156"/>
      <c r="D228" s="160"/>
      <c r="E228" s="162" t="s">
        <v>152</v>
      </c>
      <c r="F228" s="144" t="s">
        <v>339</v>
      </c>
      <c r="G228" s="144" t="s">
        <v>562</v>
      </c>
      <c r="H228" s="144"/>
      <c r="I228" s="144"/>
      <c r="J228" s="49"/>
      <c r="K228" s="49"/>
      <c r="L228" s="49"/>
      <c r="M228" s="49"/>
      <c r="N228" s="49"/>
      <c r="O228" s="49"/>
      <c r="P228" s="49"/>
      <c r="Q228" s="49"/>
    </row>
    <row r="229" spans="1:17" ht="22.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62"/>
      <c r="C229" s="162"/>
      <c r="D229" s="162"/>
      <c r="E229" s="178" t="s">
        <v>340</v>
      </c>
      <c r="F229" s="144" t="s">
        <v>341</v>
      </c>
      <c r="G229" s="144" t="s">
        <v>562</v>
      </c>
      <c r="H229" s="144"/>
      <c r="I229" s="144"/>
      <c r="J229" s="49"/>
      <c r="K229" s="49"/>
      <c r="L229" s="49"/>
      <c r="M229" s="49"/>
      <c r="N229" s="49"/>
      <c r="O229" s="49"/>
      <c r="P229" s="49"/>
      <c r="Q229" s="49"/>
    </row>
    <row r="230" spans="1:17" ht="22.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61" t="s">
        <v>342</v>
      </c>
      <c r="C230" s="161" t="s">
        <v>194</v>
      </c>
      <c r="D230" s="161" t="s">
        <v>54</v>
      </c>
      <c r="E230" s="144" t="s">
        <v>54</v>
      </c>
      <c r="F230" s="144" t="s">
        <v>343</v>
      </c>
      <c r="G230" s="144" t="s">
        <v>605</v>
      </c>
      <c r="H230" s="144"/>
      <c r="I230" s="144"/>
      <c r="J230" s="49"/>
      <c r="K230" s="49"/>
      <c r="L230" s="49"/>
      <c r="M230" s="49"/>
      <c r="N230" s="49"/>
      <c r="O230" s="49"/>
      <c r="P230" s="49"/>
      <c r="Q230" s="49"/>
    </row>
    <row r="231" spans="1:17" ht="22.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56"/>
      <c r="C231" s="160"/>
      <c r="D231" s="160"/>
      <c r="E231" s="160" t="s">
        <v>138</v>
      </c>
      <c r="F231" s="144" t="s">
        <v>344</v>
      </c>
      <c r="G231" s="144" t="s">
        <v>605</v>
      </c>
      <c r="H231" s="144"/>
      <c r="I231" s="144"/>
      <c r="J231" s="49"/>
      <c r="K231" s="49"/>
      <c r="L231" s="49"/>
      <c r="M231" s="49"/>
      <c r="N231" s="49"/>
      <c r="O231" s="49"/>
      <c r="P231" s="49"/>
      <c r="Q231" s="49"/>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56"/>
      <c r="C232" s="160"/>
      <c r="D232" s="160"/>
      <c r="E232" s="160"/>
      <c r="F232" s="144" t="s">
        <v>345</v>
      </c>
      <c r="G232" s="144" t="s">
        <v>605</v>
      </c>
      <c r="H232" s="144"/>
      <c r="I232" s="144"/>
      <c r="J232" s="49"/>
      <c r="K232" s="49"/>
      <c r="L232" s="49"/>
      <c r="M232" s="49"/>
      <c r="N232" s="49"/>
      <c r="O232" s="49"/>
      <c r="P232" s="49"/>
      <c r="Q232" s="49"/>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56"/>
      <c r="C233" s="160"/>
      <c r="D233" s="160"/>
      <c r="E233" s="160"/>
      <c r="F233" s="144" t="s">
        <v>346</v>
      </c>
      <c r="G233" s="144" t="s">
        <v>605</v>
      </c>
      <c r="H233" s="144"/>
      <c r="I233" s="144"/>
      <c r="J233" s="49"/>
      <c r="K233" s="49"/>
      <c r="L233" s="49"/>
      <c r="M233" s="49"/>
      <c r="N233" s="49"/>
      <c r="O233" s="49"/>
      <c r="P233" s="49"/>
      <c r="Q233" s="49"/>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56"/>
      <c r="C234" s="160"/>
      <c r="D234" s="160"/>
      <c r="E234" s="160"/>
      <c r="F234" s="144" t="s">
        <v>347</v>
      </c>
      <c r="G234" s="144" t="s">
        <v>605</v>
      </c>
      <c r="H234" s="144"/>
      <c r="I234" s="144"/>
      <c r="J234" s="49"/>
      <c r="K234" s="49"/>
      <c r="L234" s="49"/>
      <c r="M234" s="49"/>
      <c r="N234" s="49"/>
      <c r="O234" s="49"/>
      <c r="P234" s="49"/>
      <c r="Q234" s="49"/>
    </row>
    <row r="235" spans="1:17" ht="33.7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56"/>
      <c r="C235" s="160"/>
      <c r="D235" s="160"/>
      <c r="E235" s="162"/>
      <c r="F235" s="144" t="s">
        <v>348</v>
      </c>
      <c r="G235" s="144" t="s">
        <v>605</v>
      </c>
      <c r="H235" s="144"/>
      <c r="I235" s="144"/>
      <c r="J235" s="49"/>
      <c r="K235" s="49"/>
      <c r="L235" s="49"/>
      <c r="M235" s="49"/>
      <c r="N235" s="49"/>
      <c r="O235" s="49"/>
      <c r="P235" s="49"/>
      <c r="Q235" s="49"/>
    </row>
    <row r="236" spans="1:17" ht="33.7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56"/>
      <c r="C236" s="160"/>
      <c r="D236" s="160"/>
      <c r="E236" s="160" t="s">
        <v>205</v>
      </c>
      <c r="F236" s="144" t="s">
        <v>349</v>
      </c>
      <c r="G236" s="144" t="s">
        <v>605</v>
      </c>
      <c r="H236" s="144"/>
      <c r="I236" s="144"/>
      <c r="J236" s="49"/>
      <c r="K236" s="49"/>
      <c r="L236" s="49"/>
      <c r="M236" s="49"/>
      <c r="N236" s="49"/>
      <c r="O236" s="49"/>
      <c r="P236" s="49"/>
      <c r="Q236" s="49"/>
    </row>
    <row r="237" spans="1:17" ht="33.7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56"/>
      <c r="C237" s="160"/>
      <c r="D237" s="160"/>
      <c r="E237" s="160"/>
      <c r="F237" s="144" t="s">
        <v>350</v>
      </c>
      <c r="G237" s="144" t="s">
        <v>605</v>
      </c>
      <c r="H237" s="144"/>
      <c r="I237" s="144"/>
      <c r="J237" s="49"/>
      <c r="K237" s="49"/>
      <c r="L237" s="49"/>
      <c r="M237" s="49"/>
      <c r="N237" s="49"/>
      <c r="O237" s="49"/>
      <c r="P237" s="49"/>
      <c r="Q237" s="49"/>
    </row>
    <row r="238" spans="1:17" ht="4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56"/>
      <c r="C238" s="160"/>
      <c r="D238" s="160"/>
      <c r="E238" s="160"/>
      <c r="F238" s="144" t="s">
        <v>351</v>
      </c>
      <c r="G238" s="144" t="s">
        <v>605</v>
      </c>
      <c r="H238" s="144"/>
      <c r="I238" s="144"/>
      <c r="J238" s="49"/>
      <c r="K238" s="49"/>
      <c r="L238" s="49"/>
      <c r="M238" s="49"/>
      <c r="N238" s="49"/>
      <c r="O238" s="49"/>
      <c r="P238" s="49"/>
      <c r="Q238" s="49"/>
    </row>
    <row r="239" spans="1:17" ht="4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56"/>
      <c r="C239" s="160"/>
      <c r="D239" s="160"/>
      <c r="E239" s="160"/>
      <c r="F239" s="144" t="s">
        <v>352</v>
      </c>
      <c r="G239" s="144" t="s">
        <v>605</v>
      </c>
      <c r="H239" s="144"/>
      <c r="I239" s="144"/>
      <c r="J239" s="49"/>
      <c r="K239" s="49"/>
      <c r="L239" s="49"/>
      <c r="M239" s="49"/>
      <c r="N239" s="49"/>
      <c r="O239" s="49"/>
      <c r="P239" s="49"/>
      <c r="Q239" s="49"/>
    </row>
    <row r="240" spans="1:17" ht="33.7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56"/>
      <c r="C240" s="160"/>
      <c r="D240" s="160"/>
      <c r="E240" s="162"/>
      <c r="F240" s="144" t="s">
        <v>353</v>
      </c>
      <c r="G240" s="144" t="s">
        <v>605</v>
      </c>
      <c r="H240" s="144"/>
      <c r="I240" s="144"/>
      <c r="J240" s="49"/>
      <c r="K240" s="49"/>
      <c r="L240" s="49"/>
      <c r="M240" s="49"/>
      <c r="N240" s="49"/>
      <c r="O240" s="49"/>
      <c r="P240" s="49"/>
      <c r="Q240" s="49"/>
    </row>
    <row r="241" spans="1:17" ht="33.7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56"/>
      <c r="C241" s="175"/>
      <c r="D241" s="162"/>
      <c r="E241" s="162" t="s">
        <v>211</v>
      </c>
      <c r="F241" s="144" t="s">
        <v>354</v>
      </c>
      <c r="G241" s="144" t="s">
        <v>605</v>
      </c>
      <c r="H241" s="144"/>
      <c r="I241" s="144"/>
      <c r="J241" s="49"/>
      <c r="K241" s="49"/>
      <c r="L241" s="49"/>
      <c r="M241" s="49"/>
      <c r="N241" s="49"/>
      <c r="O241" s="49"/>
      <c r="P241" s="49"/>
      <c r="Q241" s="49"/>
    </row>
    <row r="242" spans="1:17" ht="33.7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62"/>
      <c r="C242" s="162" t="s">
        <v>46</v>
      </c>
      <c r="D242" s="162" t="s">
        <v>214</v>
      </c>
      <c r="E242" s="162" t="s">
        <v>215</v>
      </c>
      <c r="F242" s="144" t="s">
        <v>355</v>
      </c>
      <c r="G242" s="144" t="s">
        <v>605</v>
      </c>
      <c r="H242" s="144"/>
      <c r="I242" s="144"/>
      <c r="J242" s="49"/>
      <c r="K242" s="49"/>
      <c r="L242" s="49"/>
      <c r="M242" s="49"/>
      <c r="N242" s="49"/>
      <c r="O242" s="49"/>
      <c r="P242" s="49"/>
      <c r="Q242" s="49"/>
    </row>
    <row r="243" spans="1:17" ht="22.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61" t="s">
        <v>356</v>
      </c>
      <c r="C243" s="161" t="s">
        <v>357</v>
      </c>
      <c r="D243" s="161" t="s">
        <v>54</v>
      </c>
      <c r="E243" s="161" t="s">
        <v>54</v>
      </c>
      <c r="F243" s="144" t="s">
        <v>358</v>
      </c>
      <c r="G243" s="144" t="s">
        <v>605</v>
      </c>
      <c r="H243" s="144"/>
      <c r="I243" s="144"/>
      <c r="J243" s="49"/>
      <c r="K243" s="49"/>
      <c r="L243" s="49"/>
      <c r="M243" s="49"/>
      <c r="N243" s="49"/>
      <c r="O243" s="49"/>
      <c r="P243" s="49"/>
      <c r="Q243" s="49"/>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56"/>
      <c r="C244" s="160"/>
      <c r="D244" s="162"/>
      <c r="E244" s="162"/>
      <c r="F244" s="144" t="s">
        <v>359</v>
      </c>
      <c r="G244" s="144" t="s">
        <v>605</v>
      </c>
      <c r="H244" s="144"/>
      <c r="I244" s="144"/>
      <c r="J244" s="49"/>
      <c r="K244" s="49"/>
      <c r="L244" s="49"/>
      <c r="M244" s="49"/>
      <c r="N244" s="49"/>
      <c r="O244" s="49"/>
      <c r="P244" s="49"/>
      <c r="Q244" s="49"/>
    </row>
    <row r="245" spans="1:17" ht="33.7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56"/>
      <c r="C245" s="160"/>
      <c r="D245" s="160" t="s">
        <v>159</v>
      </c>
      <c r="E245" s="160" t="s">
        <v>54</v>
      </c>
      <c r="F245" s="144" t="s">
        <v>360</v>
      </c>
      <c r="G245" s="144" t="s">
        <v>605</v>
      </c>
      <c r="H245" s="144"/>
      <c r="I245" s="144"/>
      <c r="J245" s="49"/>
      <c r="K245" s="49"/>
      <c r="L245" s="49"/>
      <c r="M245" s="49"/>
      <c r="N245" s="49"/>
      <c r="O245" s="49"/>
      <c r="P245" s="49"/>
      <c r="Q245" s="49"/>
    </row>
    <row r="246" spans="1:17" ht="33.7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56"/>
      <c r="C246" s="162"/>
      <c r="D246" s="162"/>
      <c r="E246" s="162"/>
      <c r="F246" s="144" t="s">
        <v>361</v>
      </c>
      <c r="G246" s="144" t="s">
        <v>605</v>
      </c>
      <c r="H246" s="144"/>
      <c r="I246" s="144"/>
      <c r="J246" s="49"/>
      <c r="K246" s="49"/>
      <c r="L246" s="49"/>
      <c r="M246" s="49"/>
      <c r="N246" s="49"/>
      <c r="O246" s="49"/>
      <c r="P246" s="49"/>
      <c r="Q246" s="49"/>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56"/>
      <c r="C247" s="168" t="s">
        <v>362</v>
      </c>
      <c r="D247" s="160" t="s">
        <v>214</v>
      </c>
      <c r="E247" s="144" t="s">
        <v>232</v>
      </c>
      <c r="F247" s="144" t="s">
        <v>363</v>
      </c>
      <c r="G247" s="144" t="s">
        <v>605</v>
      </c>
      <c r="H247" s="144"/>
      <c r="I247" s="144"/>
      <c r="J247" s="49"/>
      <c r="K247" s="49"/>
      <c r="L247" s="49"/>
      <c r="M247" s="49"/>
      <c r="N247" s="49"/>
      <c r="O247" s="49"/>
      <c r="P247" s="49"/>
      <c r="Q247" s="49"/>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56"/>
      <c r="C248" s="168"/>
      <c r="D248" s="160"/>
      <c r="E248" s="144" t="s">
        <v>236</v>
      </c>
      <c r="F248" s="144" t="s">
        <v>364</v>
      </c>
      <c r="G248" s="144" t="s">
        <v>605</v>
      </c>
      <c r="H248" s="144"/>
      <c r="I248" s="144"/>
      <c r="J248" s="49"/>
      <c r="K248" s="49"/>
      <c r="L248" s="49"/>
      <c r="M248" s="49"/>
      <c r="N248" s="49"/>
      <c r="O248" s="49"/>
      <c r="P248" s="49"/>
      <c r="Q248" s="49"/>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56"/>
      <c r="C249" s="156"/>
      <c r="D249" s="168"/>
      <c r="E249" s="144" t="s">
        <v>215</v>
      </c>
      <c r="F249" s="144" t="s">
        <v>365</v>
      </c>
      <c r="G249" s="144" t="s">
        <v>605</v>
      </c>
      <c r="H249" s="144"/>
      <c r="I249" s="144"/>
      <c r="J249" s="49"/>
      <c r="K249" s="49"/>
      <c r="L249" s="49"/>
      <c r="M249" s="49"/>
      <c r="N249" s="49"/>
      <c r="O249" s="49"/>
      <c r="P249" s="49"/>
      <c r="Q249" s="49"/>
    </row>
    <row r="250" spans="1:17" ht="33.7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56"/>
      <c r="C250" s="168"/>
      <c r="D250" s="162"/>
      <c r="E250" s="144" t="s">
        <v>239</v>
      </c>
      <c r="F250" s="144" t="s">
        <v>366</v>
      </c>
      <c r="G250" s="144" t="s">
        <v>605</v>
      </c>
      <c r="H250" s="144"/>
      <c r="I250" s="144"/>
      <c r="J250" s="49"/>
      <c r="K250" s="49"/>
      <c r="L250" s="49"/>
      <c r="M250" s="49"/>
      <c r="N250" s="49"/>
      <c r="O250" s="49"/>
      <c r="P250" s="49"/>
      <c r="Q250" s="49"/>
    </row>
    <row r="251" spans="1:17" ht="22.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56"/>
      <c r="C251" s="156"/>
      <c r="D251" s="160" t="s">
        <v>248</v>
      </c>
      <c r="E251" s="156" t="s">
        <v>54</v>
      </c>
      <c r="F251" s="144" t="s">
        <v>367</v>
      </c>
      <c r="G251" s="144" t="s">
        <v>605</v>
      </c>
      <c r="H251" s="144"/>
      <c r="I251" s="144"/>
      <c r="J251" s="49"/>
      <c r="K251" s="49"/>
      <c r="L251" s="49"/>
      <c r="M251" s="49"/>
      <c r="N251" s="49"/>
      <c r="O251" s="49"/>
      <c r="P251" s="49"/>
      <c r="Q251" s="49"/>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56"/>
      <c r="C252" s="156"/>
      <c r="D252" s="168"/>
      <c r="E252" s="162"/>
      <c r="F252" s="144" t="s">
        <v>368</v>
      </c>
      <c r="G252" s="144" t="s">
        <v>605</v>
      </c>
      <c r="H252" s="144"/>
      <c r="I252" s="144"/>
      <c r="J252" s="49"/>
      <c r="K252" s="49"/>
      <c r="L252" s="49"/>
      <c r="M252" s="49"/>
      <c r="N252" s="49"/>
      <c r="O252" s="49"/>
      <c r="P252" s="49"/>
      <c r="Q252" s="49"/>
    </row>
    <row r="253" spans="1:17" ht="33.7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56"/>
      <c r="C253" s="156"/>
      <c r="D253" s="168"/>
      <c r="E253" s="160" t="s">
        <v>127</v>
      </c>
      <c r="F253" s="144" t="s">
        <v>369</v>
      </c>
      <c r="G253" s="144" t="s">
        <v>605</v>
      </c>
      <c r="H253" s="144"/>
      <c r="I253" s="144"/>
      <c r="J253" s="49"/>
      <c r="K253" s="49"/>
      <c r="L253" s="49"/>
      <c r="M253" s="49"/>
      <c r="N253" s="49"/>
      <c r="O253" s="49"/>
      <c r="P253" s="49"/>
      <c r="Q253" s="49"/>
    </row>
    <row r="254" spans="1:17" ht="33.7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56"/>
      <c r="C254" s="156"/>
      <c r="D254" s="168"/>
      <c r="E254" s="160"/>
      <c r="F254" s="144" t="s">
        <v>370</v>
      </c>
      <c r="G254" s="144" t="s">
        <v>605</v>
      </c>
      <c r="H254" s="144"/>
      <c r="I254" s="144"/>
      <c r="J254" s="49"/>
      <c r="K254" s="49"/>
      <c r="L254" s="49"/>
      <c r="M254" s="49"/>
      <c r="N254" s="49"/>
      <c r="O254" s="49"/>
      <c r="P254" s="49"/>
      <c r="Q254" s="49"/>
    </row>
    <row r="255" spans="1:17" ht="33.7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56"/>
      <c r="C255" s="156"/>
      <c r="D255" s="168"/>
      <c r="E255" s="160"/>
      <c r="F255" s="144" t="s">
        <v>371</v>
      </c>
      <c r="G255" s="144" t="s">
        <v>605</v>
      </c>
      <c r="H255" s="144"/>
      <c r="I255" s="144"/>
      <c r="J255" s="49"/>
      <c r="K255" s="49"/>
      <c r="L255" s="49"/>
      <c r="M255" s="49"/>
      <c r="N255" s="49"/>
      <c r="O255" s="49"/>
      <c r="P255" s="49"/>
      <c r="Q255" s="49"/>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56"/>
      <c r="C256" s="156"/>
      <c r="D256" s="168"/>
      <c r="E256" s="160"/>
      <c r="F256" s="144" t="s">
        <v>372</v>
      </c>
      <c r="G256" s="144" t="s">
        <v>605</v>
      </c>
      <c r="H256" s="144"/>
      <c r="I256" s="144"/>
      <c r="J256" s="49"/>
      <c r="K256" s="49"/>
      <c r="L256" s="49"/>
      <c r="M256" s="49"/>
      <c r="N256" s="49"/>
      <c r="O256" s="49"/>
      <c r="P256" s="49"/>
      <c r="Q256" s="49"/>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60"/>
      <c r="C257" s="160"/>
      <c r="D257" s="160"/>
      <c r="E257" s="156"/>
      <c r="F257" s="144" t="s">
        <v>373</v>
      </c>
      <c r="G257" s="144" t="s">
        <v>605</v>
      </c>
      <c r="H257" s="144"/>
      <c r="I257" s="144"/>
      <c r="J257" s="49"/>
      <c r="K257" s="49"/>
      <c r="L257" s="49"/>
      <c r="M257" s="49"/>
      <c r="N257" s="49"/>
      <c r="O257" s="49"/>
      <c r="P257" s="49"/>
      <c r="Q257" s="49"/>
    </row>
    <row r="258" spans="1:17" ht="22.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56"/>
      <c r="C258" s="160"/>
      <c r="D258" s="160"/>
      <c r="E258" s="156"/>
      <c r="F258" s="144" t="s">
        <v>374</v>
      </c>
      <c r="G258" s="144" t="s">
        <v>605</v>
      </c>
      <c r="H258" s="144"/>
      <c r="I258" s="144"/>
      <c r="J258" s="49"/>
      <c r="K258" s="49"/>
      <c r="L258" s="49"/>
      <c r="M258" s="49"/>
      <c r="N258" s="49"/>
      <c r="O258" s="49"/>
      <c r="P258" s="49"/>
      <c r="Q258" s="49"/>
    </row>
    <row r="259" spans="1:17" ht="22.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56"/>
      <c r="C259" s="160"/>
      <c r="D259" s="160"/>
      <c r="E259" s="156"/>
      <c r="F259" s="144" t="s">
        <v>375</v>
      </c>
      <c r="G259" s="144" t="s">
        <v>605</v>
      </c>
      <c r="H259" s="144"/>
      <c r="I259" s="144"/>
      <c r="J259" s="49"/>
      <c r="K259" s="49"/>
      <c r="L259" s="49"/>
      <c r="M259" s="49"/>
      <c r="N259" s="49"/>
      <c r="O259" s="49"/>
      <c r="P259" s="49"/>
      <c r="Q259" s="49"/>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56"/>
      <c r="C260" s="160"/>
      <c r="D260" s="160"/>
      <c r="E260" s="156"/>
      <c r="F260" s="144" t="s">
        <v>376</v>
      </c>
      <c r="G260" s="144" t="s">
        <v>605</v>
      </c>
      <c r="H260" s="144"/>
      <c r="I260" s="144"/>
      <c r="J260" s="49"/>
      <c r="K260" s="49"/>
      <c r="L260" s="49"/>
      <c r="M260" s="49"/>
      <c r="N260" s="49"/>
      <c r="O260" s="49"/>
      <c r="P260" s="49"/>
      <c r="Q260" s="49"/>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56"/>
      <c r="C261" s="160"/>
      <c r="D261" s="160"/>
      <c r="E261" s="156"/>
      <c r="F261" s="144" t="s">
        <v>377</v>
      </c>
      <c r="G261" s="144" t="s">
        <v>605</v>
      </c>
      <c r="H261" s="144"/>
      <c r="I261" s="144"/>
      <c r="J261" s="49"/>
      <c r="K261" s="49"/>
      <c r="L261" s="49"/>
      <c r="M261" s="49"/>
      <c r="N261" s="49"/>
      <c r="O261" s="49"/>
      <c r="P261" s="49"/>
      <c r="Q261" s="49"/>
    </row>
    <row r="262" spans="1:17" ht="33.7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56"/>
      <c r="C262" s="160"/>
      <c r="D262" s="160"/>
      <c r="E262" s="160"/>
      <c r="F262" s="144" t="s">
        <v>378</v>
      </c>
      <c r="G262" s="144" t="s">
        <v>605</v>
      </c>
      <c r="H262" s="144"/>
      <c r="I262" s="144"/>
      <c r="J262" s="49"/>
      <c r="K262" s="49"/>
      <c r="L262" s="49"/>
      <c r="M262" s="49"/>
      <c r="N262" s="49"/>
      <c r="O262" s="49"/>
      <c r="P262" s="49"/>
      <c r="Q262" s="49"/>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56"/>
      <c r="C263" s="160"/>
      <c r="D263" s="160"/>
      <c r="E263" s="162"/>
      <c r="F263" s="144" t="s">
        <v>379</v>
      </c>
      <c r="G263" s="144" t="s">
        <v>605</v>
      </c>
      <c r="H263" s="144"/>
      <c r="I263" s="144"/>
      <c r="J263" s="49"/>
      <c r="K263" s="49"/>
      <c r="L263" s="49"/>
      <c r="M263" s="49"/>
      <c r="N263" s="49"/>
      <c r="O263" s="49"/>
      <c r="P263" s="49"/>
      <c r="Q263" s="49"/>
    </row>
    <row r="264" spans="1:17">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56"/>
      <c r="C264" s="160"/>
      <c r="D264" s="160"/>
      <c r="E264" s="160" t="s">
        <v>61</v>
      </c>
      <c r="F264" s="144" t="s">
        <v>380</v>
      </c>
      <c r="G264" s="144" t="s">
        <v>605</v>
      </c>
      <c r="H264" s="144"/>
      <c r="I264" s="144"/>
      <c r="J264" s="49"/>
      <c r="K264" s="49"/>
      <c r="L264" s="49"/>
      <c r="M264" s="49"/>
      <c r="N264" s="49"/>
      <c r="O264" s="49"/>
      <c r="P264" s="49"/>
      <c r="Q264" s="49"/>
    </row>
    <row r="265" spans="1:17">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56"/>
      <c r="C265" s="160"/>
      <c r="D265" s="160"/>
      <c r="E265" s="160"/>
      <c r="F265" s="144" t="s">
        <v>381</v>
      </c>
      <c r="G265" s="144" t="s">
        <v>605</v>
      </c>
      <c r="H265" s="144"/>
      <c r="I265" s="144"/>
      <c r="J265" s="49"/>
      <c r="K265" s="49"/>
      <c r="L265" s="49"/>
      <c r="M265" s="49"/>
      <c r="N265" s="49"/>
      <c r="O265" s="49"/>
      <c r="P265" s="49"/>
      <c r="Q265" s="49"/>
    </row>
    <row r="266" spans="1:17" ht="22.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56"/>
      <c r="C266" s="156"/>
      <c r="D266" s="160"/>
      <c r="E266" s="160"/>
      <c r="F266" s="144" t="s">
        <v>382</v>
      </c>
      <c r="G266" s="144" t="s">
        <v>605</v>
      </c>
      <c r="H266" s="144"/>
      <c r="I266" s="144"/>
      <c r="J266" s="49"/>
      <c r="K266" s="49"/>
      <c r="L266" s="49"/>
      <c r="M266" s="49"/>
      <c r="N266" s="49"/>
      <c r="O266" s="49"/>
      <c r="P266" s="49"/>
      <c r="Q266" s="49"/>
    </row>
    <row r="267" spans="1:17" ht="22.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56"/>
      <c r="C267" s="156"/>
      <c r="D267" s="168"/>
      <c r="E267" s="160"/>
      <c r="F267" s="144" t="s">
        <v>383</v>
      </c>
      <c r="G267" s="144" t="s">
        <v>605</v>
      </c>
      <c r="H267" s="144"/>
      <c r="I267" s="144"/>
      <c r="J267" s="49"/>
      <c r="K267" s="49"/>
      <c r="L267" s="49"/>
      <c r="M267" s="49"/>
      <c r="N267" s="49"/>
      <c r="O267" s="49"/>
      <c r="P267" s="49"/>
      <c r="Q267" s="49"/>
    </row>
    <row r="268" spans="1:17" ht="22.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56"/>
      <c r="C268" s="156"/>
      <c r="D268" s="168"/>
      <c r="E268" s="160"/>
      <c r="F268" s="144" t="s">
        <v>384</v>
      </c>
      <c r="G268" s="144" t="s">
        <v>605</v>
      </c>
      <c r="H268" s="144"/>
      <c r="I268" s="144"/>
      <c r="J268" s="49"/>
      <c r="K268" s="49"/>
      <c r="L268" s="49"/>
      <c r="M268" s="49"/>
      <c r="N268" s="49"/>
      <c r="O268" s="49"/>
      <c r="P268" s="49"/>
      <c r="Q268" s="49"/>
    </row>
    <row r="269" spans="1:17" ht="33.7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56"/>
      <c r="C269" s="156"/>
      <c r="D269" s="168"/>
      <c r="E269" s="162"/>
      <c r="F269" s="144" t="s">
        <v>385</v>
      </c>
      <c r="G269" s="144" t="s">
        <v>605</v>
      </c>
      <c r="H269" s="144"/>
      <c r="I269" s="144"/>
      <c r="J269" s="49"/>
      <c r="K269" s="49"/>
      <c r="L269" s="49"/>
      <c r="M269" s="49"/>
      <c r="N269" s="49"/>
      <c r="O269" s="49"/>
      <c r="P269" s="49"/>
      <c r="Q269" s="49"/>
    </row>
    <row r="270" spans="1:17" ht="22.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56"/>
      <c r="C270" s="156"/>
      <c r="D270" s="168"/>
      <c r="E270" s="160" t="s">
        <v>205</v>
      </c>
      <c r="F270" s="144" t="s">
        <v>386</v>
      </c>
      <c r="G270" s="144" t="s">
        <v>605</v>
      </c>
      <c r="H270" s="144"/>
      <c r="I270" s="144"/>
      <c r="J270" s="49"/>
      <c r="K270" s="49"/>
      <c r="L270" s="49"/>
      <c r="M270" s="49"/>
      <c r="N270" s="49"/>
      <c r="O270" s="49"/>
      <c r="P270" s="49"/>
      <c r="Q270" s="49"/>
    </row>
    <row r="271" spans="1:17" ht="33.7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56"/>
      <c r="C271" s="156"/>
      <c r="D271" s="168"/>
      <c r="E271" s="160"/>
      <c r="F271" s="144" t="s">
        <v>387</v>
      </c>
      <c r="G271" s="144" t="s">
        <v>605</v>
      </c>
      <c r="H271" s="144"/>
      <c r="I271" s="144"/>
      <c r="J271" s="49"/>
      <c r="K271" s="49"/>
      <c r="L271" s="49"/>
      <c r="M271" s="49"/>
      <c r="N271" s="49"/>
      <c r="O271" s="49"/>
      <c r="P271" s="49"/>
      <c r="Q271" s="49"/>
    </row>
    <row r="272" spans="1:17" ht="4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56"/>
      <c r="C272" s="156"/>
      <c r="D272" s="168"/>
      <c r="E272" s="160"/>
      <c r="F272" s="144" t="s">
        <v>388</v>
      </c>
      <c r="G272" s="144" t="s">
        <v>605</v>
      </c>
      <c r="H272" s="144"/>
      <c r="I272" s="144"/>
      <c r="J272" s="49"/>
      <c r="K272" s="49"/>
      <c r="L272" s="49"/>
      <c r="M272" s="49"/>
      <c r="N272" s="49"/>
      <c r="O272" s="49"/>
      <c r="P272" s="49"/>
      <c r="Q272" s="49"/>
    </row>
    <row r="273" spans="1:17" ht="4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56"/>
      <c r="C273" s="156"/>
      <c r="D273" s="168"/>
      <c r="E273" s="160"/>
      <c r="F273" s="144" t="s">
        <v>389</v>
      </c>
      <c r="G273" s="144" t="s">
        <v>605</v>
      </c>
      <c r="H273" s="144"/>
      <c r="I273" s="144"/>
      <c r="J273" s="49"/>
      <c r="K273" s="49"/>
      <c r="L273" s="49"/>
      <c r="M273" s="49"/>
      <c r="N273" s="49"/>
      <c r="O273" s="49"/>
      <c r="P273" s="49"/>
      <c r="Q273" s="49"/>
    </row>
    <row r="274" spans="1:17" ht="22.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56"/>
      <c r="C274" s="156"/>
      <c r="D274" s="168"/>
      <c r="E274" s="160"/>
      <c r="F274" s="144" t="s">
        <v>390</v>
      </c>
      <c r="G274" s="144" t="s">
        <v>605</v>
      </c>
      <c r="H274" s="144"/>
      <c r="I274" s="144"/>
      <c r="J274" s="49"/>
      <c r="K274" s="49"/>
      <c r="L274" s="49"/>
      <c r="M274" s="49"/>
      <c r="N274" s="49"/>
      <c r="O274" s="49"/>
      <c r="P274" s="49"/>
      <c r="Q274" s="49"/>
    </row>
    <row r="275" spans="1:17" ht="4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56"/>
      <c r="C275" s="156"/>
      <c r="D275" s="168"/>
      <c r="E275" s="160"/>
      <c r="F275" s="144" t="s">
        <v>391</v>
      </c>
      <c r="G275" s="144" t="s">
        <v>605</v>
      </c>
      <c r="H275" s="144"/>
      <c r="I275" s="144"/>
      <c r="J275" s="49"/>
      <c r="K275" s="49"/>
      <c r="L275" s="49"/>
      <c r="M275" s="49"/>
      <c r="N275" s="49"/>
      <c r="O275" s="49"/>
      <c r="P275" s="49"/>
      <c r="Q275" s="49"/>
    </row>
    <row r="276" spans="1:17" ht="4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56"/>
      <c r="C276" s="156"/>
      <c r="D276" s="168"/>
      <c r="E276" s="160"/>
      <c r="F276" s="144" t="s">
        <v>392</v>
      </c>
      <c r="G276" s="144" t="s">
        <v>605</v>
      </c>
      <c r="H276" s="144"/>
      <c r="I276" s="144"/>
      <c r="J276" s="49"/>
      <c r="K276" s="49"/>
      <c r="L276" s="49"/>
      <c r="M276" s="49"/>
      <c r="N276" s="49"/>
      <c r="O276" s="49"/>
      <c r="P276" s="49"/>
      <c r="Q276" s="49"/>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56"/>
      <c r="C277" s="156"/>
      <c r="D277" s="168"/>
      <c r="E277" s="162"/>
      <c r="F277" s="144" t="s">
        <v>393</v>
      </c>
      <c r="G277" s="144" t="s">
        <v>605</v>
      </c>
      <c r="H277" s="144"/>
      <c r="I277" s="144"/>
      <c r="J277" s="49"/>
      <c r="K277" s="49"/>
      <c r="L277" s="49"/>
      <c r="M277" s="49"/>
      <c r="N277" s="49"/>
      <c r="O277" s="49"/>
      <c r="P277" s="49"/>
      <c r="Q277" s="49"/>
    </row>
    <row r="278" spans="1:17" ht="22.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78"/>
      <c r="C278" s="178"/>
      <c r="D278" s="175"/>
      <c r="E278" s="162" t="s">
        <v>239</v>
      </c>
      <c r="F278" s="144" t="s">
        <v>394</v>
      </c>
      <c r="G278" s="144" t="s">
        <v>605</v>
      </c>
      <c r="H278" s="144"/>
      <c r="I278" s="144"/>
      <c r="J278" s="49"/>
      <c r="K278" s="49"/>
      <c r="L278" s="49"/>
      <c r="M278" s="49"/>
      <c r="N278" s="49"/>
      <c r="O278" s="49"/>
      <c r="P278" s="49"/>
      <c r="Q278" s="49"/>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71" t="s">
        <v>395</v>
      </c>
      <c r="C279" s="140" t="s">
        <v>396</v>
      </c>
      <c r="D279" s="140" t="s">
        <v>54</v>
      </c>
      <c r="E279" s="140" t="s">
        <v>54</v>
      </c>
      <c r="F279" s="127" t="s">
        <v>397</v>
      </c>
      <c r="G279" s="127"/>
      <c r="H279" s="127"/>
      <c r="I279" s="127"/>
      <c r="J279" s="96" t="s">
        <v>643</v>
      </c>
      <c r="K279" s="96"/>
      <c r="L279" s="97"/>
      <c r="M279" s="96"/>
      <c r="N279" s="96"/>
      <c r="O279" s="96"/>
      <c r="P279" s="96"/>
      <c r="Q279" s="96"/>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43"/>
      <c r="C280" s="149"/>
      <c r="D280" s="265"/>
      <c r="E280" s="265"/>
      <c r="F280" s="127" t="s">
        <v>398</v>
      </c>
      <c r="G280" s="127"/>
      <c r="H280" s="127"/>
      <c r="I280" s="127"/>
      <c r="J280" s="96" t="s">
        <v>643</v>
      </c>
      <c r="K280" s="96"/>
      <c r="L280" s="97"/>
      <c r="M280" s="96"/>
      <c r="N280" s="96"/>
      <c r="O280" s="96"/>
      <c r="P280" s="96"/>
      <c r="Q280" s="96"/>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43"/>
      <c r="C281" s="149"/>
      <c r="D281" s="265"/>
      <c r="E281" s="265"/>
      <c r="F281" s="127" t="s">
        <v>399</v>
      </c>
      <c r="G281" s="127"/>
      <c r="H281" s="127"/>
      <c r="I281" s="127"/>
      <c r="J281" s="96" t="s">
        <v>643</v>
      </c>
      <c r="K281" s="96"/>
      <c r="L281" s="97"/>
      <c r="M281" s="96"/>
      <c r="N281" s="96"/>
      <c r="O281" s="96"/>
      <c r="P281" s="96"/>
      <c r="Q281" s="96"/>
    </row>
    <row r="282" spans="1:17" ht="22.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43"/>
      <c r="C282" s="231"/>
      <c r="D282" s="146"/>
      <c r="E282" s="146"/>
      <c r="F282" s="127" t="s">
        <v>400</v>
      </c>
      <c r="G282" s="127"/>
      <c r="H282" s="127"/>
      <c r="I282" s="127"/>
      <c r="J282" s="96" t="s">
        <v>643</v>
      </c>
      <c r="K282" s="96"/>
      <c r="L282" s="97"/>
      <c r="M282" s="96"/>
      <c r="N282" s="96"/>
      <c r="O282" s="96"/>
      <c r="P282" s="96"/>
      <c r="Q282" s="96"/>
    </row>
    <row r="283" spans="1:17" ht="22.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43"/>
      <c r="C283" s="265" t="s">
        <v>401</v>
      </c>
      <c r="D283" s="265" t="s">
        <v>214</v>
      </c>
      <c r="E283" s="127" t="s">
        <v>232</v>
      </c>
      <c r="F283" s="127" t="s">
        <v>402</v>
      </c>
      <c r="G283" s="127"/>
      <c r="H283" s="127"/>
      <c r="I283" s="127"/>
      <c r="J283" s="96" t="s">
        <v>643</v>
      </c>
      <c r="K283" s="96"/>
      <c r="L283" s="97"/>
      <c r="M283" s="96"/>
      <c r="N283" s="96"/>
      <c r="O283" s="96"/>
      <c r="P283" s="96"/>
      <c r="Q283" s="96"/>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43"/>
      <c r="C284" s="149"/>
      <c r="D284" s="265"/>
      <c r="E284" s="146" t="s">
        <v>234</v>
      </c>
      <c r="F284" s="127" t="s">
        <v>403</v>
      </c>
      <c r="G284" s="127"/>
      <c r="H284" s="127"/>
      <c r="I284" s="127"/>
      <c r="J284" s="96" t="s">
        <v>643</v>
      </c>
      <c r="K284" s="96"/>
      <c r="L284" s="97"/>
      <c r="M284" s="96"/>
      <c r="N284" s="96"/>
      <c r="O284" s="96"/>
      <c r="P284" s="96"/>
      <c r="Q284" s="96"/>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43"/>
      <c r="C285" s="149"/>
      <c r="D285" s="265"/>
      <c r="E285" s="127" t="s">
        <v>236</v>
      </c>
      <c r="F285" s="127" t="s">
        <v>404</v>
      </c>
      <c r="G285" s="127"/>
      <c r="H285" s="127"/>
      <c r="I285" s="127"/>
      <c r="J285" s="96" t="s">
        <v>643</v>
      </c>
      <c r="K285" s="96"/>
      <c r="L285" s="97"/>
      <c r="M285" s="96"/>
      <c r="N285" s="96"/>
      <c r="O285" s="96"/>
      <c r="P285" s="96"/>
      <c r="Q285" s="96"/>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43"/>
      <c r="C286" s="149"/>
      <c r="D286" s="146"/>
      <c r="E286" s="146" t="s">
        <v>152</v>
      </c>
      <c r="F286" s="127" t="s">
        <v>405</v>
      </c>
      <c r="G286" s="127"/>
      <c r="H286" s="127"/>
      <c r="I286" s="127"/>
      <c r="J286" s="96" t="s">
        <v>643</v>
      </c>
      <c r="K286" s="96"/>
      <c r="L286" s="97"/>
      <c r="M286" s="96"/>
      <c r="N286" s="96"/>
      <c r="O286" s="96"/>
      <c r="P286" s="96"/>
      <c r="Q286" s="96"/>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43"/>
      <c r="C287" s="143"/>
      <c r="D287" s="265" t="s">
        <v>406</v>
      </c>
      <c r="E287" s="265" t="s">
        <v>407</v>
      </c>
      <c r="F287" s="127" t="s">
        <v>408</v>
      </c>
      <c r="G287" s="127"/>
      <c r="H287" s="127"/>
      <c r="I287" s="127"/>
      <c r="J287" s="96" t="s">
        <v>643</v>
      </c>
      <c r="K287" s="96"/>
      <c r="L287" s="97"/>
      <c r="M287" s="96"/>
      <c r="N287" s="96"/>
      <c r="O287" s="96"/>
      <c r="P287" s="96"/>
      <c r="Q287" s="96"/>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43"/>
      <c r="C288" s="143"/>
      <c r="D288" s="147"/>
      <c r="E288" s="265"/>
      <c r="F288" s="127" t="s">
        <v>409</v>
      </c>
      <c r="G288" s="127"/>
      <c r="H288" s="127"/>
      <c r="I288" s="127"/>
      <c r="J288" s="96" t="s">
        <v>643</v>
      </c>
      <c r="K288" s="96"/>
      <c r="L288" s="97"/>
      <c r="M288" s="96"/>
      <c r="N288" s="96"/>
      <c r="O288" s="96"/>
      <c r="P288" s="96"/>
      <c r="Q288" s="96"/>
    </row>
    <row r="289" spans="1:17" ht="33.7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43"/>
      <c r="C289" s="143"/>
      <c r="D289" s="147"/>
      <c r="E289" s="265"/>
      <c r="F289" s="127" t="s">
        <v>410</v>
      </c>
      <c r="G289" s="127"/>
      <c r="H289" s="127"/>
      <c r="I289" s="127"/>
      <c r="J289" s="96" t="s">
        <v>643</v>
      </c>
      <c r="K289" s="96"/>
      <c r="L289" s="97"/>
      <c r="M289" s="96"/>
      <c r="N289" s="96"/>
      <c r="O289" s="96"/>
      <c r="P289" s="96"/>
      <c r="Q289" s="96"/>
    </row>
    <row r="290" spans="1:17" ht="33.7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43"/>
      <c r="C290" s="143"/>
      <c r="D290" s="147"/>
      <c r="E290" s="265"/>
      <c r="F290" s="127" t="s">
        <v>252</v>
      </c>
      <c r="G290" s="127"/>
      <c r="H290" s="127"/>
      <c r="I290" s="127"/>
      <c r="J290" s="96" t="s">
        <v>643</v>
      </c>
      <c r="K290" s="96"/>
      <c r="L290" s="97"/>
      <c r="M290" s="96"/>
      <c r="N290" s="96"/>
      <c r="O290" s="96"/>
      <c r="P290" s="96"/>
      <c r="Q290" s="96"/>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43"/>
      <c r="C291" s="143"/>
      <c r="D291" s="147"/>
      <c r="E291" s="265"/>
      <c r="F291" s="127" t="s">
        <v>253</v>
      </c>
      <c r="G291" s="127"/>
      <c r="H291" s="127"/>
      <c r="I291" s="127"/>
      <c r="J291" s="96" t="s">
        <v>643</v>
      </c>
      <c r="K291" s="96"/>
      <c r="L291" s="97"/>
      <c r="M291" s="96"/>
      <c r="N291" s="96"/>
      <c r="O291" s="96"/>
      <c r="P291" s="96"/>
      <c r="Q291" s="96"/>
    </row>
    <row r="292" spans="1:17" ht="33.7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43"/>
      <c r="C292" s="143"/>
      <c r="D292" s="147"/>
      <c r="E292" s="265"/>
      <c r="F292" s="127" t="s">
        <v>254</v>
      </c>
      <c r="G292" s="127"/>
      <c r="H292" s="127"/>
      <c r="I292" s="127"/>
      <c r="J292" s="96" t="s">
        <v>643</v>
      </c>
      <c r="K292" s="96"/>
      <c r="L292" s="97"/>
      <c r="M292" s="96"/>
      <c r="N292" s="96"/>
      <c r="O292" s="96"/>
      <c r="P292" s="96"/>
      <c r="Q292" s="96"/>
    </row>
    <row r="293" spans="1:17" ht="33.7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43"/>
      <c r="C293" s="143"/>
      <c r="D293" s="147"/>
      <c r="E293" s="265"/>
      <c r="F293" s="127" t="s">
        <v>411</v>
      </c>
      <c r="G293" s="127"/>
      <c r="H293" s="127"/>
      <c r="I293" s="127"/>
      <c r="J293" s="96" t="s">
        <v>643</v>
      </c>
      <c r="K293" s="96"/>
      <c r="L293" s="97"/>
      <c r="M293" s="96"/>
      <c r="N293" s="96"/>
      <c r="O293" s="96"/>
      <c r="P293" s="96"/>
      <c r="Q293" s="96"/>
    </row>
    <row r="294" spans="1:17" ht="22.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43"/>
      <c r="C294" s="143"/>
      <c r="D294" s="147"/>
      <c r="E294" s="265"/>
      <c r="F294" s="127" t="s">
        <v>412</v>
      </c>
      <c r="G294" s="127"/>
      <c r="H294" s="127"/>
      <c r="I294" s="127"/>
      <c r="J294" s="96" t="s">
        <v>643</v>
      </c>
      <c r="K294" s="96"/>
      <c r="L294" s="97"/>
      <c r="M294" s="96"/>
      <c r="N294" s="96"/>
      <c r="O294" s="96"/>
      <c r="P294" s="96"/>
      <c r="Q294" s="96"/>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232"/>
      <c r="C295" s="232"/>
      <c r="D295" s="145"/>
      <c r="E295" s="146"/>
      <c r="F295" s="127" t="s">
        <v>413</v>
      </c>
      <c r="G295" s="127"/>
      <c r="H295" s="127"/>
      <c r="I295" s="127"/>
      <c r="J295" s="96" t="s">
        <v>643</v>
      </c>
      <c r="K295" s="96"/>
      <c r="L295" s="97"/>
      <c r="M295" s="96"/>
      <c r="N295" s="96"/>
      <c r="O295" s="96"/>
      <c r="P295" s="96"/>
      <c r="Q295" s="96"/>
    </row>
  </sheetData>
  <autoFilter ref="A10:Q295" xr:uid="{5BBE5B88-9450-4DBF-A5BD-089AA7F66955}"/>
  <mergeCells count="2">
    <mergeCell ref="B112:B113"/>
    <mergeCell ref="B132:B133"/>
  </mergeCells>
  <phoneticPr fontId="2"/>
  <dataValidations count="1">
    <dataValidation type="list" allowBlank="1" showInputMessage="1" showErrorMessage="1" sqref="O11:O295" xr:uid="{01BB2D89-F6C0-4EA4-AB8E-8AA00BB4182E}">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1" manualBreakCount="1">
    <brk id="43" max="16383"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CEBBF-EB20-4C68-90EE-9B44F1042A82}">
  <sheetPr>
    <pageSetUpPr fitToPage="1"/>
  </sheetPr>
  <dimension ref="A1:Q296"/>
  <sheetViews>
    <sheetView showGridLines="0" view="pageBreakPreview" zoomScaleNormal="80" zoomScaleSheetLayoutView="100" workbookViewId="0">
      <pane ySplit="10" topLeftCell="A11" activePane="bottomLeft" state="frozen"/>
      <selection pane="bottomLeft"/>
    </sheetView>
  </sheetViews>
  <sheetFormatPr defaultColWidth="15.875" defaultRowHeight="11.25" outlineLevelCol="1"/>
  <cols>
    <col min="1" max="3" width="8.625" style="24" customWidth="1"/>
    <col min="4" max="4" width="8.625" style="25" customWidth="1"/>
    <col min="5" max="5" width="8.625" style="24" customWidth="1"/>
    <col min="6" max="6" width="40.625" style="24" customWidth="1"/>
    <col min="7" max="7" width="40.625" style="24" hidden="1" customWidth="1" outlineLevel="1"/>
    <col min="8" max="8" width="15.625" style="24" customWidth="1" collapsed="1"/>
    <col min="9" max="9" width="15.625" style="24" customWidth="1"/>
    <col min="10" max="10" width="25.625" style="35" customWidth="1"/>
    <col min="11" max="11" width="25.625" style="33" customWidth="1"/>
    <col min="12" max="12" width="12.625" style="25" customWidth="1"/>
    <col min="13" max="17" width="8.625" style="24" customWidth="1"/>
    <col min="18" max="16384" width="15.875" style="24"/>
  </cols>
  <sheetData>
    <row r="1" spans="1:17">
      <c r="A1" s="24" t="s">
        <v>564</v>
      </c>
    </row>
    <row r="2" spans="1:17">
      <c r="A2" s="24" t="s">
        <v>595</v>
      </c>
    </row>
    <row r="4" spans="1:17">
      <c r="A4" s="24" t="s">
        <v>565</v>
      </c>
    </row>
    <row r="5" spans="1:17">
      <c r="A5" s="24" t="s">
        <v>631</v>
      </c>
    </row>
    <row r="6" spans="1:17">
      <c r="A6" s="24" t="s">
        <v>632</v>
      </c>
      <c r="J6" s="24"/>
      <c r="K6" s="24"/>
      <c r="N6" s="24" t="s">
        <v>12</v>
      </c>
      <c r="P6" s="24" t="s">
        <v>0</v>
      </c>
    </row>
    <row r="7" spans="1:17">
      <c r="A7" s="24" t="s">
        <v>913</v>
      </c>
      <c r="J7" s="24"/>
      <c r="K7" s="24"/>
      <c r="N7" s="24" t="s">
        <v>13</v>
      </c>
      <c r="P7" s="24" t="s">
        <v>1</v>
      </c>
    </row>
    <row r="8" spans="1:17" ht="12" thickBot="1">
      <c r="A8" s="26"/>
      <c r="B8" s="26"/>
      <c r="C8" s="26"/>
      <c r="D8" s="27"/>
      <c r="E8" s="26"/>
      <c r="F8" s="26"/>
      <c r="G8" s="26"/>
      <c r="H8" s="26"/>
      <c r="I8" s="26"/>
      <c r="J8" s="34"/>
      <c r="K8" s="36"/>
      <c r="L8" s="27"/>
      <c r="M8" s="26"/>
      <c r="N8" s="26"/>
      <c r="O8" s="26"/>
      <c r="P8" s="26"/>
      <c r="Q8" s="26"/>
    </row>
    <row r="9" spans="1:17" ht="12" thickTop="1"/>
    <row r="10" spans="1:17" s="30" customFormat="1">
      <c r="A10" s="31" t="s">
        <v>32</v>
      </c>
      <c r="B10" s="28" t="s">
        <v>38</v>
      </c>
      <c r="C10" s="28" t="s">
        <v>39</v>
      </c>
      <c r="D10" s="28" t="s">
        <v>40</v>
      </c>
      <c r="E10" s="28" t="s">
        <v>41</v>
      </c>
      <c r="F10" s="37" t="s">
        <v>42</v>
      </c>
      <c r="G10" s="37" t="s">
        <v>510</v>
      </c>
      <c r="H10" s="37" t="s">
        <v>43</v>
      </c>
      <c r="I10" s="37" t="s">
        <v>44</v>
      </c>
      <c r="J10" s="38" t="s">
        <v>2</v>
      </c>
      <c r="K10" s="39" t="s">
        <v>3</v>
      </c>
      <c r="L10" s="40" t="s">
        <v>630</v>
      </c>
      <c r="M10" s="41" t="s">
        <v>4</v>
      </c>
      <c r="N10" s="41" t="s">
        <v>11</v>
      </c>
      <c r="O10" s="41" t="s">
        <v>5</v>
      </c>
      <c r="P10" s="41" t="s">
        <v>6</v>
      </c>
      <c r="Q10" s="42"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39" t="s">
        <v>46</v>
      </c>
      <c r="C11" s="140" t="s">
        <v>47</v>
      </c>
      <c r="D11" s="141" t="s">
        <v>48</v>
      </c>
      <c r="E11" s="140" t="s">
        <v>49</v>
      </c>
      <c r="F11" s="140" t="s">
        <v>50</v>
      </c>
      <c r="G11" s="45" t="s">
        <v>561</v>
      </c>
      <c r="H11" s="45"/>
      <c r="I11" s="45"/>
      <c r="J11" s="45"/>
      <c r="K11" s="45"/>
      <c r="L11" s="46"/>
      <c r="M11" s="48"/>
      <c r="N11" s="47"/>
      <c r="O11" s="47"/>
      <c r="P11" s="48"/>
      <c r="Q11" s="49"/>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42"/>
      <c r="C12" s="143"/>
      <c r="D12" s="141"/>
      <c r="E12" s="140" t="s">
        <v>51</v>
      </c>
      <c r="F12" s="140" t="s">
        <v>52</v>
      </c>
      <c r="G12" s="45" t="s">
        <v>561</v>
      </c>
      <c r="H12" s="45"/>
      <c r="I12" s="45"/>
      <c r="J12" s="45"/>
      <c r="K12" s="45"/>
      <c r="L12" s="46"/>
      <c r="M12" s="48"/>
      <c r="N12" s="47"/>
      <c r="O12" s="47"/>
      <c r="P12" s="48"/>
      <c r="Q12" s="49"/>
    </row>
    <row r="13" spans="1:17" s="30" customFormat="1"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42"/>
      <c r="C13" s="143"/>
      <c r="D13" s="140" t="s">
        <v>53</v>
      </c>
      <c r="E13" s="140" t="s">
        <v>54</v>
      </c>
      <c r="F13" s="140" t="s">
        <v>55</v>
      </c>
      <c r="G13" s="45" t="s">
        <v>561</v>
      </c>
      <c r="H13" s="45"/>
      <c r="I13" s="45"/>
      <c r="J13" s="45"/>
      <c r="K13" s="45"/>
      <c r="L13" s="46"/>
      <c r="M13" s="49"/>
      <c r="N13" s="47"/>
      <c r="O13" s="49"/>
      <c r="P13" s="47"/>
      <c r="Q13" s="48"/>
    </row>
    <row r="14" spans="1:17" s="30" customFormat="1"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42"/>
      <c r="C14" s="143"/>
      <c r="D14" s="141"/>
      <c r="E14" s="141"/>
      <c r="F14" s="140" t="s">
        <v>56</v>
      </c>
      <c r="G14" s="45" t="s">
        <v>561</v>
      </c>
      <c r="H14" s="45"/>
      <c r="I14" s="45"/>
      <c r="J14" s="45"/>
      <c r="K14" s="45"/>
      <c r="L14" s="46"/>
      <c r="M14" s="49"/>
      <c r="N14" s="47"/>
      <c r="O14" s="49"/>
      <c r="P14" s="47"/>
      <c r="Q14" s="48"/>
    </row>
    <row r="15" spans="1:17" s="30" customFormat="1"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42"/>
      <c r="C15" s="143"/>
      <c r="D15" s="141"/>
      <c r="E15" s="141"/>
      <c r="F15" s="127" t="s">
        <v>57</v>
      </c>
      <c r="G15" s="45" t="s">
        <v>561</v>
      </c>
      <c r="H15" s="45"/>
      <c r="I15" s="144"/>
      <c r="J15" s="45"/>
      <c r="K15" s="45"/>
      <c r="L15" s="46"/>
      <c r="M15" s="48"/>
      <c r="N15" s="48"/>
      <c r="O15" s="49"/>
      <c r="P15" s="47"/>
      <c r="Q15" s="48"/>
    </row>
    <row r="16" spans="1:17" s="30" customFormat="1"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42"/>
      <c r="C16" s="143"/>
      <c r="D16" s="141"/>
      <c r="E16" s="141"/>
      <c r="F16" s="127" t="s">
        <v>58</v>
      </c>
      <c r="G16" s="45" t="s">
        <v>561</v>
      </c>
      <c r="H16" s="45"/>
      <c r="I16" s="144"/>
      <c r="J16" s="45"/>
      <c r="K16" s="45"/>
      <c r="L16" s="46"/>
      <c r="M16" s="48"/>
      <c r="N16" s="49"/>
      <c r="O16" s="47"/>
      <c r="P16" s="48"/>
      <c r="Q16" s="49"/>
    </row>
    <row r="17" spans="1:17" s="30" customFormat="1"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42"/>
      <c r="C17" s="143"/>
      <c r="D17" s="145"/>
      <c r="E17" s="146"/>
      <c r="F17" s="127" t="s">
        <v>59</v>
      </c>
      <c r="G17" s="45" t="s">
        <v>561</v>
      </c>
      <c r="H17" s="45"/>
      <c r="I17" s="144"/>
      <c r="J17" s="45"/>
      <c r="K17" s="50"/>
      <c r="L17" s="46"/>
      <c r="M17" s="48"/>
      <c r="N17" s="49"/>
      <c r="O17" s="47"/>
      <c r="P17" s="48"/>
      <c r="Q17" s="49"/>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42"/>
      <c r="C18" s="143"/>
      <c r="D18" s="147" t="s">
        <v>60</v>
      </c>
      <c r="E18" s="141" t="s">
        <v>61</v>
      </c>
      <c r="F18" s="140" t="s">
        <v>62</v>
      </c>
      <c r="G18" s="45" t="s">
        <v>561</v>
      </c>
      <c r="H18" s="45"/>
      <c r="I18" s="45"/>
      <c r="J18" s="45"/>
      <c r="K18" s="45"/>
      <c r="L18" s="46"/>
      <c r="M18" s="48"/>
      <c r="N18" s="49"/>
      <c r="O18" s="47"/>
      <c r="P18" s="48"/>
      <c r="Q18" s="49"/>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42"/>
      <c r="C19" s="143"/>
      <c r="D19" s="147"/>
      <c r="E19" s="141"/>
      <c r="F19" s="140" t="s">
        <v>63</v>
      </c>
      <c r="G19" s="45" t="s">
        <v>561</v>
      </c>
      <c r="H19" s="45"/>
      <c r="I19" s="45"/>
      <c r="J19" s="45"/>
      <c r="K19" s="45"/>
      <c r="L19" s="46"/>
      <c r="M19" s="48"/>
      <c r="N19" s="49"/>
      <c r="O19" s="47"/>
      <c r="P19" s="48"/>
      <c r="Q19" s="49"/>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42"/>
      <c r="C20" s="143"/>
      <c r="D20" s="147"/>
      <c r="E20" s="146"/>
      <c r="F20" s="127" t="s">
        <v>64</v>
      </c>
      <c r="G20" s="45" t="s">
        <v>561</v>
      </c>
      <c r="H20" s="45"/>
      <c r="I20" s="144"/>
      <c r="J20" s="45"/>
      <c r="K20" s="45"/>
      <c r="L20" s="46"/>
      <c r="M20" s="48"/>
      <c r="N20" s="49"/>
      <c r="O20" s="47"/>
      <c r="P20" s="48"/>
      <c r="Q20" s="49"/>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42"/>
      <c r="C21" s="143"/>
      <c r="D21" s="147"/>
      <c r="E21" s="141" t="s">
        <v>65</v>
      </c>
      <c r="F21" s="140" t="s">
        <v>66</v>
      </c>
      <c r="G21" s="45" t="s">
        <v>561</v>
      </c>
      <c r="H21" s="45"/>
      <c r="I21" s="45"/>
      <c r="J21" s="45"/>
      <c r="K21" s="45"/>
      <c r="L21" s="46"/>
      <c r="M21" s="49"/>
      <c r="N21" s="47"/>
      <c r="O21" s="49"/>
      <c r="P21" s="48"/>
      <c r="Q21" s="49"/>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42"/>
      <c r="C22" s="143"/>
      <c r="D22" s="147"/>
      <c r="E22" s="141"/>
      <c r="F22" s="140" t="s">
        <v>67</v>
      </c>
      <c r="G22" s="45" t="s">
        <v>561</v>
      </c>
      <c r="H22" s="45"/>
      <c r="I22" s="45"/>
      <c r="J22" s="45"/>
      <c r="K22" s="45"/>
      <c r="L22" s="46"/>
      <c r="M22" s="49"/>
      <c r="N22" s="47"/>
      <c r="O22" s="49"/>
      <c r="P22" s="48"/>
      <c r="Q22" s="49"/>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42"/>
      <c r="C23" s="143"/>
      <c r="D23" s="147"/>
      <c r="E23" s="141"/>
      <c r="F23" s="140" t="s">
        <v>68</v>
      </c>
      <c r="G23" s="45" t="s">
        <v>561</v>
      </c>
      <c r="H23" s="45"/>
      <c r="I23" s="45"/>
      <c r="J23" s="45"/>
      <c r="K23" s="45"/>
      <c r="L23" s="46"/>
      <c r="M23" s="49"/>
      <c r="N23" s="47"/>
      <c r="O23" s="49"/>
      <c r="P23" s="48"/>
      <c r="Q23" s="49"/>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42"/>
      <c r="C24" s="143"/>
      <c r="D24" s="145"/>
      <c r="E24" s="146"/>
      <c r="F24" s="140" t="s">
        <v>69</v>
      </c>
      <c r="G24" s="45" t="s">
        <v>561</v>
      </c>
      <c r="H24" s="45"/>
      <c r="I24" s="45"/>
      <c r="J24" s="45"/>
      <c r="K24" s="45"/>
      <c r="L24" s="46"/>
      <c r="M24" s="49"/>
      <c r="N24" s="47"/>
      <c r="O24" s="49"/>
      <c r="P24" s="48"/>
      <c r="Q24" s="49"/>
    </row>
    <row r="25" spans="1:17" s="30" customFormat="1"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42"/>
      <c r="C25" s="143"/>
      <c r="D25" s="147" t="s">
        <v>70</v>
      </c>
      <c r="E25" s="147" t="s">
        <v>54</v>
      </c>
      <c r="F25" s="140" t="s">
        <v>71</v>
      </c>
      <c r="G25" s="45" t="s">
        <v>561</v>
      </c>
      <c r="H25" s="45"/>
      <c r="I25" s="45"/>
      <c r="J25" s="45"/>
      <c r="K25" s="45"/>
      <c r="L25" s="46"/>
      <c r="M25" s="49"/>
      <c r="N25" s="47"/>
      <c r="O25" s="49"/>
      <c r="P25" s="47"/>
      <c r="Q25" s="48"/>
    </row>
    <row r="26" spans="1:17" s="30" customFormat="1">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42"/>
      <c r="C26" s="143"/>
      <c r="D26" s="147"/>
      <c r="E26" s="141"/>
      <c r="F26" s="140" t="s">
        <v>72</v>
      </c>
      <c r="G26" s="45" t="s">
        <v>561</v>
      </c>
      <c r="H26" s="45"/>
      <c r="I26" s="45"/>
      <c r="J26" s="45"/>
      <c r="K26" s="45"/>
      <c r="L26" s="46"/>
      <c r="M26" s="48"/>
      <c r="N26" s="48"/>
      <c r="O26" s="49"/>
      <c r="P26" s="47"/>
      <c r="Q26" s="48"/>
    </row>
    <row r="27" spans="1:17" s="30" customFormat="1"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42"/>
      <c r="C27" s="143"/>
      <c r="D27" s="148" t="s">
        <v>73</v>
      </c>
      <c r="E27" s="140" t="s">
        <v>74</v>
      </c>
      <c r="F27" s="140" t="s">
        <v>75</v>
      </c>
      <c r="G27" s="45" t="s">
        <v>561</v>
      </c>
      <c r="H27" s="45"/>
      <c r="I27" s="45"/>
      <c r="J27" s="45"/>
      <c r="K27" s="45"/>
      <c r="L27" s="46"/>
      <c r="M27" s="49"/>
      <c r="N27" s="47"/>
      <c r="O27" s="49"/>
      <c r="P27" s="47"/>
      <c r="Q27" s="48"/>
    </row>
    <row r="28" spans="1:17" s="30" customFormat="1"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42"/>
      <c r="C28" s="143"/>
      <c r="D28" s="147"/>
      <c r="E28" s="141"/>
      <c r="F28" s="140" t="s">
        <v>76</v>
      </c>
      <c r="G28" s="45" t="s">
        <v>561</v>
      </c>
      <c r="H28" s="45"/>
      <c r="I28" s="45"/>
      <c r="J28" s="45"/>
      <c r="K28" s="45"/>
      <c r="L28" s="46"/>
      <c r="M28" s="48"/>
      <c r="N28" s="48"/>
      <c r="O28" s="49"/>
      <c r="P28" s="47"/>
      <c r="Q28" s="48"/>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42"/>
      <c r="C29" s="143"/>
      <c r="D29" s="141"/>
      <c r="E29" s="140" t="s">
        <v>77</v>
      </c>
      <c r="F29" s="140" t="s">
        <v>78</v>
      </c>
      <c r="G29" s="45" t="s">
        <v>561</v>
      </c>
      <c r="H29" s="45"/>
      <c r="I29" s="45"/>
      <c r="J29" s="45"/>
      <c r="K29" s="45"/>
      <c r="L29" s="46"/>
      <c r="M29" s="49"/>
      <c r="N29" s="47"/>
      <c r="O29" s="49"/>
      <c r="P29" s="49"/>
      <c r="Q29" s="49"/>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42"/>
      <c r="C30" s="143"/>
      <c r="D30" s="147"/>
      <c r="E30" s="141"/>
      <c r="F30" s="140" t="s">
        <v>79</v>
      </c>
      <c r="G30" s="45" t="s">
        <v>561</v>
      </c>
      <c r="H30" s="45"/>
      <c r="I30" s="45"/>
      <c r="J30" s="45"/>
      <c r="K30" s="45"/>
      <c r="L30" s="46"/>
      <c r="M30" s="49"/>
      <c r="N30" s="49"/>
      <c r="O30" s="49"/>
      <c r="P30" s="49"/>
      <c r="Q30" s="49"/>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42"/>
      <c r="C31" s="143"/>
      <c r="D31" s="147"/>
      <c r="E31" s="141"/>
      <c r="F31" s="140" t="s">
        <v>80</v>
      </c>
      <c r="G31" s="45" t="s">
        <v>561</v>
      </c>
      <c r="H31" s="45"/>
      <c r="I31" s="45"/>
      <c r="J31" s="45"/>
      <c r="K31" s="45"/>
      <c r="L31" s="46"/>
      <c r="M31" s="49"/>
      <c r="N31" s="47"/>
      <c r="O31" s="49"/>
      <c r="P31" s="49"/>
      <c r="Q31" s="49"/>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42"/>
      <c r="C32" s="143"/>
      <c r="D32" s="147"/>
      <c r="E32" s="141"/>
      <c r="F32" s="140" t="s">
        <v>81</v>
      </c>
      <c r="G32" s="45" t="s">
        <v>561</v>
      </c>
      <c r="H32" s="45"/>
      <c r="I32" s="45"/>
      <c r="J32" s="45"/>
      <c r="K32" s="45"/>
      <c r="L32" s="46"/>
      <c r="M32" s="49"/>
      <c r="N32" s="49"/>
      <c r="O32" s="49"/>
      <c r="P32" s="49"/>
      <c r="Q32" s="49"/>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42"/>
      <c r="C33" s="143"/>
      <c r="D33" s="147"/>
      <c r="E33" s="140" t="s">
        <v>82</v>
      </c>
      <c r="F33" s="127" t="s">
        <v>83</v>
      </c>
      <c r="G33" s="45" t="s">
        <v>561</v>
      </c>
      <c r="H33" s="45"/>
      <c r="I33" s="144"/>
      <c r="J33" s="45"/>
      <c r="K33" s="45"/>
      <c r="L33" s="46"/>
      <c r="M33" s="49"/>
      <c r="N33" s="49"/>
      <c r="O33" s="49"/>
      <c r="P33" s="49"/>
      <c r="Q33" s="49"/>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42"/>
      <c r="C34" s="143"/>
      <c r="D34" s="147"/>
      <c r="E34" s="146"/>
      <c r="F34" s="127" t="s">
        <v>84</v>
      </c>
      <c r="G34" s="45" t="s">
        <v>561</v>
      </c>
      <c r="H34" s="45"/>
      <c r="I34" s="144"/>
      <c r="J34" s="45"/>
      <c r="K34" s="45"/>
      <c r="L34" s="46"/>
      <c r="M34" s="49"/>
      <c r="N34" s="49"/>
      <c r="O34" s="49"/>
      <c r="P34" s="49"/>
      <c r="Q34" s="49"/>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42"/>
      <c r="C35" s="149"/>
      <c r="D35" s="141"/>
      <c r="E35" s="140" t="s">
        <v>85</v>
      </c>
      <c r="F35" s="140" t="s">
        <v>597</v>
      </c>
      <c r="G35" s="45" t="s">
        <v>598</v>
      </c>
      <c r="H35" s="144"/>
      <c r="I35" s="144"/>
      <c r="J35" s="144"/>
      <c r="K35" s="45"/>
      <c r="L35" s="46"/>
      <c r="M35" s="49"/>
      <c r="N35" s="47"/>
      <c r="O35" s="49"/>
      <c r="P35" s="49"/>
      <c r="Q35" s="49"/>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42"/>
      <c r="C36" s="150" t="s">
        <v>87</v>
      </c>
      <c r="D36" s="150" t="s">
        <v>495</v>
      </c>
      <c r="E36" s="131" t="s">
        <v>495</v>
      </c>
      <c r="F36" s="127" t="s">
        <v>88</v>
      </c>
      <c r="G36" s="127"/>
      <c r="H36" s="127"/>
      <c r="I36" s="127"/>
      <c r="J36" s="128" t="s">
        <v>638</v>
      </c>
      <c r="K36" s="228"/>
      <c r="L36" s="97"/>
      <c r="M36" s="96"/>
      <c r="N36" s="96"/>
      <c r="O36" s="96"/>
      <c r="P36" s="96"/>
      <c r="Q36" s="96"/>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42"/>
      <c r="C37" s="142"/>
      <c r="D37" s="151"/>
      <c r="E37" s="193"/>
      <c r="F37" s="127" t="s">
        <v>89</v>
      </c>
      <c r="G37" s="127"/>
      <c r="H37" s="127"/>
      <c r="I37" s="127"/>
      <c r="J37" s="128" t="s">
        <v>638</v>
      </c>
      <c r="K37" s="228"/>
      <c r="L37" s="97"/>
      <c r="M37" s="96"/>
      <c r="N37" s="96"/>
      <c r="O37" s="96"/>
      <c r="P37" s="96"/>
      <c r="Q37" s="96"/>
    </row>
    <row r="38" spans="1:17" ht="4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42"/>
      <c r="C38" s="142"/>
      <c r="D38" s="151"/>
      <c r="E38" s="193"/>
      <c r="F38" s="131" t="s">
        <v>90</v>
      </c>
      <c r="G38" s="53"/>
      <c r="H38" s="122" t="s">
        <v>633</v>
      </c>
      <c r="I38" s="122" t="s">
        <v>634</v>
      </c>
      <c r="J38" s="53" t="s">
        <v>636</v>
      </c>
      <c r="K38" s="52" t="s">
        <v>635</v>
      </c>
      <c r="L38" s="78" t="s">
        <v>1040</v>
      </c>
      <c r="M38" s="116" t="s">
        <v>37</v>
      </c>
      <c r="N38" s="54">
        <v>44852</v>
      </c>
      <c r="O38" s="116" t="s">
        <v>1041</v>
      </c>
      <c r="P38" s="116"/>
      <c r="Q38" s="116"/>
    </row>
    <row r="39" spans="1:17" ht="4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11-3-2</v>
      </c>
      <c r="B39" s="142"/>
      <c r="C39" s="142"/>
      <c r="D39" s="151"/>
      <c r="E39" s="193"/>
      <c r="F39" s="153"/>
      <c r="G39" s="53"/>
      <c r="H39" s="122" t="s">
        <v>633</v>
      </c>
      <c r="I39" s="122" t="s">
        <v>634</v>
      </c>
      <c r="J39" s="53" t="s">
        <v>644</v>
      </c>
      <c r="K39" s="52" t="s">
        <v>635</v>
      </c>
      <c r="L39" s="78" t="s">
        <v>1042</v>
      </c>
      <c r="M39" s="116" t="s">
        <v>37</v>
      </c>
      <c r="N39" s="54">
        <v>44852</v>
      </c>
      <c r="O39" s="116" t="s">
        <v>1041</v>
      </c>
      <c r="P39" s="116"/>
      <c r="Q39" s="116"/>
    </row>
    <row r="40" spans="1:17" s="30" customFormat="1" ht="4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11-4-1</v>
      </c>
      <c r="B40" s="142"/>
      <c r="C40" s="142"/>
      <c r="D40" s="152"/>
      <c r="E40" s="153"/>
      <c r="F40" s="154" t="s">
        <v>91</v>
      </c>
      <c r="G40" s="53"/>
      <c r="H40" s="122" t="s">
        <v>633</v>
      </c>
      <c r="I40" s="122" t="s">
        <v>634</v>
      </c>
      <c r="J40" s="53" t="s">
        <v>645</v>
      </c>
      <c r="K40" s="52" t="s">
        <v>637</v>
      </c>
      <c r="L40" s="78" t="s">
        <v>1043</v>
      </c>
      <c r="M40" s="116" t="s">
        <v>37</v>
      </c>
      <c r="N40" s="54">
        <v>44852</v>
      </c>
      <c r="O40" s="116" t="s">
        <v>1041</v>
      </c>
      <c r="P40" s="132"/>
      <c r="Q40" s="116"/>
    </row>
    <row r="41" spans="1:17" s="30" customFormat="1" ht="33.75">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12-1-1</v>
      </c>
      <c r="B41" s="142"/>
      <c r="C41" s="142"/>
      <c r="D41" s="147" t="s">
        <v>92</v>
      </c>
      <c r="E41" s="141" t="s">
        <v>54</v>
      </c>
      <c r="F41" s="127" t="s">
        <v>93</v>
      </c>
      <c r="G41" s="127"/>
      <c r="H41" s="127"/>
      <c r="I41" s="127"/>
      <c r="J41" s="128" t="s">
        <v>639</v>
      </c>
      <c r="K41" s="80"/>
      <c r="L41" s="97"/>
      <c r="M41" s="229"/>
      <c r="N41" s="96"/>
      <c r="O41" s="230"/>
      <c r="P41" s="229"/>
      <c r="Q41" s="96"/>
    </row>
    <row r="42" spans="1:17" s="30" customFormat="1" ht="22.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12-2-1</v>
      </c>
      <c r="B42" s="155"/>
      <c r="C42" s="155"/>
      <c r="D42" s="145"/>
      <c r="E42" s="146"/>
      <c r="F42" s="127" t="s">
        <v>94</v>
      </c>
      <c r="G42" s="127"/>
      <c r="H42" s="127"/>
      <c r="I42" s="127"/>
      <c r="J42" s="128" t="s">
        <v>640</v>
      </c>
      <c r="K42" s="80"/>
      <c r="L42" s="97"/>
      <c r="M42" s="229"/>
      <c r="N42" s="96"/>
      <c r="O42" s="230"/>
      <c r="P42" s="229"/>
      <c r="Q42" s="96"/>
    </row>
    <row r="43" spans="1:17" s="30" customFormat="1" ht="22.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13-1-1</v>
      </c>
      <c r="B43" s="156" t="s">
        <v>95</v>
      </c>
      <c r="C43" s="157" t="s">
        <v>96</v>
      </c>
      <c r="D43" s="157" t="s">
        <v>97</v>
      </c>
      <c r="E43" s="157" t="s">
        <v>98</v>
      </c>
      <c r="F43" s="144" t="s">
        <v>99</v>
      </c>
      <c r="G43" s="65" t="s">
        <v>493</v>
      </c>
      <c r="H43" s="144"/>
      <c r="I43" s="144"/>
      <c r="J43" s="55"/>
      <c r="K43" s="50"/>
      <c r="L43" s="46"/>
      <c r="M43" s="49"/>
      <c r="N43" s="47"/>
      <c r="O43" s="49"/>
      <c r="P43" s="48"/>
      <c r="Q43" s="49"/>
    </row>
    <row r="44" spans="1:17" s="30" customFormat="1" ht="22.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13-2-1</v>
      </c>
      <c r="B44" s="158"/>
      <c r="C44" s="159"/>
      <c r="D44" s="160"/>
      <c r="E44" s="160"/>
      <c r="F44" s="161" t="s">
        <v>100</v>
      </c>
      <c r="G44" s="65" t="s">
        <v>493</v>
      </c>
      <c r="H44" s="144"/>
      <c r="I44" s="144"/>
      <c r="J44" s="55"/>
      <c r="K44" s="50"/>
      <c r="L44" s="46"/>
      <c r="M44" s="49"/>
      <c r="N44" s="47"/>
      <c r="O44" s="49"/>
      <c r="P44" s="48"/>
      <c r="Q44" s="49"/>
    </row>
    <row r="45" spans="1:17" s="30" customFormat="1" ht="33.7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13-3-1</v>
      </c>
      <c r="B45" s="158"/>
      <c r="C45" s="159"/>
      <c r="D45" s="160"/>
      <c r="E45" s="162"/>
      <c r="F45" s="144" t="s">
        <v>101</v>
      </c>
      <c r="G45" s="65" t="s">
        <v>493</v>
      </c>
      <c r="H45" s="144"/>
      <c r="I45" s="144"/>
      <c r="J45" s="55"/>
      <c r="K45" s="50"/>
      <c r="L45" s="46"/>
      <c r="M45" s="48"/>
      <c r="N45" s="49"/>
      <c r="O45" s="47"/>
      <c r="P45" s="48"/>
      <c r="Q45" s="49"/>
    </row>
    <row r="46" spans="1:17" s="30" customFormat="1" ht="22.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14-1-1</v>
      </c>
      <c r="B46" s="158"/>
      <c r="C46" s="159"/>
      <c r="D46" s="160"/>
      <c r="E46" s="160" t="s">
        <v>102</v>
      </c>
      <c r="F46" s="144" t="s">
        <v>103</v>
      </c>
      <c r="G46" s="65" t="s">
        <v>493</v>
      </c>
      <c r="H46" s="144"/>
      <c r="I46" s="144"/>
      <c r="J46" s="55"/>
      <c r="K46" s="50"/>
      <c r="L46" s="46"/>
      <c r="M46" s="48"/>
      <c r="N46" s="49"/>
      <c r="O46" s="47"/>
      <c r="P46" s="48"/>
      <c r="Q46" s="49"/>
    </row>
    <row r="47" spans="1:17" s="30" customFormat="1" ht="22.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14-2-1</v>
      </c>
      <c r="B47" s="158"/>
      <c r="C47" s="159"/>
      <c r="D47" s="160"/>
      <c r="E47" s="160"/>
      <c r="F47" s="144" t="s">
        <v>104</v>
      </c>
      <c r="G47" s="65" t="s">
        <v>493</v>
      </c>
      <c r="H47" s="144"/>
      <c r="I47" s="144"/>
      <c r="J47" s="55"/>
      <c r="K47" s="50"/>
      <c r="L47" s="46"/>
      <c r="M47" s="48"/>
      <c r="N47" s="49"/>
      <c r="O47" s="47"/>
      <c r="P47" s="48"/>
      <c r="Q47" s="49"/>
    </row>
    <row r="48" spans="1:17" s="30" customFormat="1" ht="33.7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14-3-1</v>
      </c>
      <c r="B48" s="158"/>
      <c r="C48" s="159"/>
      <c r="D48" s="160"/>
      <c r="E48" s="162"/>
      <c r="F48" s="144" t="s">
        <v>101</v>
      </c>
      <c r="G48" s="65" t="s">
        <v>493</v>
      </c>
      <c r="H48" s="144"/>
      <c r="I48" s="144"/>
      <c r="J48" s="55"/>
      <c r="K48" s="50"/>
      <c r="L48" s="46"/>
      <c r="M48" s="48"/>
      <c r="N48" s="49"/>
      <c r="O48" s="47"/>
      <c r="P48" s="48"/>
      <c r="Q48" s="49"/>
    </row>
    <row r="49" spans="1:17" s="30" customFormat="1"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15-1-1</v>
      </c>
      <c r="B49" s="158"/>
      <c r="C49" s="159"/>
      <c r="D49" s="160"/>
      <c r="E49" s="160" t="s">
        <v>105</v>
      </c>
      <c r="F49" s="161" t="s">
        <v>106</v>
      </c>
      <c r="G49" s="65" t="s">
        <v>493</v>
      </c>
      <c r="H49" s="144"/>
      <c r="I49" s="144"/>
      <c r="J49" s="55"/>
      <c r="K49" s="50"/>
      <c r="L49" s="46"/>
      <c r="M49" s="49"/>
      <c r="N49" s="47"/>
      <c r="O49" s="49"/>
      <c r="P49" s="48"/>
      <c r="Q49" s="49"/>
    </row>
    <row r="50" spans="1:17" s="30" customFormat="1"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15-2-1</v>
      </c>
      <c r="B50" s="158"/>
      <c r="C50" s="159"/>
      <c r="D50" s="160"/>
      <c r="E50" s="160"/>
      <c r="F50" s="161" t="s">
        <v>107</v>
      </c>
      <c r="G50" s="65" t="s">
        <v>493</v>
      </c>
      <c r="H50" s="144"/>
      <c r="I50" s="144"/>
      <c r="J50" s="55"/>
      <c r="K50" s="50"/>
      <c r="L50" s="46"/>
      <c r="M50" s="49"/>
      <c r="N50" s="47"/>
      <c r="O50" s="49"/>
      <c r="P50" s="48"/>
      <c r="Q50" s="49"/>
    </row>
    <row r="51" spans="1:17" s="30" customFormat="1"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16-1-1</v>
      </c>
      <c r="B51" s="158"/>
      <c r="C51" s="159"/>
      <c r="D51" s="160"/>
      <c r="E51" s="161" t="s">
        <v>108</v>
      </c>
      <c r="F51" s="144" t="s">
        <v>109</v>
      </c>
      <c r="G51" s="65" t="s">
        <v>493</v>
      </c>
      <c r="H51" s="144"/>
      <c r="I51" s="144"/>
      <c r="J51" s="55"/>
      <c r="K51" s="50"/>
      <c r="L51" s="46"/>
      <c r="M51" s="48"/>
      <c r="N51" s="49"/>
      <c r="O51" s="47"/>
      <c r="P51" s="48"/>
      <c r="Q51" s="49"/>
    </row>
    <row r="52" spans="1:17" s="30" customFormat="1" ht="2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16-2-1</v>
      </c>
      <c r="B52" s="158"/>
      <c r="C52" s="159"/>
      <c r="D52" s="160"/>
      <c r="E52" s="160"/>
      <c r="F52" s="144" t="s">
        <v>110</v>
      </c>
      <c r="G52" s="65" t="s">
        <v>493</v>
      </c>
      <c r="H52" s="144"/>
      <c r="I52" s="144"/>
      <c r="J52" s="55"/>
      <c r="K52" s="50"/>
      <c r="L52" s="46"/>
      <c r="M52" s="48"/>
      <c r="N52" s="49"/>
      <c r="O52" s="47"/>
      <c r="P52" s="48"/>
      <c r="Q52" s="49"/>
    </row>
    <row r="53" spans="1:17" s="30" customFormat="1"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16-3-1</v>
      </c>
      <c r="B53" s="158"/>
      <c r="C53" s="159"/>
      <c r="D53" s="160"/>
      <c r="E53" s="160"/>
      <c r="F53" s="144" t="s">
        <v>111</v>
      </c>
      <c r="G53" s="65" t="s">
        <v>493</v>
      </c>
      <c r="H53" s="144"/>
      <c r="I53" s="144"/>
      <c r="J53" s="55"/>
      <c r="K53" s="50"/>
      <c r="L53" s="46"/>
      <c r="M53" s="48"/>
      <c r="N53" s="49"/>
      <c r="O53" s="47"/>
      <c r="P53" s="48"/>
      <c r="Q53" s="49"/>
    </row>
    <row r="54" spans="1:17" s="30" customFormat="1" ht="2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16-4-1</v>
      </c>
      <c r="B54" s="158"/>
      <c r="C54" s="159"/>
      <c r="D54" s="160"/>
      <c r="E54" s="160"/>
      <c r="F54" s="144" t="s">
        <v>112</v>
      </c>
      <c r="G54" s="65" t="s">
        <v>493</v>
      </c>
      <c r="H54" s="144"/>
      <c r="I54" s="144"/>
      <c r="J54" s="55"/>
      <c r="K54" s="50"/>
      <c r="L54" s="46"/>
      <c r="M54" s="48"/>
      <c r="N54" s="49"/>
      <c r="O54" s="47"/>
      <c r="P54" s="48"/>
      <c r="Q54" s="49"/>
    </row>
    <row r="55" spans="1:17" s="30" customFormat="1"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16-5-1</v>
      </c>
      <c r="B55" s="158"/>
      <c r="C55" s="159"/>
      <c r="D55" s="160"/>
      <c r="E55" s="160"/>
      <c r="F55" s="144" t="s">
        <v>113</v>
      </c>
      <c r="G55" s="65" t="s">
        <v>493</v>
      </c>
      <c r="H55" s="144"/>
      <c r="I55" s="144"/>
      <c r="J55" s="55"/>
      <c r="K55" s="50"/>
      <c r="L55" s="46"/>
      <c r="M55" s="48"/>
      <c r="N55" s="49"/>
      <c r="O55" s="47"/>
      <c r="P55" s="48"/>
      <c r="Q55" s="49"/>
    </row>
    <row r="56" spans="1:17" s="30" customFormat="1" ht="22.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16-6-1</v>
      </c>
      <c r="B56" s="158"/>
      <c r="C56" s="159"/>
      <c r="D56" s="160"/>
      <c r="E56" s="162"/>
      <c r="F56" s="144" t="s">
        <v>114</v>
      </c>
      <c r="G56" s="65" t="s">
        <v>493</v>
      </c>
      <c r="H56" s="144"/>
      <c r="I56" s="144"/>
      <c r="J56" s="55"/>
      <c r="K56" s="50"/>
      <c r="L56" s="46"/>
      <c r="M56" s="48"/>
      <c r="N56" s="49"/>
      <c r="O56" s="47"/>
      <c r="P56" s="48"/>
      <c r="Q56" s="49"/>
    </row>
    <row r="57" spans="1:17" s="30" customFormat="1" ht="33.7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17-1-1</v>
      </c>
      <c r="B57" s="158"/>
      <c r="C57" s="159"/>
      <c r="D57" s="160"/>
      <c r="E57" s="162" t="s">
        <v>115</v>
      </c>
      <c r="F57" s="144" t="s">
        <v>116</v>
      </c>
      <c r="G57" s="65" t="s">
        <v>493</v>
      </c>
      <c r="H57" s="144"/>
      <c r="I57" s="144"/>
      <c r="J57" s="55"/>
      <c r="K57" s="50"/>
      <c r="L57" s="46"/>
      <c r="M57" s="48"/>
      <c r="N57" s="49"/>
      <c r="O57" s="47"/>
      <c r="P57" s="48"/>
      <c r="Q57" s="49"/>
    </row>
    <row r="58" spans="1:17" s="30" customFormat="1"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18-1-1</v>
      </c>
      <c r="B58" s="158"/>
      <c r="C58" s="159"/>
      <c r="D58" s="160"/>
      <c r="E58" s="162" t="s">
        <v>117</v>
      </c>
      <c r="F58" s="144" t="s">
        <v>118</v>
      </c>
      <c r="G58" s="65" t="s">
        <v>493</v>
      </c>
      <c r="H58" s="144"/>
      <c r="I58" s="144"/>
      <c r="J58" s="55"/>
      <c r="K58" s="50"/>
      <c r="L58" s="46"/>
      <c r="M58" s="48"/>
      <c r="N58" s="49"/>
      <c r="O58" s="47"/>
      <c r="P58" s="48"/>
      <c r="Q58" s="49"/>
    </row>
    <row r="59" spans="1:17" s="30" customFormat="1"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19-1-1</v>
      </c>
      <c r="B59" s="158"/>
      <c r="C59" s="159"/>
      <c r="D59" s="162"/>
      <c r="E59" s="162" t="s">
        <v>119</v>
      </c>
      <c r="F59" s="144" t="s">
        <v>120</v>
      </c>
      <c r="G59" s="65" t="s">
        <v>493</v>
      </c>
      <c r="H59" s="144"/>
      <c r="I59" s="144"/>
      <c r="J59" s="55"/>
      <c r="K59" s="50"/>
      <c r="L59" s="46"/>
      <c r="M59" s="48"/>
      <c r="N59" s="49"/>
      <c r="O59" s="47"/>
      <c r="P59" s="48"/>
      <c r="Q59" s="49"/>
    </row>
    <row r="60" spans="1:17" s="30" customFormat="1"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20-1-1</v>
      </c>
      <c r="B60" s="158"/>
      <c r="C60" s="159"/>
      <c r="D60" s="160" t="s">
        <v>121</v>
      </c>
      <c r="E60" s="160" t="s">
        <v>54</v>
      </c>
      <c r="F60" s="144" t="s">
        <v>122</v>
      </c>
      <c r="G60" s="65" t="s">
        <v>493</v>
      </c>
      <c r="H60" s="144"/>
      <c r="I60" s="144"/>
      <c r="J60" s="55"/>
      <c r="K60" s="50"/>
      <c r="L60" s="46"/>
      <c r="M60" s="48"/>
      <c r="N60" s="49"/>
      <c r="O60" s="47"/>
      <c r="P60" s="48"/>
      <c r="Q60" s="49"/>
    </row>
    <row r="61" spans="1:17" s="30" customFormat="1"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20-2-1</v>
      </c>
      <c r="B61" s="158"/>
      <c r="C61" s="158"/>
      <c r="D61" s="160"/>
      <c r="E61" s="160"/>
      <c r="F61" s="161" t="s">
        <v>123</v>
      </c>
      <c r="G61" s="65" t="s">
        <v>493</v>
      </c>
      <c r="H61" s="144"/>
      <c r="I61" s="144"/>
      <c r="J61" s="55"/>
      <c r="K61" s="50"/>
      <c r="L61" s="46"/>
      <c r="M61" s="49"/>
      <c r="N61" s="47"/>
      <c r="O61" s="49"/>
      <c r="P61" s="48"/>
      <c r="Q61" s="49"/>
    </row>
    <row r="62" spans="1:17" s="30" customFormat="1"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20-3-1</v>
      </c>
      <c r="B62" s="158"/>
      <c r="C62" s="158"/>
      <c r="D62" s="160"/>
      <c r="E62" s="160"/>
      <c r="F62" s="144" t="s">
        <v>124</v>
      </c>
      <c r="G62" s="65" t="s">
        <v>493</v>
      </c>
      <c r="H62" s="144"/>
      <c r="I62" s="144"/>
      <c r="J62" s="55"/>
      <c r="K62" s="50"/>
      <c r="L62" s="46"/>
      <c r="M62" s="48"/>
      <c r="N62" s="49"/>
      <c r="O62" s="47"/>
      <c r="P62" s="48"/>
      <c r="Q62" s="49"/>
    </row>
    <row r="63" spans="1:17" s="30" customFormat="1"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20-4-1</v>
      </c>
      <c r="B63" s="158"/>
      <c r="C63" s="158"/>
      <c r="D63" s="160"/>
      <c r="E63" s="160"/>
      <c r="F63" s="144" t="s">
        <v>125</v>
      </c>
      <c r="G63" s="65" t="s">
        <v>493</v>
      </c>
      <c r="H63" s="144"/>
      <c r="I63" s="144"/>
      <c r="J63" s="55"/>
      <c r="K63" s="50"/>
      <c r="L63" s="46"/>
      <c r="M63" s="48"/>
      <c r="N63" s="49"/>
      <c r="O63" s="47"/>
      <c r="P63" s="48"/>
      <c r="Q63" s="49"/>
    </row>
    <row r="64" spans="1:17" s="30" customFormat="1" ht="22.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20-5-1</v>
      </c>
      <c r="B64" s="158"/>
      <c r="C64" s="158"/>
      <c r="D64" s="160"/>
      <c r="E64" s="162"/>
      <c r="F64" s="144" t="s">
        <v>126</v>
      </c>
      <c r="G64" s="65" t="s">
        <v>493</v>
      </c>
      <c r="H64" s="144"/>
      <c r="I64" s="144"/>
      <c r="J64" s="55"/>
      <c r="K64" s="50"/>
      <c r="L64" s="46"/>
      <c r="M64" s="48"/>
      <c r="N64" s="49"/>
      <c r="O64" s="47"/>
      <c r="P64" s="48"/>
      <c r="Q64" s="49"/>
    </row>
    <row r="65" spans="1:17" s="30" customFormat="1" ht="33.7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21-1-1</v>
      </c>
      <c r="B65" s="158"/>
      <c r="C65" s="158"/>
      <c r="D65" s="160"/>
      <c r="E65" s="160" t="s">
        <v>127</v>
      </c>
      <c r="F65" s="144" t="s">
        <v>128</v>
      </c>
      <c r="G65" s="65" t="s">
        <v>493</v>
      </c>
      <c r="H65" s="144"/>
      <c r="I65" s="144"/>
      <c r="J65" s="55"/>
      <c r="K65" s="50"/>
      <c r="L65" s="46"/>
      <c r="M65" s="48"/>
      <c r="N65" s="49"/>
      <c r="O65" s="47"/>
      <c r="P65" s="48"/>
      <c r="Q65" s="49"/>
    </row>
    <row r="66" spans="1:17" s="30" customFormat="1" ht="33.7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21-2-1</v>
      </c>
      <c r="B66" s="158"/>
      <c r="C66" s="158"/>
      <c r="D66" s="160"/>
      <c r="E66" s="160"/>
      <c r="F66" s="144" t="s">
        <v>129</v>
      </c>
      <c r="G66" s="65" t="s">
        <v>493</v>
      </c>
      <c r="H66" s="144"/>
      <c r="I66" s="144"/>
      <c r="J66" s="55"/>
      <c r="K66" s="50"/>
      <c r="L66" s="46"/>
      <c r="M66" s="48"/>
      <c r="N66" s="49"/>
      <c r="O66" s="47"/>
      <c r="P66" s="48"/>
      <c r="Q66" s="49"/>
    </row>
    <row r="67" spans="1:17" s="30" customFormat="1" ht="33.7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21-3-1</v>
      </c>
      <c r="B67" s="158"/>
      <c r="C67" s="158"/>
      <c r="D67" s="160"/>
      <c r="E67" s="160"/>
      <c r="F67" s="144" t="s">
        <v>130</v>
      </c>
      <c r="G67" s="65" t="s">
        <v>493</v>
      </c>
      <c r="H67" s="144"/>
      <c r="I67" s="144"/>
      <c r="J67" s="55"/>
      <c r="K67" s="50"/>
      <c r="L67" s="46"/>
      <c r="M67" s="48"/>
      <c r="N67" s="49"/>
      <c r="O67" s="47"/>
      <c r="P67" s="48"/>
      <c r="Q67" s="49"/>
    </row>
    <row r="68" spans="1:17" s="30" customFormat="1"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21-4-1</v>
      </c>
      <c r="B68" s="158"/>
      <c r="C68" s="158"/>
      <c r="D68" s="160"/>
      <c r="E68" s="160"/>
      <c r="F68" s="144" t="s">
        <v>131</v>
      </c>
      <c r="G68" s="65" t="s">
        <v>493</v>
      </c>
      <c r="H68" s="144"/>
      <c r="I68" s="144"/>
      <c r="J68" s="55"/>
      <c r="K68" s="50"/>
      <c r="L68" s="46"/>
      <c r="M68" s="48"/>
      <c r="N68" s="49"/>
      <c r="O68" s="47"/>
      <c r="P68" s="48"/>
      <c r="Q68" s="49"/>
    </row>
    <row r="69" spans="1:17" s="30" customFormat="1" ht="33.7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21-5-1</v>
      </c>
      <c r="B69" s="158"/>
      <c r="C69" s="158"/>
      <c r="D69" s="160"/>
      <c r="E69" s="160"/>
      <c r="F69" s="144" t="s">
        <v>132</v>
      </c>
      <c r="G69" s="65" t="s">
        <v>493</v>
      </c>
      <c r="H69" s="144"/>
      <c r="I69" s="144"/>
      <c r="J69" s="55"/>
      <c r="K69" s="50"/>
      <c r="L69" s="46"/>
      <c r="M69" s="48"/>
      <c r="N69" s="49"/>
      <c r="O69" s="47"/>
      <c r="P69" s="48"/>
      <c r="Q69" s="49"/>
    </row>
    <row r="70" spans="1:17" s="30" customFormat="1"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21-6-1</v>
      </c>
      <c r="B70" s="158"/>
      <c r="C70" s="158"/>
      <c r="D70" s="160"/>
      <c r="E70" s="160"/>
      <c r="F70" s="144" t="s">
        <v>133</v>
      </c>
      <c r="G70" s="65" t="s">
        <v>493</v>
      </c>
      <c r="H70" s="144"/>
      <c r="I70" s="144"/>
      <c r="J70" s="55"/>
      <c r="K70" s="50"/>
      <c r="L70" s="46"/>
      <c r="M70" s="48"/>
      <c r="N70" s="49"/>
      <c r="O70" s="47"/>
      <c r="P70" s="48"/>
      <c r="Q70" s="49"/>
    </row>
    <row r="71" spans="1:17" s="30" customFormat="1" ht="22.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21-7-1</v>
      </c>
      <c r="B71" s="158"/>
      <c r="C71" s="158"/>
      <c r="D71" s="160"/>
      <c r="E71" s="160"/>
      <c r="F71" s="144" t="s">
        <v>134</v>
      </c>
      <c r="G71" s="65" t="s">
        <v>493</v>
      </c>
      <c r="H71" s="144"/>
      <c r="I71" s="144"/>
      <c r="J71" s="55"/>
      <c r="K71" s="50"/>
      <c r="L71" s="46"/>
      <c r="M71" s="48"/>
      <c r="N71" s="49"/>
      <c r="O71" s="47"/>
      <c r="P71" s="48"/>
      <c r="Q71" s="49"/>
    </row>
    <row r="72" spans="1:17" s="30" customFormat="1" ht="33.7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21-8-1</v>
      </c>
      <c r="B72" s="158"/>
      <c r="C72" s="158"/>
      <c r="D72" s="160"/>
      <c r="E72" s="162"/>
      <c r="F72" s="144" t="s">
        <v>135</v>
      </c>
      <c r="G72" s="65" t="s">
        <v>493</v>
      </c>
      <c r="H72" s="144"/>
      <c r="I72" s="144"/>
      <c r="J72" s="55"/>
      <c r="K72" s="50"/>
      <c r="L72" s="46"/>
      <c r="M72" s="48"/>
      <c r="N72" s="49"/>
      <c r="O72" s="47"/>
      <c r="P72" s="48"/>
      <c r="Q72" s="49"/>
    </row>
    <row r="73" spans="1:17" s="30" customFormat="1" ht="22.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22-1-1</v>
      </c>
      <c r="B73" s="158"/>
      <c r="C73" s="158"/>
      <c r="D73" s="160"/>
      <c r="E73" s="161" t="s">
        <v>136</v>
      </c>
      <c r="F73" s="161" t="s">
        <v>137</v>
      </c>
      <c r="G73" s="65" t="s">
        <v>493</v>
      </c>
      <c r="H73" s="144"/>
      <c r="I73" s="144"/>
      <c r="J73" s="55"/>
      <c r="K73" s="50"/>
      <c r="L73" s="46"/>
      <c r="M73" s="49"/>
      <c r="N73" s="47"/>
      <c r="O73" s="49"/>
      <c r="P73" s="48"/>
      <c r="Q73" s="49"/>
    </row>
    <row r="74" spans="1:17" s="30" customFormat="1" ht="22.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23-1-1</v>
      </c>
      <c r="B74" s="158"/>
      <c r="C74" s="163"/>
      <c r="D74" s="160"/>
      <c r="E74" s="161" t="s">
        <v>138</v>
      </c>
      <c r="F74" s="144" t="s">
        <v>139</v>
      </c>
      <c r="G74" s="65" t="s">
        <v>493</v>
      </c>
      <c r="H74" s="144"/>
      <c r="I74" s="144"/>
      <c r="J74" s="55"/>
      <c r="K74" s="50"/>
      <c r="L74" s="46"/>
      <c r="M74" s="48"/>
      <c r="N74" s="49"/>
      <c r="O74" s="47"/>
      <c r="P74" s="48"/>
      <c r="Q74" s="49"/>
    </row>
    <row r="75" spans="1:17" s="30" customFormat="1" ht="22.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23-2-1</v>
      </c>
      <c r="B75" s="158"/>
      <c r="C75" s="163"/>
      <c r="D75" s="160"/>
      <c r="E75" s="160"/>
      <c r="F75" s="144" t="s">
        <v>140</v>
      </c>
      <c r="G75" s="65" t="s">
        <v>493</v>
      </c>
      <c r="H75" s="144"/>
      <c r="I75" s="144"/>
      <c r="J75" s="55"/>
      <c r="K75" s="50"/>
      <c r="L75" s="46"/>
      <c r="M75" s="48"/>
      <c r="N75" s="49"/>
      <c r="O75" s="47"/>
      <c r="P75" s="48"/>
      <c r="Q75" s="49"/>
    </row>
    <row r="76" spans="1:17" ht="22.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23-3-1</v>
      </c>
      <c r="B76" s="158"/>
      <c r="C76" s="163"/>
      <c r="D76" s="160"/>
      <c r="E76" s="160"/>
      <c r="F76" s="144" t="s">
        <v>141</v>
      </c>
      <c r="G76" s="65" t="s">
        <v>493</v>
      </c>
      <c r="H76" s="144"/>
      <c r="I76" s="144"/>
      <c r="J76" s="55"/>
      <c r="K76" s="49"/>
      <c r="L76" s="46"/>
      <c r="M76" s="49"/>
      <c r="N76" s="49"/>
      <c r="O76" s="49"/>
      <c r="P76" s="49"/>
      <c r="Q76" s="49"/>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23-4-1</v>
      </c>
      <c r="B77" s="158"/>
      <c r="C77" s="163"/>
      <c r="D77" s="160"/>
      <c r="E77" s="160"/>
      <c r="F77" s="144" t="s">
        <v>142</v>
      </c>
      <c r="G77" s="65" t="s">
        <v>493</v>
      </c>
      <c r="H77" s="144"/>
      <c r="I77" s="144"/>
      <c r="J77" s="55"/>
      <c r="K77" s="49"/>
      <c r="L77" s="46"/>
      <c r="M77" s="49"/>
      <c r="N77" s="49"/>
      <c r="O77" s="49"/>
      <c r="P77" s="49"/>
      <c r="Q77" s="49"/>
    </row>
    <row r="78" spans="1:17" ht="2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23-5-1</v>
      </c>
      <c r="B78" s="159"/>
      <c r="C78" s="164"/>
      <c r="D78" s="162"/>
      <c r="E78" s="162"/>
      <c r="F78" s="144" t="s">
        <v>143</v>
      </c>
      <c r="G78" s="65" t="s">
        <v>493</v>
      </c>
      <c r="H78" s="144"/>
      <c r="I78" s="144"/>
      <c r="J78" s="55"/>
      <c r="K78" s="49"/>
      <c r="L78" s="46"/>
      <c r="M78" s="49"/>
      <c r="N78" s="49"/>
      <c r="O78" s="49"/>
      <c r="P78" s="49"/>
      <c r="Q78" s="49"/>
    </row>
    <row r="79" spans="1:17" ht="22.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24-1-1</v>
      </c>
      <c r="B79" s="159"/>
      <c r="C79" s="165" t="s">
        <v>144</v>
      </c>
      <c r="D79" s="161" t="s">
        <v>15</v>
      </c>
      <c r="E79" s="161" t="s">
        <v>54</v>
      </c>
      <c r="F79" s="161" t="s">
        <v>145</v>
      </c>
      <c r="G79" s="65" t="s">
        <v>493</v>
      </c>
      <c r="H79" s="144"/>
      <c r="I79" s="144"/>
      <c r="J79" s="55"/>
      <c r="K79" s="50"/>
      <c r="L79" s="46"/>
      <c r="M79" s="49"/>
      <c r="N79" s="47"/>
      <c r="O79" s="49"/>
      <c r="P79" s="49"/>
      <c r="Q79" s="49"/>
    </row>
    <row r="80" spans="1:17" ht="33.7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24-2-1</v>
      </c>
      <c r="B80" s="158"/>
      <c r="C80" s="166"/>
      <c r="D80" s="160"/>
      <c r="E80" s="160"/>
      <c r="F80" s="161" t="s">
        <v>146</v>
      </c>
      <c r="G80" s="65" t="s">
        <v>493</v>
      </c>
      <c r="H80" s="144"/>
      <c r="I80" s="144"/>
      <c r="J80" s="55"/>
      <c r="K80" s="50"/>
      <c r="L80" s="46"/>
      <c r="M80" s="49"/>
      <c r="N80" s="47"/>
      <c r="O80" s="49"/>
      <c r="P80" s="49"/>
      <c r="Q80" s="49"/>
    </row>
    <row r="81" spans="1:17" ht="22.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25-1-1</v>
      </c>
      <c r="B81" s="158"/>
      <c r="C81" s="166"/>
      <c r="D81" s="160"/>
      <c r="E81" s="161" t="s">
        <v>147</v>
      </c>
      <c r="F81" s="161" t="s">
        <v>148</v>
      </c>
      <c r="G81" s="65" t="s">
        <v>493</v>
      </c>
      <c r="H81" s="144"/>
      <c r="I81" s="144"/>
      <c r="J81" s="55"/>
      <c r="K81" s="49"/>
      <c r="L81" s="46"/>
      <c r="M81" s="49"/>
      <c r="N81" s="49"/>
      <c r="O81" s="49"/>
      <c r="P81" s="49"/>
      <c r="Q81" s="49"/>
    </row>
    <row r="82" spans="1:17" ht="33.7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26-1-1</v>
      </c>
      <c r="B82" s="158"/>
      <c r="C82" s="166"/>
      <c r="D82" s="160"/>
      <c r="E82" s="161" t="s">
        <v>149</v>
      </c>
      <c r="F82" s="144" t="s">
        <v>150</v>
      </c>
      <c r="G82" s="65" t="s">
        <v>493</v>
      </c>
      <c r="H82" s="144"/>
      <c r="I82" s="144"/>
      <c r="J82" s="55"/>
      <c r="K82" s="50"/>
      <c r="L82" s="46"/>
      <c r="M82" s="49"/>
      <c r="N82" s="49"/>
      <c r="O82" s="49"/>
      <c r="P82" s="49"/>
      <c r="Q82" s="49"/>
    </row>
    <row r="83" spans="1:17" ht="33.7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26-2-1</v>
      </c>
      <c r="B83" s="158"/>
      <c r="C83" s="166"/>
      <c r="D83" s="160"/>
      <c r="E83" s="162"/>
      <c r="F83" s="144" t="s">
        <v>151</v>
      </c>
      <c r="G83" s="65" t="s">
        <v>493</v>
      </c>
      <c r="H83" s="144"/>
      <c r="I83" s="144"/>
      <c r="J83" s="55"/>
      <c r="K83" s="49"/>
      <c r="L83" s="46"/>
      <c r="M83" s="49"/>
      <c r="N83" s="49"/>
      <c r="O83" s="49"/>
      <c r="P83" s="49"/>
      <c r="Q83" s="49"/>
    </row>
    <row r="84" spans="1:17" ht="2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27-1-1</v>
      </c>
      <c r="B84" s="158"/>
      <c r="C84" s="166"/>
      <c r="D84" s="160"/>
      <c r="E84" s="162" t="s">
        <v>152</v>
      </c>
      <c r="F84" s="144" t="s">
        <v>153</v>
      </c>
      <c r="G84" s="65" t="s">
        <v>493</v>
      </c>
      <c r="H84" s="144"/>
      <c r="I84" s="144"/>
      <c r="J84" s="55"/>
      <c r="K84" s="49"/>
      <c r="L84" s="46"/>
      <c r="M84" s="49"/>
      <c r="N84" s="49"/>
      <c r="O84" s="49"/>
      <c r="P84" s="49"/>
      <c r="Q84" s="49"/>
    </row>
    <row r="85" spans="1:17" ht="22.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28-1-1</v>
      </c>
      <c r="B85" s="158"/>
      <c r="C85" s="167"/>
      <c r="D85" s="162"/>
      <c r="E85" s="162" t="s">
        <v>154</v>
      </c>
      <c r="F85" s="144" t="s">
        <v>155</v>
      </c>
      <c r="G85" s="65" t="s">
        <v>493</v>
      </c>
      <c r="H85" s="144"/>
      <c r="I85" s="144"/>
      <c r="J85" s="55"/>
      <c r="K85" s="49"/>
      <c r="L85" s="46"/>
      <c r="M85" s="49"/>
      <c r="N85" s="49"/>
      <c r="O85" s="49"/>
      <c r="P85" s="49"/>
      <c r="Q85" s="49"/>
    </row>
    <row r="86" spans="1:17" ht="22.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29-1-1</v>
      </c>
      <c r="B86" s="158"/>
      <c r="C86" s="160" t="s">
        <v>156</v>
      </c>
      <c r="D86" s="160" t="s">
        <v>15</v>
      </c>
      <c r="E86" s="144" t="s">
        <v>54</v>
      </c>
      <c r="F86" s="144" t="s">
        <v>157</v>
      </c>
      <c r="G86" s="65" t="s">
        <v>493</v>
      </c>
      <c r="H86" s="144"/>
      <c r="I86" s="144"/>
      <c r="J86" s="55"/>
      <c r="K86" s="49"/>
      <c r="L86" s="46"/>
      <c r="M86" s="49"/>
      <c r="N86" s="49"/>
      <c r="O86" s="49"/>
      <c r="P86" s="49"/>
      <c r="Q86" s="49"/>
    </row>
    <row r="87" spans="1:17" ht="22.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30-1-1</v>
      </c>
      <c r="B87" s="158"/>
      <c r="C87" s="166"/>
      <c r="D87" s="160"/>
      <c r="E87" s="162" t="s">
        <v>147</v>
      </c>
      <c r="F87" s="144" t="s">
        <v>158</v>
      </c>
      <c r="G87" s="65" t="s">
        <v>493</v>
      </c>
      <c r="H87" s="144"/>
      <c r="I87" s="144"/>
      <c r="J87" s="55"/>
      <c r="K87" s="49"/>
      <c r="L87" s="46"/>
      <c r="M87" s="49"/>
      <c r="N87" s="49"/>
      <c r="O87" s="49"/>
      <c r="P87" s="49"/>
      <c r="Q87" s="49"/>
    </row>
    <row r="88" spans="1:17" ht="33.7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31-1-1</v>
      </c>
      <c r="B88" s="158"/>
      <c r="C88" s="167"/>
      <c r="D88" s="162"/>
      <c r="E88" s="162" t="s">
        <v>159</v>
      </c>
      <c r="F88" s="144" t="s">
        <v>160</v>
      </c>
      <c r="G88" s="65" t="s">
        <v>493</v>
      </c>
      <c r="H88" s="144"/>
      <c r="I88" s="144"/>
      <c r="J88" s="55"/>
      <c r="K88" s="49"/>
      <c r="L88" s="46"/>
      <c r="M88" s="49"/>
      <c r="N88" s="49"/>
      <c r="O88" s="49"/>
      <c r="P88" s="49"/>
      <c r="Q88" s="49"/>
    </row>
    <row r="89" spans="1:17" ht="22.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32-1-1</v>
      </c>
      <c r="B89" s="158"/>
      <c r="C89" s="168" t="s">
        <v>161</v>
      </c>
      <c r="D89" s="160" t="s">
        <v>15</v>
      </c>
      <c r="E89" s="161" t="s">
        <v>54</v>
      </c>
      <c r="F89" s="161" t="s">
        <v>162</v>
      </c>
      <c r="G89" s="65" t="s">
        <v>493</v>
      </c>
      <c r="H89" s="144"/>
      <c r="I89" s="144"/>
      <c r="J89" s="55"/>
      <c r="K89" s="49"/>
      <c r="L89" s="46"/>
      <c r="M89" s="49"/>
      <c r="N89" s="47"/>
      <c r="O89" s="49"/>
      <c r="P89" s="49"/>
      <c r="Q89" s="49"/>
    </row>
    <row r="90" spans="1:17" ht="33.7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32-2-1</v>
      </c>
      <c r="B90" s="158"/>
      <c r="C90" s="166"/>
      <c r="D90" s="160"/>
      <c r="E90" s="162"/>
      <c r="F90" s="144" t="s">
        <v>163</v>
      </c>
      <c r="G90" s="65" t="s">
        <v>493</v>
      </c>
      <c r="H90" s="144"/>
      <c r="I90" s="144"/>
      <c r="J90" s="55"/>
      <c r="K90" s="49"/>
      <c r="L90" s="46"/>
      <c r="M90" s="49"/>
      <c r="N90" s="49"/>
      <c r="O90" s="49"/>
      <c r="P90" s="49"/>
      <c r="Q90" s="49"/>
    </row>
    <row r="91" spans="1:17" ht="22.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33-1-1</v>
      </c>
      <c r="B91" s="158"/>
      <c r="C91" s="166"/>
      <c r="D91" s="160"/>
      <c r="E91" s="144" t="s">
        <v>147</v>
      </c>
      <c r="F91" s="144" t="s">
        <v>164</v>
      </c>
      <c r="G91" s="65" t="s">
        <v>493</v>
      </c>
      <c r="H91" s="144"/>
      <c r="I91" s="144"/>
      <c r="J91" s="55"/>
      <c r="K91" s="49"/>
      <c r="L91" s="46"/>
      <c r="M91" s="49"/>
      <c r="N91" s="49"/>
      <c r="O91" s="49"/>
      <c r="P91" s="49"/>
      <c r="Q91" s="49"/>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34-1-1</v>
      </c>
      <c r="B92" s="158"/>
      <c r="C92" s="166"/>
      <c r="D92" s="160"/>
      <c r="E92" s="160" t="s">
        <v>149</v>
      </c>
      <c r="F92" s="144" t="s">
        <v>165</v>
      </c>
      <c r="G92" s="65" t="s">
        <v>493</v>
      </c>
      <c r="H92" s="144"/>
      <c r="I92" s="144"/>
      <c r="J92" s="55"/>
      <c r="K92" s="49"/>
      <c r="L92" s="46"/>
      <c r="M92" s="49"/>
      <c r="N92" s="49"/>
      <c r="O92" s="49"/>
      <c r="P92" s="49"/>
      <c r="Q92" s="49"/>
    </row>
    <row r="93" spans="1:17" ht="33.7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34-2-1</v>
      </c>
      <c r="B93" s="158"/>
      <c r="C93" s="166"/>
      <c r="D93" s="160"/>
      <c r="E93" s="162"/>
      <c r="F93" s="144" t="s">
        <v>166</v>
      </c>
      <c r="G93" s="65" t="s">
        <v>493</v>
      </c>
      <c r="H93" s="144"/>
      <c r="I93" s="144"/>
      <c r="J93" s="55"/>
      <c r="K93" s="49"/>
      <c r="L93" s="46"/>
      <c r="M93" s="49"/>
      <c r="N93" s="49"/>
      <c r="O93" s="49"/>
      <c r="P93" s="49"/>
      <c r="Q93" s="49"/>
    </row>
    <row r="94" spans="1:17" ht="33.7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35-1-1</v>
      </c>
      <c r="B94" s="158"/>
      <c r="C94" s="167"/>
      <c r="D94" s="162"/>
      <c r="E94" s="162" t="s">
        <v>159</v>
      </c>
      <c r="F94" s="144" t="s">
        <v>167</v>
      </c>
      <c r="G94" s="65" t="s">
        <v>493</v>
      </c>
      <c r="H94" s="144"/>
      <c r="I94" s="144"/>
      <c r="J94" s="55"/>
      <c r="K94" s="49"/>
      <c r="L94" s="46"/>
      <c r="M94" s="49"/>
      <c r="N94" s="49"/>
      <c r="O94" s="49"/>
      <c r="P94" s="49"/>
      <c r="Q94" s="49"/>
    </row>
    <row r="95" spans="1:17" ht="22.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36-1-1</v>
      </c>
      <c r="B95" s="158"/>
      <c r="C95" s="160" t="s">
        <v>168</v>
      </c>
      <c r="D95" s="160" t="s">
        <v>15</v>
      </c>
      <c r="E95" s="160" t="s">
        <v>169</v>
      </c>
      <c r="F95" s="144" t="s">
        <v>170</v>
      </c>
      <c r="G95" s="65" t="s">
        <v>493</v>
      </c>
      <c r="H95" s="144"/>
      <c r="I95" s="144"/>
      <c r="J95" s="55"/>
      <c r="K95" s="49"/>
      <c r="L95" s="46"/>
      <c r="M95" s="49"/>
      <c r="N95" s="49"/>
      <c r="O95" s="49"/>
      <c r="P95" s="49"/>
      <c r="Q95" s="49"/>
    </row>
    <row r="96" spans="1:17" ht="33.75">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36-2-1</v>
      </c>
      <c r="B96" s="158"/>
      <c r="C96" s="158"/>
      <c r="D96" s="160"/>
      <c r="E96" s="160"/>
      <c r="F96" s="144" t="s">
        <v>171</v>
      </c>
      <c r="G96" s="65" t="s">
        <v>493</v>
      </c>
      <c r="H96" s="144"/>
      <c r="I96" s="144"/>
      <c r="J96" s="55"/>
      <c r="K96" s="49"/>
      <c r="L96" s="46"/>
      <c r="M96" s="49"/>
      <c r="N96" s="49"/>
      <c r="O96" s="49"/>
      <c r="P96" s="49"/>
      <c r="Q96" s="49"/>
    </row>
    <row r="97" spans="1:17" ht="22.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36-3-1</v>
      </c>
      <c r="B97" s="158"/>
      <c r="C97" s="158"/>
      <c r="D97" s="160"/>
      <c r="E97" s="160"/>
      <c r="F97" s="144" t="s">
        <v>172</v>
      </c>
      <c r="G97" s="65" t="s">
        <v>493</v>
      </c>
      <c r="H97" s="144"/>
      <c r="I97" s="144"/>
      <c r="J97" s="55"/>
      <c r="K97" s="49"/>
      <c r="L97" s="46"/>
      <c r="M97" s="49"/>
      <c r="N97" s="49"/>
      <c r="O97" s="49"/>
      <c r="P97" s="49"/>
      <c r="Q97" s="49"/>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36-4-1</v>
      </c>
      <c r="B98" s="158"/>
      <c r="C98" s="166"/>
      <c r="D98" s="160"/>
      <c r="E98" s="160"/>
      <c r="F98" s="144" t="s">
        <v>173</v>
      </c>
      <c r="G98" s="65" t="s">
        <v>493</v>
      </c>
      <c r="H98" s="144"/>
      <c r="I98" s="144"/>
      <c r="J98" s="55"/>
      <c r="K98" s="49"/>
      <c r="L98" s="46"/>
      <c r="M98" s="49"/>
      <c r="N98" s="49"/>
      <c r="O98" s="49"/>
      <c r="P98" s="49"/>
      <c r="Q98" s="49"/>
    </row>
    <row r="99" spans="1:17" ht="33.7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36-5-1</v>
      </c>
      <c r="B99" s="158"/>
      <c r="C99" s="166"/>
      <c r="D99" s="160"/>
      <c r="E99" s="162"/>
      <c r="F99" s="144" t="s">
        <v>174</v>
      </c>
      <c r="G99" s="65" t="s">
        <v>493</v>
      </c>
      <c r="H99" s="144"/>
      <c r="I99" s="144"/>
      <c r="J99" s="55"/>
      <c r="K99" s="49"/>
      <c r="L99" s="46"/>
      <c r="M99" s="49"/>
      <c r="N99" s="49"/>
      <c r="O99" s="49"/>
      <c r="P99" s="49"/>
      <c r="Q99" s="49"/>
    </row>
    <row r="100" spans="1:17" ht="22.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37-1-1</v>
      </c>
      <c r="B100" s="158"/>
      <c r="C100" s="158"/>
      <c r="D100" s="160"/>
      <c r="E100" s="160" t="s">
        <v>175</v>
      </c>
      <c r="F100" s="144" t="s">
        <v>176</v>
      </c>
      <c r="G100" s="65" t="s">
        <v>493</v>
      </c>
      <c r="H100" s="144"/>
      <c r="I100" s="144"/>
      <c r="J100" s="55"/>
      <c r="K100" s="49"/>
      <c r="L100" s="46"/>
      <c r="M100" s="49"/>
      <c r="N100" s="49"/>
      <c r="O100" s="49"/>
      <c r="P100" s="49"/>
      <c r="Q100" s="49"/>
    </row>
    <row r="101" spans="1:17" ht="33.75">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37-2-1</v>
      </c>
      <c r="B101" s="163"/>
      <c r="C101" s="159"/>
      <c r="D101" s="160"/>
      <c r="E101" s="160"/>
      <c r="F101" s="144" t="s">
        <v>177</v>
      </c>
      <c r="G101" s="65" t="s">
        <v>493</v>
      </c>
      <c r="H101" s="144"/>
      <c r="I101" s="144"/>
      <c r="J101" s="55"/>
      <c r="K101" s="49"/>
      <c r="L101" s="46"/>
      <c r="M101" s="49"/>
      <c r="N101" s="49"/>
      <c r="O101" s="49"/>
      <c r="P101" s="49"/>
      <c r="Q101" s="49"/>
    </row>
    <row r="102" spans="1:17" ht="22.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37-3-1</v>
      </c>
      <c r="B102" s="163"/>
      <c r="C102" s="159"/>
      <c r="D102" s="160"/>
      <c r="E102" s="160"/>
      <c r="F102" s="144" t="s">
        <v>178</v>
      </c>
      <c r="G102" s="65" t="s">
        <v>493</v>
      </c>
      <c r="H102" s="144"/>
      <c r="I102" s="144"/>
      <c r="J102" s="55"/>
      <c r="K102" s="49"/>
      <c r="L102" s="46"/>
      <c r="M102" s="49"/>
      <c r="N102" s="49"/>
      <c r="O102" s="49"/>
      <c r="P102" s="49"/>
      <c r="Q102" s="49"/>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37-4-1</v>
      </c>
      <c r="B103" s="158"/>
      <c r="C103" s="166"/>
      <c r="D103" s="160"/>
      <c r="E103" s="160"/>
      <c r="F103" s="144" t="s">
        <v>179</v>
      </c>
      <c r="G103" s="65" t="s">
        <v>493</v>
      </c>
      <c r="H103" s="144"/>
      <c r="I103" s="144"/>
      <c r="J103" s="55"/>
      <c r="K103" s="49"/>
      <c r="L103" s="46"/>
      <c r="M103" s="49"/>
      <c r="N103" s="49"/>
      <c r="O103" s="49"/>
      <c r="P103" s="49"/>
      <c r="Q103" s="49"/>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37-5-1</v>
      </c>
      <c r="B104" s="158"/>
      <c r="C104" s="166"/>
      <c r="D104" s="160"/>
      <c r="E104" s="162"/>
      <c r="F104" s="144" t="s">
        <v>180</v>
      </c>
      <c r="G104" s="65" t="s">
        <v>493</v>
      </c>
      <c r="H104" s="144"/>
      <c r="I104" s="144"/>
      <c r="J104" s="55"/>
      <c r="K104" s="49"/>
      <c r="L104" s="46"/>
      <c r="M104" s="49"/>
      <c r="N104" s="49"/>
      <c r="O104" s="49"/>
      <c r="P104" s="49"/>
      <c r="Q104" s="49"/>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38-1-1</v>
      </c>
      <c r="B105" s="163"/>
      <c r="C105" s="167"/>
      <c r="D105" s="160"/>
      <c r="E105" s="162" t="s">
        <v>159</v>
      </c>
      <c r="F105" s="144" t="s">
        <v>181</v>
      </c>
      <c r="G105" s="65" t="s">
        <v>493</v>
      </c>
      <c r="H105" s="144"/>
      <c r="I105" s="144"/>
      <c r="J105" s="55"/>
      <c r="K105" s="49"/>
      <c r="L105" s="46"/>
      <c r="M105" s="49"/>
      <c r="N105" s="49"/>
      <c r="O105" s="49"/>
      <c r="P105" s="49"/>
      <c r="Q105" s="49"/>
    </row>
    <row r="106" spans="1:17" ht="33.7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39-1-1</v>
      </c>
      <c r="B106" s="169" t="s">
        <v>182</v>
      </c>
      <c r="C106" s="144" t="s">
        <v>183</v>
      </c>
      <c r="D106" s="144" t="s">
        <v>54</v>
      </c>
      <c r="E106" s="162" t="s">
        <v>54</v>
      </c>
      <c r="F106" s="144" t="s">
        <v>184</v>
      </c>
      <c r="G106" s="65" t="s">
        <v>493</v>
      </c>
      <c r="H106" s="144"/>
      <c r="I106" s="144"/>
      <c r="J106" s="49"/>
      <c r="K106" s="49"/>
      <c r="L106" s="46"/>
      <c r="M106" s="49"/>
      <c r="N106" s="49"/>
      <c r="O106" s="49"/>
      <c r="P106" s="49"/>
      <c r="Q106" s="49"/>
    </row>
    <row r="107" spans="1:17" ht="22.5">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40-1-1</v>
      </c>
      <c r="B107" s="158"/>
      <c r="C107" s="160" t="s">
        <v>185</v>
      </c>
      <c r="D107" s="160" t="s">
        <v>54</v>
      </c>
      <c r="E107" s="160" t="s">
        <v>54</v>
      </c>
      <c r="F107" s="144" t="s">
        <v>186</v>
      </c>
      <c r="G107" s="65" t="s">
        <v>493</v>
      </c>
      <c r="H107" s="144"/>
      <c r="I107" s="144"/>
      <c r="J107" s="49"/>
      <c r="K107" s="49"/>
      <c r="L107" s="46"/>
      <c r="M107" s="49"/>
      <c r="N107" s="49"/>
      <c r="O107" s="49"/>
      <c r="P107" s="49"/>
      <c r="Q107" s="49"/>
    </row>
    <row r="108" spans="1:17" ht="22.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40-2-1</v>
      </c>
      <c r="B108" s="158"/>
      <c r="C108" s="162"/>
      <c r="D108" s="162"/>
      <c r="E108" s="162"/>
      <c r="F108" s="144" t="s">
        <v>187</v>
      </c>
      <c r="G108" s="65" t="s">
        <v>493</v>
      </c>
      <c r="H108" s="144"/>
      <c r="I108" s="144"/>
      <c r="J108" s="49"/>
      <c r="K108" s="49"/>
      <c r="L108" s="46"/>
      <c r="M108" s="49"/>
      <c r="N108" s="49"/>
      <c r="O108" s="49"/>
      <c r="P108" s="49"/>
      <c r="Q108" s="49"/>
    </row>
    <row r="109" spans="1:17" ht="22.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41-1-1</v>
      </c>
      <c r="B109" s="158"/>
      <c r="C109" s="162" t="s">
        <v>188</v>
      </c>
      <c r="D109" s="162" t="s">
        <v>54</v>
      </c>
      <c r="E109" s="162" t="s">
        <v>54</v>
      </c>
      <c r="F109" s="144" t="s">
        <v>189</v>
      </c>
      <c r="G109" s="65" t="s">
        <v>493</v>
      </c>
      <c r="H109" s="144"/>
      <c r="I109" s="144"/>
      <c r="J109" s="49"/>
      <c r="K109" s="49"/>
      <c r="L109" s="46"/>
      <c r="M109" s="49"/>
      <c r="N109" s="49"/>
      <c r="O109" s="49"/>
      <c r="P109" s="49"/>
      <c r="Q109" s="49"/>
    </row>
    <row r="110" spans="1:17" ht="22.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42-1-1</v>
      </c>
      <c r="B110" s="158"/>
      <c r="C110" s="160" t="s">
        <v>190</v>
      </c>
      <c r="D110" s="160" t="s">
        <v>54</v>
      </c>
      <c r="E110" s="160" t="s">
        <v>54</v>
      </c>
      <c r="F110" s="144" t="s">
        <v>191</v>
      </c>
      <c r="G110" s="65" t="s">
        <v>493</v>
      </c>
      <c r="H110" s="144"/>
      <c r="I110" s="144"/>
      <c r="J110" s="49"/>
      <c r="K110" s="49"/>
      <c r="L110" s="46"/>
      <c r="M110" s="49"/>
      <c r="N110" s="49"/>
      <c r="O110" s="49"/>
      <c r="P110" s="49"/>
      <c r="Q110" s="49"/>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42-2-1</v>
      </c>
      <c r="B111" s="170"/>
      <c r="C111" s="162"/>
      <c r="D111" s="162"/>
      <c r="E111" s="162"/>
      <c r="F111" s="144" t="s">
        <v>192</v>
      </c>
      <c r="G111" s="65" t="s">
        <v>493</v>
      </c>
      <c r="H111" s="144"/>
      <c r="I111" s="144"/>
      <c r="J111" s="49"/>
      <c r="K111" s="49"/>
      <c r="L111" s="46"/>
      <c r="M111" s="49"/>
      <c r="N111" s="49"/>
      <c r="O111" s="49"/>
      <c r="P111" s="49"/>
      <c r="Q111" s="49"/>
    </row>
    <row r="112" spans="1:17" ht="22.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43-1-1</v>
      </c>
      <c r="B112" s="171" t="s">
        <v>193</v>
      </c>
      <c r="C112" s="140" t="s">
        <v>194</v>
      </c>
      <c r="D112" s="140" t="s">
        <v>54</v>
      </c>
      <c r="E112" s="171" t="s">
        <v>54</v>
      </c>
      <c r="F112" s="127" t="s">
        <v>195</v>
      </c>
      <c r="G112" s="127"/>
      <c r="H112" s="127"/>
      <c r="I112" s="127"/>
      <c r="J112" s="96" t="s">
        <v>641</v>
      </c>
      <c r="K112" s="96"/>
      <c r="L112" s="96"/>
      <c r="M112" s="96"/>
      <c r="N112" s="96"/>
      <c r="O112" s="96"/>
      <c r="P112" s="96"/>
      <c r="Q112" s="96"/>
    </row>
    <row r="113" spans="1:17" ht="22.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43-2-1</v>
      </c>
      <c r="B113" s="332" t="s">
        <v>196</v>
      </c>
      <c r="C113" s="147"/>
      <c r="D113" s="141"/>
      <c r="E113" s="172"/>
      <c r="F113" s="127" t="s">
        <v>197</v>
      </c>
      <c r="G113" s="127"/>
      <c r="H113" s="127"/>
      <c r="I113" s="127"/>
      <c r="J113" s="96" t="s">
        <v>641</v>
      </c>
      <c r="K113" s="96"/>
      <c r="L113" s="96"/>
      <c r="M113" s="96"/>
      <c r="N113" s="96"/>
      <c r="O113" s="96"/>
      <c r="P113" s="96"/>
      <c r="Q113" s="96"/>
    </row>
    <row r="114" spans="1:17" ht="22.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43-3-1</v>
      </c>
      <c r="B114" s="332"/>
      <c r="C114" s="147"/>
      <c r="D114" s="141"/>
      <c r="E114" s="172"/>
      <c r="F114" s="127" t="s">
        <v>198</v>
      </c>
      <c r="G114" s="127"/>
      <c r="H114" s="127"/>
      <c r="I114" s="127"/>
      <c r="J114" s="96" t="s">
        <v>641</v>
      </c>
      <c r="K114" s="96"/>
      <c r="L114" s="96"/>
      <c r="M114" s="96"/>
      <c r="N114" s="96"/>
      <c r="O114" s="96"/>
      <c r="P114" s="96"/>
      <c r="Q114" s="96"/>
    </row>
    <row r="115" spans="1:17" ht="22.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43-4-1</v>
      </c>
      <c r="B115" s="172"/>
      <c r="C115" s="147"/>
      <c r="D115" s="141"/>
      <c r="E115" s="146"/>
      <c r="F115" s="127" t="s">
        <v>199</v>
      </c>
      <c r="G115" s="127"/>
      <c r="H115" s="127"/>
      <c r="I115" s="127"/>
      <c r="J115" s="96" t="s">
        <v>641</v>
      </c>
      <c r="K115" s="96"/>
      <c r="L115" s="96"/>
      <c r="M115" s="96"/>
      <c r="N115" s="96"/>
      <c r="O115" s="96"/>
      <c r="P115" s="96"/>
      <c r="Q115" s="96"/>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44-1-1</v>
      </c>
      <c r="B116" s="172"/>
      <c r="C116" s="147"/>
      <c r="D116" s="141"/>
      <c r="E116" s="141" t="s">
        <v>138</v>
      </c>
      <c r="F116" s="127" t="s">
        <v>200</v>
      </c>
      <c r="G116" s="127"/>
      <c r="H116" s="127"/>
      <c r="I116" s="127"/>
      <c r="J116" s="96" t="s">
        <v>641</v>
      </c>
      <c r="K116" s="96"/>
      <c r="L116" s="96"/>
      <c r="M116" s="96"/>
      <c r="N116" s="96"/>
      <c r="O116" s="96"/>
      <c r="P116" s="96"/>
      <c r="Q116" s="96"/>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44-2-1</v>
      </c>
      <c r="B117" s="172"/>
      <c r="C117" s="147"/>
      <c r="D117" s="141"/>
      <c r="E117" s="141"/>
      <c r="F117" s="127" t="s">
        <v>201</v>
      </c>
      <c r="G117" s="127"/>
      <c r="H117" s="127"/>
      <c r="I117" s="127"/>
      <c r="J117" s="96" t="s">
        <v>641</v>
      </c>
      <c r="K117" s="96"/>
      <c r="L117" s="96"/>
      <c r="M117" s="96"/>
      <c r="N117" s="96"/>
      <c r="O117" s="96"/>
      <c r="P117" s="96"/>
      <c r="Q117" s="96"/>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44-3-1</v>
      </c>
      <c r="B118" s="172"/>
      <c r="C118" s="147"/>
      <c r="D118" s="141"/>
      <c r="E118" s="141"/>
      <c r="F118" s="127" t="s">
        <v>202</v>
      </c>
      <c r="G118" s="127"/>
      <c r="H118" s="127"/>
      <c r="I118" s="127"/>
      <c r="J118" s="96" t="s">
        <v>641</v>
      </c>
      <c r="K118" s="96"/>
      <c r="L118" s="96"/>
      <c r="M118" s="96"/>
      <c r="N118" s="96"/>
      <c r="O118" s="96"/>
      <c r="P118" s="96"/>
      <c r="Q118" s="96"/>
    </row>
    <row r="119" spans="1:17" ht="22.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44-4-1</v>
      </c>
      <c r="B119" s="172"/>
      <c r="C119" s="147"/>
      <c r="D119" s="141"/>
      <c r="E119" s="141"/>
      <c r="F119" s="127" t="s">
        <v>203</v>
      </c>
      <c r="G119" s="127"/>
      <c r="H119" s="127"/>
      <c r="I119" s="127"/>
      <c r="J119" s="96" t="s">
        <v>641</v>
      </c>
      <c r="K119" s="96"/>
      <c r="L119" s="96"/>
      <c r="M119" s="96"/>
      <c r="N119" s="96"/>
      <c r="O119" s="96"/>
      <c r="P119" s="96"/>
      <c r="Q119" s="96"/>
    </row>
    <row r="120" spans="1:17" ht="33.7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44-5-1</v>
      </c>
      <c r="B120" s="172"/>
      <c r="C120" s="147"/>
      <c r="D120" s="141"/>
      <c r="E120" s="146"/>
      <c r="F120" s="127" t="s">
        <v>204</v>
      </c>
      <c r="G120" s="127" t="s">
        <v>627</v>
      </c>
      <c r="H120" s="127"/>
      <c r="I120" s="127"/>
      <c r="J120" s="96"/>
      <c r="K120" s="96"/>
      <c r="L120" s="96"/>
      <c r="M120" s="96"/>
      <c r="N120" s="96"/>
      <c r="O120" s="96"/>
      <c r="P120" s="96"/>
      <c r="Q120" s="96"/>
    </row>
    <row r="121" spans="1:17" ht="33.7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45-1-1</v>
      </c>
      <c r="B121" s="172"/>
      <c r="C121" s="147"/>
      <c r="D121" s="141"/>
      <c r="E121" s="141" t="s">
        <v>205</v>
      </c>
      <c r="F121" s="127" t="s">
        <v>206</v>
      </c>
      <c r="G121" s="127"/>
      <c r="H121" s="127"/>
      <c r="I121" s="127"/>
      <c r="J121" s="96" t="s">
        <v>641</v>
      </c>
      <c r="K121" s="96"/>
      <c r="L121" s="96"/>
      <c r="M121" s="96"/>
      <c r="N121" s="96"/>
      <c r="O121" s="96"/>
      <c r="P121" s="96"/>
      <c r="Q121" s="96"/>
    </row>
    <row r="122" spans="1:17" ht="33.7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45-2-1</v>
      </c>
      <c r="B122" s="172"/>
      <c r="C122" s="147"/>
      <c r="D122" s="141"/>
      <c r="E122" s="141"/>
      <c r="F122" s="127" t="s">
        <v>207</v>
      </c>
      <c r="G122" s="127"/>
      <c r="H122" s="127"/>
      <c r="I122" s="127"/>
      <c r="J122" s="96" t="s">
        <v>641</v>
      </c>
      <c r="K122" s="96"/>
      <c r="L122" s="96"/>
      <c r="M122" s="96"/>
      <c r="N122" s="96"/>
      <c r="O122" s="96"/>
      <c r="P122" s="96"/>
      <c r="Q122" s="96"/>
    </row>
    <row r="123" spans="1:17" ht="4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45-3-1</v>
      </c>
      <c r="B123" s="172"/>
      <c r="C123" s="147"/>
      <c r="D123" s="141"/>
      <c r="E123" s="141"/>
      <c r="F123" s="127" t="s">
        <v>208</v>
      </c>
      <c r="G123" s="127" t="s">
        <v>599</v>
      </c>
      <c r="H123" s="127"/>
      <c r="I123" s="127"/>
      <c r="J123" s="96"/>
      <c r="K123" s="96"/>
      <c r="L123" s="96"/>
      <c r="M123" s="96"/>
      <c r="N123" s="96"/>
      <c r="O123" s="96"/>
      <c r="P123" s="96"/>
      <c r="Q123" s="96"/>
    </row>
    <row r="124" spans="1:17" ht="4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45-4-1</v>
      </c>
      <c r="B124" s="172"/>
      <c r="C124" s="147"/>
      <c r="D124" s="141"/>
      <c r="E124" s="141"/>
      <c r="F124" s="127" t="s">
        <v>209</v>
      </c>
      <c r="G124" s="127" t="s">
        <v>599</v>
      </c>
      <c r="H124" s="127"/>
      <c r="I124" s="127"/>
      <c r="J124" s="96"/>
      <c r="K124" s="96"/>
      <c r="L124" s="96"/>
      <c r="M124" s="96"/>
      <c r="N124" s="96"/>
      <c r="O124" s="96"/>
      <c r="P124" s="96"/>
      <c r="Q124" s="96"/>
    </row>
    <row r="125" spans="1:17" ht="33.7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45-5-1</v>
      </c>
      <c r="B125" s="172"/>
      <c r="C125" s="147"/>
      <c r="D125" s="141"/>
      <c r="E125" s="146"/>
      <c r="F125" s="127" t="s">
        <v>210</v>
      </c>
      <c r="G125" s="127" t="s">
        <v>599</v>
      </c>
      <c r="H125" s="127"/>
      <c r="I125" s="127"/>
      <c r="J125" s="96"/>
      <c r="K125" s="96"/>
      <c r="L125" s="96"/>
      <c r="M125" s="96"/>
      <c r="N125" s="96"/>
      <c r="O125" s="96"/>
      <c r="P125" s="96"/>
      <c r="Q125" s="96"/>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46-1-1</v>
      </c>
      <c r="B126" s="172"/>
      <c r="C126" s="147"/>
      <c r="D126" s="146"/>
      <c r="E126" s="146" t="s">
        <v>211</v>
      </c>
      <c r="F126" s="127" t="s">
        <v>212</v>
      </c>
      <c r="G126" s="127"/>
      <c r="H126" s="127"/>
      <c r="I126" s="127"/>
      <c r="J126" s="96" t="s">
        <v>641</v>
      </c>
      <c r="K126" s="96"/>
      <c r="L126" s="96"/>
      <c r="M126" s="96"/>
      <c r="N126" s="96"/>
      <c r="O126" s="96"/>
      <c r="P126" s="96"/>
      <c r="Q126" s="96"/>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47-1-1</v>
      </c>
      <c r="B127" s="172"/>
      <c r="C127" s="145"/>
      <c r="D127" s="146" t="s">
        <v>159</v>
      </c>
      <c r="E127" s="146" t="s">
        <v>54</v>
      </c>
      <c r="F127" s="127" t="s">
        <v>213</v>
      </c>
      <c r="G127" s="127"/>
      <c r="H127" s="127"/>
      <c r="I127" s="127"/>
      <c r="J127" s="96" t="s">
        <v>641</v>
      </c>
      <c r="K127" s="96"/>
      <c r="L127" s="96"/>
      <c r="M127" s="96"/>
      <c r="N127" s="96"/>
      <c r="O127" s="96"/>
      <c r="P127" s="96"/>
      <c r="Q127" s="96"/>
    </row>
    <row r="128" spans="1:17" ht="33.7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48-1-1</v>
      </c>
      <c r="B128" s="172"/>
      <c r="C128" s="141" t="s">
        <v>46</v>
      </c>
      <c r="D128" s="141" t="s">
        <v>214</v>
      </c>
      <c r="E128" s="127" t="s">
        <v>215</v>
      </c>
      <c r="F128" s="127" t="s">
        <v>216</v>
      </c>
      <c r="G128" s="127" t="s">
        <v>599</v>
      </c>
      <c r="H128" s="127"/>
      <c r="I128" s="127"/>
      <c r="J128" s="96"/>
      <c r="K128" s="96"/>
      <c r="L128" s="96"/>
      <c r="M128" s="96"/>
      <c r="N128" s="96"/>
      <c r="O128" s="96"/>
      <c r="P128" s="96"/>
      <c r="Q128" s="96"/>
    </row>
    <row r="129" spans="1:17" ht="22.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49-1-1</v>
      </c>
      <c r="B129" s="172"/>
      <c r="C129" s="141"/>
      <c r="D129" s="141"/>
      <c r="E129" s="141" t="s">
        <v>217</v>
      </c>
      <c r="F129" s="127" t="s">
        <v>218</v>
      </c>
      <c r="G129" s="127"/>
      <c r="H129" s="127"/>
      <c r="I129" s="127"/>
      <c r="J129" s="96" t="s">
        <v>641</v>
      </c>
      <c r="K129" s="96"/>
      <c r="L129" s="96"/>
      <c r="M129" s="96"/>
      <c r="N129" s="96"/>
      <c r="O129" s="96"/>
      <c r="P129" s="96"/>
      <c r="Q129" s="96"/>
    </row>
    <row r="130" spans="1:17" ht="22.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49-2-1</v>
      </c>
      <c r="B130" s="172"/>
      <c r="C130" s="141"/>
      <c r="D130" s="141"/>
      <c r="E130" s="141"/>
      <c r="F130" s="127" t="s">
        <v>219</v>
      </c>
      <c r="G130" s="127"/>
      <c r="H130" s="127"/>
      <c r="I130" s="127"/>
      <c r="J130" s="96" t="s">
        <v>641</v>
      </c>
      <c r="K130" s="96"/>
      <c r="L130" s="96"/>
      <c r="M130" s="96"/>
      <c r="N130" s="96"/>
      <c r="O130" s="96"/>
      <c r="P130" s="96"/>
      <c r="Q130" s="96"/>
    </row>
    <row r="131" spans="1:17" ht="4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49-3-1</v>
      </c>
      <c r="B131" s="173"/>
      <c r="C131" s="146"/>
      <c r="D131" s="146"/>
      <c r="E131" s="146"/>
      <c r="F131" s="127" t="s">
        <v>220</v>
      </c>
      <c r="G131" s="127"/>
      <c r="H131" s="127"/>
      <c r="I131" s="127"/>
      <c r="J131" s="96" t="s">
        <v>641</v>
      </c>
      <c r="K131" s="96"/>
      <c r="L131" s="96"/>
      <c r="M131" s="96"/>
      <c r="N131" s="96"/>
      <c r="O131" s="96"/>
      <c r="P131" s="96"/>
      <c r="Q131" s="96"/>
    </row>
    <row r="132" spans="1:17" ht="22.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50-1-1</v>
      </c>
      <c r="B132" s="171" t="s">
        <v>221</v>
      </c>
      <c r="C132" s="140" t="s">
        <v>194</v>
      </c>
      <c r="D132" s="140" t="s">
        <v>54</v>
      </c>
      <c r="E132" s="171" t="s">
        <v>54</v>
      </c>
      <c r="F132" s="127" t="s">
        <v>222</v>
      </c>
      <c r="G132" s="127" t="s">
        <v>600</v>
      </c>
      <c r="H132" s="127"/>
      <c r="I132" s="127"/>
      <c r="J132" s="96"/>
      <c r="K132" s="96"/>
      <c r="L132" s="96"/>
      <c r="M132" s="96"/>
      <c r="N132" s="96"/>
      <c r="O132" s="96"/>
      <c r="P132" s="96"/>
      <c r="Q132" s="96"/>
    </row>
    <row r="133" spans="1:17" ht="22.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50-2-1</v>
      </c>
      <c r="B133" s="332" t="s">
        <v>223</v>
      </c>
      <c r="C133" s="147"/>
      <c r="D133" s="141"/>
      <c r="E133" s="141"/>
      <c r="F133" s="127" t="s">
        <v>224</v>
      </c>
      <c r="G133" s="127" t="s">
        <v>600</v>
      </c>
      <c r="H133" s="127"/>
      <c r="I133" s="127"/>
      <c r="J133" s="96"/>
      <c r="K133" s="96"/>
      <c r="L133" s="96"/>
      <c r="M133" s="96"/>
      <c r="N133" s="96"/>
      <c r="O133" s="96"/>
      <c r="P133" s="96"/>
      <c r="Q133" s="96"/>
    </row>
    <row r="134" spans="1:17" ht="22.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50-3-1</v>
      </c>
      <c r="B134" s="332"/>
      <c r="C134" s="147"/>
      <c r="D134" s="141"/>
      <c r="E134" s="141"/>
      <c r="F134" s="127" t="s">
        <v>225</v>
      </c>
      <c r="G134" s="127" t="s">
        <v>600</v>
      </c>
      <c r="H134" s="127"/>
      <c r="I134" s="127"/>
      <c r="J134" s="96"/>
      <c r="K134" s="96"/>
      <c r="L134" s="96"/>
      <c r="M134" s="96"/>
      <c r="N134" s="96"/>
      <c r="O134" s="96"/>
      <c r="P134" s="96"/>
      <c r="Q134" s="96"/>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50-4-1</v>
      </c>
      <c r="B135" s="172"/>
      <c r="C135" s="147"/>
      <c r="D135" s="141"/>
      <c r="E135" s="146"/>
      <c r="F135" s="127" t="s">
        <v>226</v>
      </c>
      <c r="G135" s="127" t="s">
        <v>600</v>
      </c>
      <c r="H135" s="127"/>
      <c r="I135" s="127"/>
      <c r="J135" s="96"/>
      <c r="K135" s="96"/>
      <c r="L135" s="96"/>
      <c r="M135" s="96"/>
      <c r="N135" s="96"/>
      <c r="O135" s="96"/>
      <c r="P135" s="96"/>
      <c r="Q135" s="96"/>
    </row>
    <row r="136" spans="1:17" ht="22.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51-1-1</v>
      </c>
      <c r="B136" s="172"/>
      <c r="C136" s="147"/>
      <c r="D136" s="141"/>
      <c r="E136" s="141" t="s">
        <v>227</v>
      </c>
      <c r="F136" s="127" t="s">
        <v>228</v>
      </c>
      <c r="G136" s="127" t="s">
        <v>601</v>
      </c>
      <c r="H136" s="127"/>
      <c r="I136" s="127"/>
      <c r="J136" s="96"/>
      <c r="K136" s="96"/>
      <c r="L136" s="96"/>
      <c r="M136" s="96"/>
      <c r="N136" s="96"/>
      <c r="O136" s="96"/>
      <c r="P136" s="96"/>
      <c r="Q136" s="96"/>
    </row>
    <row r="137" spans="1:17" ht="33.7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51-2-1</v>
      </c>
      <c r="B137" s="172"/>
      <c r="C137" s="147"/>
      <c r="D137" s="146"/>
      <c r="E137" s="146"/>
      <c r="F137" s="127" t="s">
        <v>229</v>
      </c>
      <c r="G137" s="127" t="s">
        <v>601</v>
      </c>
      <c r="H137" s="127"/>
      <c r="I137" s="127"/>
      <c r="J137" s="96"/>
      <c r="K137" s="96"/>
      <c r="L137" s="96"/>
      <c r="M137" s="96"/>
      <c r="N137" s="96"/>
      <c r="O137" s="96"/>
      <c r="P137" s="96"/>
      <c r="Q137" s="96"/>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52-1-1</v>
      </c>
      <c r="B138" s="172"/>
      <c r="C138" s="145"/>
      <c r="D138" s="146" t="s">
        <v>159</v>
      </c>
      <c r="E138" s="146" t="s">
        <v>54</v>
      </c>
      <c r="F138" s="127" t="s">
        <v>230</v>
      </c>
      <c r="G138" s="127"/>
      <c r="H138" s="127"/>
      <c r="I138" s="127"/>
      <c r="J138" s="96" t="s">
        <v>642</v>
      </c>
      <c r="K138" s="96"/>
      <c r="L138" s="96"/>
      <c r="M138" s="96"/>
      <c r="N138" s="96"/>
      <c r="O138" s="96"/>
      <c r="P138" s="96"/>
      <c r="Q138" s="96"/>
    </row>
    <row r="139" spans="1:17" ht="33.7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53-1-1</v>
      </c>
      <c r="B139" s="172"/>
      <c r="C139" s="147" t="s">
        <v>231</v>
      </c>
      <c r="D139" s="141" t="s">
        <v>214</v>
      </c>
      <c r="E139" s="127" t="s">
        <v>232</v>
      </c>
      <c r="F139" s="127" t="s">
        <v>233</v>
      </c>
      <c r="G139" s="127"/>
      <c r="H139" s="127"/>
      <c r="I139" s="127"/>
      <c r="J139" s="96" t="s">
        <v>642</v>
      </c>
      <c r="K139" s="96"/>
      <c r="L139" s="96"/>
      <c r="M139" s="96"/>
      <c r="N139" s="96"/>
      <c r="O139" s="96"/>
      <c r="P139" s="96"/>
      <c r="Q139" s="96"/>
    </row>
    <row r="140" spans="1:17" ht="33.7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54-1-1</v>
      </c>
      <c r="B140" s="172"/>
      <c r="C140" s="147"/>
      <c r="D140" s="141"/>
      <c r="E140" s="127" t="s">
        <v>234</v>
      </c>
      <c r="F140" s="127" t="s">
        <v>235</v>
      </c>
      <c r="G140" s="127"/>
      <c r="H140" s="127"/>
      <c r="I140" s="127"/>
      <c r="J140" s="96" t="s">
        <v>642</v>
      </c>
      <c r="K140" s="96"/>
      <c r="L140" s="96"/>
      <c r="M140" s="96"/>
      <c r="N140" s="96"/>
      <c r="O140" s="96"/>
      <c r="P140" s="96"/>
      <c r="Q140" s="96"/>
    </row>
    <row r="141" spans="1:17" ht="33.7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55-1-1</v>
      </c>
      <c r="B141" s="172"/>
      <c r="C141" s="147"/>
      <c r="D141" s="141"/>
      <c r="E141" s="127" t="s">
        <v>236</v>
      </c>
      <c r="F141" s="127" t="s">
        <v>237</v>
      </c>
      <c r="G141" s="127"/>
      <c r="H141" s="127"/>
      <c r="I141" s="127"/>
      <c r="J141" s="96" t="s">
        <v>642</v>
      </c>
      <c r="K141" s="96"/>
      <c r="L141" s="96"/>
      <c r="M141" s="96"/>
      <c r="N141" s="96"/>
      <c r="O141" s="96"/>
      <c r="P141" s="96"/>
      <c r="Q141" s="96"/>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56-1-1</v>
      </c>
      <c r="B142" s="172"/>
      <c r="C142" s="147"/>
      <c r="D142" s="141"/>
      <c r="E142" s="127" t="s">
        <v>215</v>
      </c>
      <c r="F142" s="127" t="s">
        <v>238</v>
      </c>
      <c r="G142" s="127" t="s">
        <v>602</v>
      </c>
      <c r="H142" s="127"/>
      <c r="I142" s="127"/>
      <c r="J142" s="96"/>
      <c r="K142" s="96"/>
      <c r="L142" s="96"/>
      <c r="M142" s="96"/>
      <c r="N142" s="96"/>
      <c r="O142" s="96"/>
      <c r="P142" s="96"/>
      <c r="Q142" s="96"/>
    </row>
    <row r="143" spans="1:17" ht="33.7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57-1-1</v>
      </c>
      <c r="B143" s="172"/>
      <c r="C143" s="147"/>
      <c r="D143" s="141"/>
      <c r="E143" s="127" t="s">
        <v>239</v>
      </c>
      <c r="F143" s="127" t="s">
        <v>240</v>
      </c>
      <c r="G143" s="127"/>
      <c r="H143" s="127"/>
      <c r="I143" s="127"/>
      <c r="J143" s="96" t="s">
        <v>642</v>
      </c>
      <c r="K143" s="96"/>
      <c r="L143" s="96"/>
      <c r="M143" s="96"/>
      <c r="N143" s="96"/>
      <c r="O143" s="96"/>
      <c r="P143" s="96"/>
      <c r="Q143" s="96"/>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58-1-1</v>
      </c>
      <c r="B144" s="172"/>
      <c r="C144" s="147"/>
      <c r="D144" s="141"/>
      <c r="E144" s="172" t="s">
        <v>241</v>
      </c>
      <c r="F144" s="127" t="s">
        <v>242</v>
      </c>
      <c r="G144" s="127" t="s">
        <v>603</v>
      </c>
      <c r="H144" s="127"/>
      <c r="I144" s="127"/>
      <c r="J144" s="96"/>
      <c r="K144" s="96"/>
      <c r="L144" s="96"/>
      <c r="M144" s="96"/>
      <c r="N144" s="96"/>
      <c r="O144" s="96"/>
      <c r="P144" s="96"/>
      <c r="Q144" s="96"/>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58-2-1</v>
      </c>
      <c r="B145" s="172"/>
      <c r="C145" s="147"/>
      <c r="D145" s="141"/>
      <c r="E145" s="172"/>
      <c r="F145" s="127" t="s">
        <v>243</v>
      </c>
      <c r="G145" s="127" t="s">
        <v>603</v>
      </c>
      <c r="H145" s="127"/>
      <c r="I145" s="127"/>
      <c r="J145" s="96"/>
      <c r="K145" s="96"/>
      <c r="L145" s="96"/>
      <c r="M145" s="96"/>
      <c r="N145" s="96"/>
      <c r="O145" s="96"/>
      <c r="P145" s="96"/>
      <c r="Q145" s="96"/>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58-3-1</v>
      </c>
      <c r="B146" s="172"/>
      <c r="C146" s="147"/>
      <c r="D146" s="141"/>
      <c r="E146" s="172"/>
      <c r="F146" s="127" t="s">
        <v>244</v>
      </c>
      <c r="G146" s="127" t="s">
        <v>603</v>
      </c>
      <c r="H146" s="127"/>
      <c r="I146" s="127"/>
      <c r="J146" s="96"/>
      <c r="K146" s="96"/>
      <c r="L146" s="96"/>
      <c r="M146" s="96"/>
      <c r="N146" s="96"/>
      <c r="O146" s="96"/>
      <c r="P146" s="96"/>
      <c r="Q146" s="96"/>
    </row>
    <row r="147" spans="1:17" ht="22.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58-4-1</v>
      </c>
      <c r="B147" s="172"/>
      <c r="C147" s="147"/>
      <c r="D147" s="141"/>
      <c r="E147" s="172"/>
      <c r="F147" s="127" t="s">
        <v>245</v>
      </c>
      <c r="G147" s="127" t="s">
        <v>603</v>
      </c>
      <c r="H147" s="127"/>
      <c r="I147" s="127"/>
      <c r="J147" s="96"/>
      <c r="K147" s="96"/>
      <c r="L147" s="96"/>
      <c r="M147" s="96"/>
      <c r="N147" s="96"/>
      <c r="O147" s="96"/>
      <c r="P147" s="96"/>
      <c r="Q147" s="96"/>
    </row>
    <row r="148" spans="1:17" ht="22.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58-5-1</v>
      </c>
      <c r="B148" s="172"/>
      <c r="C148" s="147"/>
      <c r="D148" s="141"/>
      <c r="E148" s="172"/>
      <c r="F148" s="127" t="s">
        <v>246</v>
      </c>
      <c r="G148" s="127" t="s">
        <v>603</v>
      </c>
      <c r="H148" s="127"/>
      <c r="I148" s="127"/>
      <c r="J148" s="96"/>
      <c r="K148" s="96"/>
      <c r="L148" s="96"/>
      <c r="M148" s="96"/>
      <c r="N148" s="96"/>
      <c r="O148" s="96"/>
      <c r="P148" s="96"/>
      <c r="Q148" s="96"/>
    </row>
    <row r="149" spans="1:17" ht="22.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58-6-1</v>
      </c>
      <c r="B149" s="172"/>
      <c r="C149" s="147"/>
      <c r="D149" s="146"/>
      <c r="E149" s="173"/>
      <c r="F149" s="127" t="s">
        <v>247</v>
      </c>
      <c r="G149" s="127" t="s">
        <v>603</v>
      </c>
      <c r="H149" s="127"/>
      <c r="I149" s="127"/>
      <c r="J149" s="96"/>
      <c r="K149" s="96"/>
      <c r="L149" s="96"/>
      <c r="M149" s="96"/>
      <c r="N149" s="96"/>
      <c r="O149" s="96"/>
      <c r="P149" s="96"/>
      <c r="Q149" s="96"/>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59-1-1</v>
      </c>
      <c r="B150" s="172"/>
      <c r="C150" s="147"/>
      <c r="D150" s="141" t="s">
        <v>248</v>
      </c>
      <c r="E150" s="172" t="s">
        <v>54</v>
      </c>
      <c r="F150" s="127" t="s">
        <v>249</v>
      </c>
      <c r="G150" s="127"/>
      <c r="H150" s="127"/>
      <c r="I150" s="127"/>
      <c r="J150" s="96" t="s">
        <v>642</v>
      </c>
      <c r="K150" s="96"/>
      <c r="L150" s="96"/>
      <c r="M150" s="96"/>
      <c r="N150" s="96"/>
      <c r="O150" s="96"/>
      <c r="P150" s="96"/>
      <c r="Q150" s="96"/>
    </row>
    <row r="151" spans="1:17" ht="22.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59-2-1</v>
      </c>
      <c r="B151" s="172"/>
      <c r="C151" s="147"/>
      <c r="D151" s="141"/>
      <c r="E151" s="146"/>
      <c r="F151" s="127" t="s">
        <v>250</v>
      </c>
      <c r="G151" s="127"/>
      <c r="H151" s="127"/>
      <c r="I151" s="127"/>
      <c r="J151" s="96" t="s">
        <v>642</v>
      </c>
      <c r="K151" s="96"/>
      <c r="L151" s="96"/>
      <c r="M151" s="96"/>
      <c r="N151" s="96"/>
      <c r="O151" s="96"/>
      <c r="P151" s="96"/>
      <c r="Q151" s="96"/>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60-1-1</v>
      </c>
      <c r="B152" s="172"/>
      <c r="C152" s="147"/>
      <c r="D152" s="141"/>
      <c r="E152" s="141" t="s">
        <v>127</v>
      </c>
      <c r="F152" s="127" t="s">
        <v>251</v>
      </c>
      <c r="G152" s="127"/>
      <c r="H152" s="127"/>
      <c r="I152" s="127"/>
      <c r="J152" s="96" t="s">
        <v>642</v>
      </c>
      <c r="K152" s="96"/>
      <c r="L152" s="96"/>
      <c r="M152" s="96"/>
      <c r="N152" s="96"/>
      <c r="O152" s="96"/>
      <c r="P152" s="96"/>
      <c r="Q152" s="96"/>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60-2-1</v>
      </c>
      <c r="B153" s="172"/>
      <c r="C153" s="147"/>
      <c r="D153" s="141"/>
      <c r="E153" s="172"/>
      <c r="F153" s="127" t="s">
        <v>252</v>
      </c>
      <c r="G153" s="127"/>
      <c r="H153" s="127"/>
      <c r="I153" s="127"/>
      <c r="J153" s="96" t="s">
        <v>642</v>
      </c>
      <c r="K153" s="96"/>
      <c r="L153" s="96"/>
      <c r="M153" s="96"/>
      <c r="N153" s="96"/>
      <c r="O153" s="96"/>
      <c r="P153" s="96"/>
      <c r="Q153" s="96"/>
    </row>
    <row r="154" spans="1:17" ht="33.7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60-3-1</v>
      </c>
      <c r="B154" s="172"/>
      <c r="C154" s="147"/>
      <c r="D154" s="141"/>
      <c r="E154" s="172"/>
      <c r="F154" s="127" t="s">
        <v>253</v>
      </c>
      <c r="G154" s="127"/>
      <c r="H154" s="127"/>
      <c r="I154" s="127"/>
      <c r="J154" s="96" t="s">
        <v>642</v>
      </c>
      <c r="K154" s="96"/>
      <c r="L154" s="96"/>
      <c r="M154" s="96"/>
      <c r="N154" s="96"/>
      <c r="O154" s="96"/>
      <c r="P154" s="96"/>
      <c r="Q154" s="96"/>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60-4-1</v>
      </c>
      <c r="B155" s="172"/>
      <c r="C155" s="147"/>
      <c r="D155" s="141"/>
      <c r="E155" s="172"/>
      <c r="F155" s="127" t="s">
        <v>254</v>
      </c>
      <c r="G155" s="127"/>
      <c r="H155" s="127"/>
      <c r="I155" s="127"/>
      <c r="J155" s="96" t="s">
        <v>642</v>
      </c>
      <c r="K155" s="96"/>
      <c r="L155" s="96"/>
      <c r="M155" s="96"/>
      <c r="N155" s="96"/>
      <c r="O155" s="96"/>
      <c r="P155" s="96"/>
      <c r="Q155" s="96"/>
    </row>
    <row r="156" spans="1:17" ht="33.7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60-5-1</v>
      </c>
      <c r="B156" s="172"/>
      <c r="C156" s="147"/>
      <c r="D156" s="141"/>
      <c r="E156" s="172"/>
      <c r="F156" s="127" t="s">
        <v>255</v>
      </c>
      <c r="G156" s="127"/>
      <c r="H156" s="127"/>
      <c r="I156" s="127"/>
      <c r="J156" s="96" t="s">
        <v>642</v>
      </c>
      <c r="K156" s="96"/>
      <c r="L156" s="96"/>
      <c r="M156" s="96"/>
      <c r="N156" s="96"/>
      <c r="O156" s="96"/>
      <c r="P156" s="96"/>
      <c r="Q156" s="96"/>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60-6-1</v>
      </c>
      <c r="B157" s="172"/>
      <c r="C157" s="147"/>
      <c r="D157" s="141"/>
      <c r="E157" s="172"/>
      <c r="F157" s="127" t="s">
        <v>256</v>
      </c>
      <c r="G157" s="127"/>
      <c r="H157" s="127"/>
      <c r="I157" s="127"/>
      <c r="J157" s="96" t="s">
        <v>642</v>
      </c>
      <c r="K157" s="96"/>
      <c r="L157" s="96"/>
      <c r="M157" s="96"/>
      <c r="N157" s="96"/>
      <c r="O157" s="96"/>
      <c r="P157" s="96"/>
      <c r="Q157" s="96"/>
    </row>
    <row r="158" spans="1:17" ht="22.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60-7-1</v>
      </c>
      <c r="B158" s="172"/>
      <c r="C158" s="147"/>
      <c r="D158" s="141"/>
      <c r="E158" s="172"/>
      <c r="F158" s="127" t="s">
        <v>257</v>
      </c>
      <c r="G158" s="127"/>
      <c r="H158" s="127"/>
      <c r="I158" s="127"/>
      <c r="J158" s="96" t="s">
        <v>642</v>
      </c>
      <c r="K158" s="96"/>
      <c r="L158" s="96"/>
      <c r="M158" s="96"/>
      <c r="N158" s="96"/>
      <c r="O158" s="96"/>
      <c r="P158" s="96"/>
      <c r="Q158" s="96"/>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60-8-1</v>
      </c>
      <c r="B159" s="172"/>
      <c r="C159" s="147"/>
      <c r="D159" s="141"/>
      <c r="E159" s="172"/>
      <c r="F159" s="127" t="s">
        <v>258</v>
      </c>
      <c r="G159" s="127"/>
      <c r="H159" s="127"/>
      <c r="I159" s="127"/>
      <c r="J159" s="96" t="s">
        <v>642</v>
      </c>
      <c r="K159" s="96"/>
      <c r="L159" s="96"/>
      <c r="M159" s="96"/>
      <c r="N159" s="96"/>
      <c r="O159" s="96"/>
      <c r="P159" s="96"/>
      <c r="Q159" s="96"/>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60-9-1</v>
      </c>
      <c r="B160" s="172"/>
      <c r="C160" s="147"/>
      <c r="D160" s="141"/>
      <c r="E160" s="172"/>
      <c r="F160" s="127" t="s">
        <v>259</v>
      </c>
      <c r="G160" s="127"/>
      <c r="H160" s="127"/>
      <c r="I160" s="127"/>
      <c r="J160" s="96" t="s">
        <v>642</v>
      </c>
      <c r="K160" s="96"/>
      <c r="L160" s="96"/>
      <c r="M160" s="96"/>
      <c r="N160" s="96"/>
      <c r="O160" s="96"/>
      <c r="P160" s="96"/>
      <c r="Q160" s="96"/>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60-10-1</v>
      </c>
      <c r="B161" s="172"/>
      <c r="C161" s="147"/>
      <c r="D161" s="141"/>
      <c r="E161" s="172"/>
      <c r="F161" s="127" t="s">
        <v>260</v>
      </c>
      <c r="G161" s="127"/>
      <c r="H161" s="127"/>
      <c r="I161" s="127"/>
      <c r="J161" s="96" t="s">
        <v>642</v>
      </c>
      <c r="K161" s="96"/>
      <c r="L161" s="96"/>
      <c r="M161" s="96"/>
      <c r="N161" s="96"/>
      <c r="O161" s="96"/>
      <c r="P161" s="96"/>
      <c r="Q161" s="96"/>
    </row>
    <row r="162" spans="1:17" ht="33.75">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60-11-1</v>
      </c>
      <c r="B162" s="172"/>
      <c r="C162" s="147"/>
      <c r="D162" s="141"/>
      <c r="E162" s="146"/>
      <c r="F162" s="127" t="s">
        <v>261</v>
      </c>
      <c r="G162" s="127"/>
      <c r="H162" s="127"/>
      <c r="I162" s="127"/>
      <c r="J162" s="96" t="s">
        <v>642</v>
      </c>
      <c r="K162" s="96"/>
      <c r="L162" s="96"/>
      <c r="M162" s="96"/>
      <c r="N162" s="96"/>
      <c r="O162" s="96"/>
      <c r="P162" s="96"/>
      <c r="Q162" s="96"/>
    </row>
    <row r="163" spans="1:17">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61-1-1</v>
      </c>
      <c r="B163" s="172"/>
      <c r="C163" s="147"/>
      <c r="D163" s="141"/>
      <c r="E163" s="141" t="s">
        <v>61</v>
      </c>
      <c r="F163" s="127" t="s">
        <v>262</v>
      </c>
      <c r="G163" s="127"/>
      <c r="H163" s="127"/>
      <c r="I163" s="127"/>
      <c r="J163" s="96" t="s">
        <v>642</v>
      </c>
      <c r="K163" s="96"/>
      <c r="L163" s="96"/>
      <c r="M163" s="96"/>
      <c r="N163" s="96"/>
      <c r="O163" s="96"/>
      <c r="P163" s="96"/>
      <c r="Q163" s="96"/>
    </row>
    <row r="164" spans="1:17">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61-2-1</v>
      </c>
      <c r="B164" s="172"/>
      <c r="C164" s="147"/>
      <c r="D164" s="141"/>
      <c r="E164" s="141"/>
      <c r="F164" s="127" t="s">
        <v>263</v>
      </c>
      <c r="G164" s="127"/>
      <c r="H164" s="127"/>
      <c r="I164" s="127"/>
      <c r="J164" s="96" t="s">
        <v>642</v>
      </c>
      <c r="K164" s="96"/>
      <c r="L164" s="96"/>
      <c r="M164" s="96"/>
      <c r="N164" s="96"/>
      <c r="O164" s="96"/>
      <c r="P164" s="96"/>
      <c r="Q164" s="96"/>
    </row>
    <row r="165" spans="1:17" ht="22.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61-3-1</v>
      </c>
      <c r="B165" s="172"/>
      <c r="C165" s="147"/>
      <c r="D165" s="141"/>
      <c r="E165" s="141"/>
      <c r="F165" s="127" t="s">
        <v>264</v>
      </c>
      <c r="G165" s="127"/>
      <c r="H165" s="127"/>
      <c r="I165" s="127"/>
      <c r="J165" s="96" t="s">
        <v>642</v>
      </c>
      <c r="K165" s="96"/>
      <c r="L165" s="96"/>
      <c r="M165" s="96"/>
      <c r="N165" s="96"/>
      <c r="O165" s="96"/>
      <c r="P165" s="96"/>
      <c r="Q165" s="96"/>
    </row>
    <row r="166" spans="1:17" ht="22.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61-4-1</v>
      </c>
      <c r="B166" s="172"/>
      <c r="C166" s="147"/>
      <c r="D166" s="141"/>
      <c r="E166" s="141"/>
      <c r="F166" s="127" t="s">
        <v>265</v>
      </c>
      <c r="G166" s="127"/>
      <c r="H166" s="127"/>
      <c r="I166" s="127"/>
      <c r="J166" s="96" t="s">
        <v>642</v>
      </c>
      <c r="K166" s="96"/>
      <c r="L166" s="96"/>
      <c r="M166" s="96"/>
      <c r="N166" s="96"/>
      <c r="O166" s="96"/>
      <c r="P166" s="96"/>
      <c r="Q166" s="96"/>
    </row>
    <row r="167" spans="1:17" ht="22.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61-5-1</v>
      </c>
      <c r="B167" s="172"/>
      <c r="C167" s="147"/>
      <c r="D167" s="141"/>
      <c r="E167" s="141"/>
      <c r="F167" s="127" t="s">
        <v>266</v>
      </c>
      <c r="G167" s="127"/>
      <c r="H167" s="127"/>
      <c r="I167" s="127"/>
      <c r="J167" s="96" t="s">
        <v>642</v>
      </c>
      <c r="K167" s="96"/>
      <c r="L167" s="96"/>
      <c r="M167" s="96"/>
      <c r="N167" s="96"/>
      <c r="O167" s="96"/>
      <c r="P167" s="96"/>
      <c r="Q167" s="96"/>
    </row>
    <row r="168" spans="1:17" ht="33.7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61-6-1</v>
      </c>
      <c r="B168" s="172"/>
      <c r="C168" s="147"/>
      <c r="D168" s="141"/>
      <c r="E168" s="141"/>
      <c r="F168" s="127" t="s">
        <v>267</v>
      </c>
      <c r="G168" s="127" t="s">
        <v>627</v>
      </c>
      <c r="H168" s="127"/>
      <c r="I168" s="127"/>
      <c r="J168" s="96"/>
      <c r="K168" s="96"/>
      <c r="L168" s="96"/>
      <c r="M168" s="96"/>
      <c r="N168" s="96"/>
      <c r="O168" s="96"/>
      <c r="P168" s="96"/>
      <c r="Q168" s="96"/>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61-7-1</v>
      </c>
      <c r="B169" s="141"/>
      <c r="C169" s="147"/>
      <c r="D169" s="141"/>
      <c r="E169" s="146"/>
      <c r="F169" s="127" t="s">
        <v>268</v>
      </c>
      <c r="G169" s="127" t="s">
        <v>603</v>
      </c>
      <c r="H169" s="127"/>
      <c r="I169" s="127"/>
      <c r="J169" s="96"/>
      <c r="K169" s="96"/>
      <c r="L169" s="96"/>
      <c r="M169" s="96"/>
      <c r="N169" s="96"/>
      <c r="O169" s="96"/>
      <c r="P169" s="96"/>
      <c r="Q169" s="96"/>
    </row>
    <row r="170" spans="1:17" ht="22.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62-1-1</v>
      </c>
      <c r="B170" s="141"/>
      <c r="C170" s="147"/>
      <c r="D170" s="141"/>
      <c r="E170" s="140" t="s">
        <v>205</v>
      </c>
      <c r="F170" s="127" t="s">
        <v>269</v>
      </c>
      <c r="G170" s="127"/>
      <c r="H170" s="127"/>
      <c r="I170" s="127"/>
      <c r="J170" s="96" t="s">
        <v>642</v>
      </c>
      <c r="K170" s="96"/>
      <c r="L170" s="96"/>
      <c r="M170" s="96"/>
      <c r="N170" s="96"/>
      <c r="O170" s="96"/>
      <c r="P170" s="96"/>
      <c r="Q170" s="96"/>
    </row>
    <row r="171" spans="1:17" ht="33.7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62-2-1</v>
      </c>
      <c r="B171" s="172"/>
      <c r="C171" s="147"/>
      <c r="D171" s="141"/>
      <c r="E171" s="141"/>
      <c r="F171" s="127" t="s">
        <v>270</v>
      </c>
      <c r="G171" s="127"/>
      <c r="H171" s="127"/>
      <c r="I171" s="127"/>
      <c r="J171" s="96" t="s">
        <v>642</v>
      </c>
      <c r="K171" s="96"/>
      <c r="L171" s="96"/>
      <c r="M171" s="96"/>
      <c r="N171" s="96"/>
      <c r="O171" s="96"/>
      <c r="P171" s="96"/>
      <c r="Q171" s="96"/>
    </row>
    <row r="172" spans="1:17" ht="33.7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62-3-1</v>
      </c>
      <c r="B172" s="172"/>
      <c r="C172" s="147"/>
      <c r="D172" s="141"/>
      <c r="E172" s="141"/>
      <c r="F172" s="127" t="s">
        <v>271</v>
      </c>
      <c r="G172" s="127"/>
      <c r="H172" s="127"/>
      <c r="I172" s="127"/>
      <c r="J172" s="96" t="s">
        <v>642</v>
      </c>
      <c r="K172" s="96"/>
      <c r="L172" s="96"/>
      <c r="M172" s="96"/>
      <c r="N172" s="96"/>
      <c r="O172" s="96"/>
      <c r="P172" s="96"/>
      <c r="Q172" s="96"/>
    </row>
    <row r="173" spans="1:17" ht="4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62-4-1</v>
      </c>
      <c r="B173" s="172"/>
      <c r="C173" s="147"/>
      <c r="D173" s="141"/>
      <c r="E173" s="141"/>
      <c r="F173" s="127" t="s">
        <v>272</v>
      </c>
      <c r="G173" s="127"/>
      <c r="H173" s="127"/>
      <c r="I173" s="127"/>
      <c r="J173" s="96" t="s">
        <v>642</v>
      </c>
      <c r="K173" s="96"/>
      <c r="L173" s="96"/>
      <c r="M173" s="96"/>
      <c r="N173" s="96"/>
      <c r="O173" s="96"/>
      <c r="P173" s="96"/>
      <c r="Q173" s="96"/>
    </row>
    <row r="174" spans="1:17" ht="4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62-5-1</v>
      </c>
      <c r="B174" s="172"/>
      <c r="C174" s="147"/>
      <c r="D174" s="141"/>
      <c r="E174" s="141"/>
      <c r="F174" s="127" t="s">
        <v>273</v>
      </c>
      <c r="G174" s="127"/>
      <c r="H174" s="127"/>
      <c r="I174" s="127"/>
      <c r="J174" s="96" t="s">
        <v>642</v>
      </c>
      <c r="K174" s="96"/>
      <c r="L174" s="96"/>
      <c r="M174" s="96"/>
      <c r="N174" s="96"/>
      <c r="O174" s="96"/>
      <c r="P174" s="96"/>
      <c r="Q174" s="96"/>
    </row>
    <row r="175" spans="1:17" ht="33.7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62-6-1</v>
      </c>
      <c r="B175" s="172"/>
      <c r="C175" s="147"/>
      <c r="D175" s="141"/>
      <c r="E175" s="141"/>
      <c r="F175" s="127" t="s">
        <v>274</v>
      </c>
      <c r="G175" s="127"/>
      <c r="H175" s="127"/>
      <c r="I175" s="127"/>
      <c r="J175" s="96" t="s">
        <v>642</v>
      </c>
      <c r="K175" s="96"/>
      <c r="L175" s="96"/>
      <c r="M175" s="96"/>
      <c r="N175" s="96"/>
      <c r="O175" s="96"/>
      <c r="P175" s="96"/>
      <c r="Q175" s="96"/>
    </row>
    <row r="176" spans="1:17" ht="4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62-7-1</v>
      </c>
      <c r="B176" s="172"/>
      <c r="C176" s="147"/>
      <c r="D176" s="141"/>
      <c r="E176" s="141"/>
      <c r="F176" s="127" t="s">
        <v>275</v>
      </c>
      <c r="G176" s="127" t="s">
        <v>602</v>
      </c>
      <c r="H176" s="127"/>
      <c r="I176" s="127"/>
      <c r="J176" s="96"/>
      <c r="K176" s="96"/>
      <c r="L176" s="96"/>
      <c r="M176" s="96"/>
      <c r="N176" s="96"/>
      <c r="O176" s="96"/>
      <c r="P176" s="96"/>
      <c r="Q176" s="96"/>
    </row>
    <row r="177" spans="1:17" ht="4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62-8-1</v>
      </c>
      <c r="B177" s="172"/>
      <c r="C177" s="147"/>
      <c r="D177" s="141"/>
      <c r="E177" s="141"/>
      <c r="F177" s="127" t="s">
        <v>276</v>
      </c>
      <c r="G177" s="127" t="s">
        <v>602</v>
      </c>
      <c r="H177" s="127"/>
      <c r="I177" s="127"/>
      <c r="J177" s="96"/>
      <c r="K177" s="96"/>
      <c r="L177" s="96"/>
      <c r="M177" s="96"/>
      <c r="N177" s="96"/>
      <c r="O177" s="96"/>
      <c r="P177" s="96"/>
      <c r="Q177" s="96"/>
    </row>
    <row r="178" spans="1:17" ht="22.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62-9-1</v>
      </c>
      <c r="B178" s="172"/>
      <c r="C178" s="147"/>
      <c r="D178" s="141"/>
      <c r="E178" s="146"/>
      <c r="F178" s="127" t="s">
        <v>277</v>
      </c>
      <c r="G178" s="127" t="s">
        <v>602</v>
      </c>
      <c r="H178" s="127"/>
      <c r="I178" s="127"/>
      <c r="J178" s="96"/>
      <c r="K178" s="96"/>
      <c r="L178" s="96"/>
      <c r="M178" s="96"/>
      <c r="N178" s="96"/>
      <c r="O178" s="96"/>
      <c r="P178" s="96"/>
      <c r="Q178" s="96"/>
    </row>
    <row r="179" spans="1:17" ht="33.7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63-1-1</v>
      </c>
      <c r="B179" s="172"/>
      <c r="C179" s="147"/>
      <c r="D179" s="141"/>
      <c r="E179" s="127" t="s">
        <v>239</v>
      </c>
      <c r="F179" s="127" t="s">
        <v>278</v>
      </c>
      <c r="G179" s="127"/>
      <c r="H179" s="127"/>
      <c r="I179" s="127"/>
      <c r="J179" s="96" t="s">
        <v>642</v>
      </c>
      <c r="K179" s="96"/>
      <c r="L179" s="96"/>
      <c r="M179" s="96"/>
      <c r="N179" s="96"/>
      <c r="O179" s="96"/>
      <c r="P179" s="96"/>
      <c r="Q179" s="96"/>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64-1-1</v>
      </c>
      <c r="B180" s="146"/>
      <c r="C180" s="145"/>
      <c r="D180" s="146"/>
      <c r="E180" s="145" t="s">
        <v>279</v>
      </c>
      <c r="F180" s="127" t="s">
        <v>280</v>
      </c>
      <c r="G180" s="127" t="s">
        <v>604</v>
      </c>
      <c r="H180" s="127"/>
      <c r="I180" s="127"/>
      <c r="J180" s="96"/>
      <c r="K180" s="96"/>
      <c r="L180" s="96"/>
      <c r="M180" s="96"/>
      <c r="N180" s="96"/>
      <c r="O180" s="96"/>
      <c r="P180" s="96"/>
      <c r="Q180" s="96"/>
    </row>
    <row r="181" spans="1:17" ht="22.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65-1-1</v>
      </c>
      <c r="B181" s="161" t="s">
        <v>281</v>
      </c>
      <c r="C181" s="161" t="s">
        <v>194</v>
      </c>
      <c r="D181" s="174" t="s">
        <v>282</v>
      </c>
      <c r="E181" s="144" t="s">
        <v>54</v>
      </c>
      <c r="F181" s="144" t="s">
        <v>283</v>
      </c>
      <c r="G181" s="144" t="s">
        <v>494</v>
      </c>
      <c r="H181" s="144"/>
      <c r="I181" s="144"/>
      <c r="J181" s="49"/>
      <c r="K181" s="49"/>
      <c r="L181" s="49"/>
      <c r="M181" s="49"/>
      <c r="N181" s="49"/>
      <c r="O181" s="49"/>
      <c r="P181" s="49"/>
      <c r="Q181" s="49"/>
    </row>
    <row r="182" spans="1:17" ht="22.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66-1-1</v>
      </c>
      <c r="B182" s="160"/>
      <c r="C182" s="168"/>
      <c r="D182" s="174" t="s">
        <v>284</v>
      </c>
      <c r="E182" s="144" t="s">
        <v>54</v>
      </c>
      <c r="F182" s="144" t="s">
        <v>285</v>
      </c>
      <c r="G182" s="144" t="s">
        <v>494</v>
      </c>
      <c r="H182" s="144"/>
      <c r="I182" s="144"/>
      <c r="J182" s="49"/>
      <c r="K182" s="49"/>
      <c r="L182" s="49"/>
      <c r="M182" s="49"/>
      <c r="N182" s="49"/>
      <c r="O182" s="49"/>
      <c r="P182" s="49"/>
      <c r="Q182" s="49"/>
    </row>
    <row r="183" spans="1:17" ht="22.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67-1-1</v>
      </c>
      <c r="B183" s="162"/>
      <c r="C183" s="175"/>
      <c r="D183" s="175" t="s">
        <v>286</v>
      </c>
      <c r="E183" s="175" t="s">
        <v>54</v>
      </c>
      <c r="F183" s="144" t="s">
        <v>287</v>
      </c>
      <c r="G183" s="144" t="s">
        <v>494</v>
      </c>
      <c r="H183" s="144"/>
      <c r="I183" s="144"/>
      <c r="J183" s="49"/>
      <c r="K183" s="49"/>
      <c r="L183" s="49"/>
      <c r="M183" s="49"/>
      <c r="N183" s="49"/>
      <c r="O183" s="49"/>
      <c r="P183" s="49"/>
      <c r="Q183" s="49"/>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68-1-1</v>
      </c>
      <c r="B184" s="161" t="s">
        <v>288</v>
      </c>
      <c r="C184" s="161" t="s">
        <v>194</v>
      </c>
      <c r="D184" s="161" t="s">
        <v>54</v>
      </c>
      <c r="E184" s="144" t="s">
        <v>289</v>
      </c>
      <c r="F184" s="144" t="s">
        <v>290</v>
      </c>
      <c r="G184" s="144" t="s">
        <v>562</v>
      </c>
      <c r="H184" s="144"/>
      <c r="I184" s="144"/>
      <c r="J184" s="49"/>
      <c r="K184" s="49"/>
      <c r="L184" s="49"/>
      <c r="M184" s="49"/>
      <c r="N184" s="49"/>
      <c r="O184" s="49"/>
      <c r="P184" s="49"/>
      <c r="Q184" s="49"/>
    </row>
    <row r="185" spans="1:17" ht="22.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69-1-1</v>
      </c>
      <c r="B185" s="156"/>
      <c r="C185" s="156"/>
      <c r="D185" s="160"/>
      <c r="E185" s="160" t="s">
        <v>61</v>
      </c>
      <c r="F185" s="144" t="s">
        <v>291</v>
      </c>
      <c r="G185" s="144" t="s">
        <v>562</v>
      </c>
      <c r="H185" s="144"/>
      <c r="I185" s="144"/>
      <c r="J185" s="49"/>
      <c r="K185" s="49"/>
      <c r="L185" s="49"/>
      <c r="M185" s="49"/>
      <c r="N185" s="49"/>
      <c r="O185" s="49"/>
      <c r="P185" s="49"/>
      <c r="Q185" s="49"/>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69-2-1</v>
      </c>
      <c r="B186" s="156"/>
      <c r="C186" s="176"/>
      <c r="D186" s="160"/>
      <c r="E186" s="162"/>
      <c r="F186" s="144" t="s">
        <v>292</v>
      </c>
      <c r="G186" s="144" t="s">
        <v>562</v>
      </c>
      <c r="H186" s="144"/>
      <c r="I186" s="144"/>
      <c r="J186" s="49"/>
      <c r="K186" s="49"/>
      <c r="L186" s="49"/>
      <c r="M186" s="49"/>
      <c r="N186" s="49"/>
      <c r="O186" s="49"/>
      <c r="P186" s="49"/>
      <c r="Q186" s="49"/>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70-1-1</v>
      </c>
      <c r="B187" s="156"/>
      <c r="C187" s="168"/>
      <c r="D187" s="160"/>
      <c r="E187" s="160" t="s">
        <v>293</v>
      </c>
      <c r="F187" s="144" t="s">
        <v>294</v>
      </c>
      <c r="G187" s="144" t="s">
        <v>562</v>
      </c>
      <c r="H187" s="144"/>
      <c r="I187" s="144"/>
      <c r="J187" s="49"/>
      <c r="K187" s="49"/>
      <c r="L187" s="49"/>
      <c r="M187" s="49"/>
      <c r="N187" s="49"/>
      <c r="O187" s="49"/>
      <c r="P187" s="49"/>
      <c r="Q187" s="49"/>
    </row>
    <row r="188" spans="1:17" ht="22.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70-2-1</v>
      </c>
      <c r="B188" s="156"/>
      <c r="C188" s="168"/>
      <c r="D188" s="177"/>
      <c r="E188" s="162"/>
      <c r="F188" s="144" t="s">
        <v>295</v>
      </c>
      <c r="G188" s="144" t="s">
        <v>562</v>
      </c>
      <c r="H188" s="144"/>
      <c r="I188" s="144"/>
      <c r="J188" s="49"/>
      <c r="K188" s="49"/>
      <c r="L188" s="49"/>
      <c r="M188" s="49"/>
      <c r="N188" s="49"/>
      <c r="O188" s="49"/>
      <c r="P188" s="49"/>
      <c r="Q188" s="49"/>
    </row>
    <row r="189" spans="1:17" ht="33.7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71-1-1</v>
      </c>
      <c r="B189" s="156"/>
      <c r="C189" s="175"/>
      <c r="D189" s="162" t="s">
        <v>159</v>
      </c>
      <c r="E189" s="162" t="s">
        <v>54</v>
      </c>
      <c r="F189" s="144" t="s">
        <v>296</v>
      </c>
      <c r="G189" s="144" t="s">
        <v>562</v>
      </c>
      <c r="H189" s="144"/>
      <c r="I189" s="144"/>
      <c r="J189" s="49"/>
      <c r="K189" s="49"/>
      <c r="L189" s="49"/>
      <c r="M189" s="49"/>
      <c r="N189" s="49"/>
      <c r="O189" s="49"/>
      <c r="P189" s="49"/>
      <c r="Q189" s="49"/>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72-1-1</v>
      </c>
      <c r="B190" s="156"/>
      <c r="C190" s="168" t="s">
        <v>297</v>
      </c>
      <c r="D190" s="160" t="s">
        <v>298</v>
      </c>
      <c r="E190" s="160" t="s">
        <v>299</v>
      </c>
      <c r="F190" s="144" t="s">
        <v>300</v>
      </c>
      <c r="G190" s="144" t="s">
        <v>562</v>
      </c>
      <c r="H190" s="144"/>
      <c r="I190" s="144"/>
      <c r="J190" s="49"/>
      <c r="K190" s="49"/>
      <c r="L190" s="49"/>
      <c r="M190" s="49"/>
      <c r="N190" s="49"/>
      <c r="O190" s="49"/>
      <c r="P190" s="49"/>
      <c r="Q190" s="49"/>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72-2-1</v>
      </c>
      <c r="B191" s="156"/>
      <c r="C191" s="176"/>
      <c r="D191" s="160"/>
      <c r="E191" s="160"/>
      <c r="F191" s="144" t="s">
        <v>301</v>
      </c>
      <c r="G191" s="144" t="s">
        <v>562</v>
      </c>
      <c r="H191" s="144"/>
      <c r="I191" s="144"/>
      <c r="J191" s="49"/>
      <c r="K191" s="49"/>
      <c r="L191" s="49"/>
      <c r="M191" s="49"/>
      <c r="N191" s="49"/>
      <c r="O191" s="49"/>
      <c r="P191" s="49"/>
      <c r="Q191" s="49"/>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72-3-1</v>
      </c>
      <c r="B192" s="156"/>
      <c r="C192" s="176"/>
      <c r="D192" s="160"/>
      <c r="E192" s="160"/>
      <c r="F192" s="144" t="s">
        <v>302</v>
      </c>
      <c r="G192" s="144" t="s">
        <v>562</v>
      </c>
      <c r="H192" s="144"/>
      <c r="I192" s="144"/>
      <c r="J192" s="49"/>
      <c r="K192" s="49"/>
      <c r="L192" s="49"/>
      <c r="M192" s="49"/>
      <c r="N192" s="49"/>
      <c r="O192" s="49"/>
      <c r="P192" s="49"/>
      <c r="Q192" s="49"/>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72-4-1</v>
      </c>
      <c r="B193" s="156"/>
      <c r="C193" s="176"/>
      <c r="D193" s="160"/>
      <c r="E193" s="160"/>
      <c r="F193" s="144" t="s">
        <v>303</v>
      </c>
      <c r="G193" s="144" t="s">
        <v>562</v>
      </c>
      <c r="H193" s="144"/>
      <c r="I193" s="144"/>
      <c r="J193" s="49"/>
      <c r="K193" s="49"/>
      <c r="L193" s="49"/>
      <c r="M193" s="49"/>
      <c r="N193" s="49"/>
      <c r="O193" s="49"/>
      <c r="P193" s="49"/>
      <c r="Q193" s="49"/>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72-5-1</v>
      </c>
      <c r="B194" s="156"/>
      <c r="C194" s="176"/>
      <c r="D194" s="160"/>
      <c r="E194" s="160"/>
      <c r="F194" s="144" t="s">
        <v>304</v>
      </c>
      <c r="G194" s="144" t="s">
        <v>562</v>
      </c>
      <c r="H194" s="144"/>
      <c r="I194" s="144"/>
      <c r="J194" s="49"/>
      <c r="K194" s="49"/>
      <c r="L194" s="49"/>
      <c r="M194" s="49"/>
      <c r="N194" s="49"/>
      <c r="O194" s="49"/>
      <c r="P194" s="49"/>
      <c r="Q194" s="49"/>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72-6-1</v>
      </c>
      <c r="B195" s="156"/>
      <c r="C195" s="176"/>
      <c r="D195" s="160"/>
      <c r="E195" s="160"/>
      <c r="F195" s="144" t="s">
        <v>305</v>
      </c>
      <c r="G195" s="144" t="s">
        <v>562</v>
      </c>
      <c r="H195" s="144"/>
      <c r="I195" s="144"/>
      <c r="J195" s="49"/>
      <c r="K195" s="49"/>
      <c r="L195" s="49"/>
      <c r="M195" s="49"/>
      <c r="N195" s="49"/>
      <c r="O195" s="49"/>
      <c r="P195" s="49"/>
      <c r="Q195" s="49"/>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72-7-1</v>
      </c>
      <c r="B196" s="156"/>
      <c r="C196" s="176"/>
      <c r="D196" s="160"/>
      <c r="E196" s="162"/>
      <c r="F196" s="144" t="s">
        <v>306</v>
      </c>
      <c r="G196" s="144" t="s">
        <v>562</v>
      </c>
      <c r="H196" s="144"/>
      <c r="I196" s="144"/>
      <c r="J196" s="49"/>
      <c r="K196" s="49"/>
      <c r="L196" s="49"/>
      <c r="M196" s="49"/>
      <c r="N196" s="49"/>
      <c r="O196" s="49"/>
      <c r="P196" s="49"/>
      <c r="Q196" s="49"/>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73-1-1</v>
      </c>
      <c r="B197" s="156"/>
      <c r="C197" s="156"/>
      <c r="D197" s="162"/>
      <c r="E197" s="162" t="s">
        <v>307</v>
      </c>
      <c r="F197" s="144" t="s">
        <v>308</v>
      </c>
      <c r="G197" s="144" t="s">
        <v>562</v>
      </c>
      <c r="H197" s="144"/>
      <c r="I197" s="144"/>
      <c r="J197" s="49"/>
      <c r="K197" s="49"/>
      <c r="L197" s="49"/>
      <c r="M197" s="49"/>
      <c r="N197" s="49"/>
      <c r="O197" s="49"/>
      <c r="P197" s="49"/>
      <c r="Q197" s="49"/>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74-1-1</v>
      </c>
      <c r="B198" s="156"/>
      <c r="C198" s="156"/>
      <c r="D198" s="160" t="s">
        <v>309</v>
      </c>
      <c r="E198" s="160" t="s">
        <v>127</v>
      </c>
      <c r="F198" s="144" t="s">
        <v>310</v>
      </c>
      <c r="G198" s="144" t="s">
        <v>562</v>
      </c>
      <c r="H198" s="144"/>
      <c r="I198" s="144"/>
      <c r="J198" s="49"/>
      <c r="K198" s="49"/>
      <c r="L198" s="49"/>
      <c r="M198" s="49"/>
      <c r="N198" s="49"/>
      <c r="O198" s="49"/>
      <c r="P198" s="49"/>
      <c r="Q198" s="49"/>
    </row>
    <row r="199" spans="1:17" ht="22.5">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74-2-1</v>
      </c>
      <c r="B199" s="156"/>
      <c r="C199" s="156"/>
      <c r="D199" s="160"/>
      <c r="E199" s="160"/>
      <c r="F199" s="144" t="s">
        <v>311</v>
      </c>
      <c r="G199" s="144" t="s">
        <v>562</v>
      </c>
      <c r="H199" s="144"/>
      <c r="I199" s="144"/>
      <c r="J199" s="49"/>
      <c r="K199" s="49"/>
      <c r="L199" s="49"/>
      <c r="M199" s="49"/>
      <c r="N199" s="49"/>
      <c r="O199" s="49"/>
      <c r="P199" s="49"/>
      <c r="Q199" s="49"/>
    </row>
    <row r="200" spans="1:17">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74-3-1</v>
      </c>
      <c r="B200" s="156"/>
      <c r="C200" s="156"/>
      <c r="D200" s="160"/>
      <c r="E200" s="160"/>
      <c r="F200" s="144" t="s">
        <v>312</v>
      </c>
      <c r="G200" s="144" t="s">
        <v>562</v>
      </c>
      <c r="H200" s="144"/>
      <c r="I200" s="144"/>
      <c r="J200" s="49"/>
      <c r="K200" s="49"/>
      <c r="L200" s="49"/>
      <c r="M200" s="49"/>
      <c r="N200" s="49"/>
      <c r="O200" s="49"/>
      <c r="P200" s="49"/>
      <c r="Q200" s="49"/>
    </row>
    <row r="201" spans="1:17" ht="22.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74-4-1</v>
      </c>
      <c r="B201" s="156"/>
      <c r="C201" s="156"/>
      <c r="D201" s="160"/>
      <c r="E201" s="160"/>
      <c r="F201" s="144" t="s">
        <v>313</v>
      </c>
      <c r="G201" s="144" t="s">
        <v>562</v>
      </c>
      <c r="H201" s="144"/>
      <c r="I201" s="144"/>
      <c r="J201" s="49"/>
      <c r="K201" s="49"/>
      <c r="L201" s="49"/>
      <c r="M201" s="49"/>
      <c r="N201" s="49"/>
      <c r="O201" s="49"/>
      <c r="P201" s="49"/>
      <c r="Q201" s="49"/>
    </row>
    <row r="202" spans="1:17" ht="33.7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74-5-1</v>
      </c>
      <c r="B202" s="156"/>
      <c r="C202" s="156"/>
      <c r="D202" s="160"/>
      <c r="E202" s="160"/>
      <c r="F202" s="144" t="s">
        <v>314</v>
      </c>
      <c r="G202" s="144" t="s">
        <v>562</v>
      </c>
      <c r="H202" s="144"/>
      <c r="I202" s="144"/>
      <c r="J202" s="49"/>
      <c r="K202" s="49"/>
      <c r="L202" s="49"/>
      <c r="M202" s="49"/>
      <c r="N202" s="49"/>
      <c r="O202" s="49"/>
      <c r="P202" s="49"/>
      <c r="Q202" s="49"/>
    </row>
    <row r="203" spans="1:17" ht="33.7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74-6-1</v>
      </c>
      <c r="B203" s="156"/>
      <c r="C203" s="156"/>
      <c r="D203" s="160"/>
      <c r="E203" s="160"/>
      <c r="F203" s="144" t="s">
        <v>315</v>
      </c>
      <c r="G203" s="144" t="s">
        <v>562</v>
      </c>
      <c r="H203" s="144"/>
      <c r="I203" s="144"/>
      <c r="J203" s="49"/>
      <c r="K203" s="49"/>
      <c r="L203" s="49"/>
      <c r="M203" s="49"/>
      <c r="N203" s="49"/>
      <c r="O203" s="49"/>
      <c r="P203" s="49"/>
      <c r="Q203" s="49"/>
    </row>
    <row r="204" spans="1:17" ht="4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74-7-1</v>
      </c>
      <c r="B204" s="156"/>
      <c r="C204" s="156"/>
      <c r="D204" s="160"/>
      <c r="E204" s="160"/>
      <c r="F204" s="144" t="s">
        <v>316</v>
      </c>
      <c r="G204" s="144" t="s">
        <v>562</v>
      </c>
      <c r="H204" s="144"/>
      <c r="I204" s="144"/>
      <c r="J204" s="49"/>
      <c r="K204" s="49"/>
      <c r="L204" s="49"/>
      <c r="M204" s="49"/>
      <c r="N204" s="49"/>
      <c r="O204" s="49"/>
      <c r="P204" s="49"/>
      <c r="Q204" s="49"/>
    </row>
    <row r="205" spans="1:17" ht="33.7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74-8-1</v>
      </c>
      <c r="B205" s="156"/>
      <c r="C205" s="156"/>
      <c r="D205" s="160"/>
      <c r="E205" s="160"/>
      <c r="F205" s="144" t="s">
        <v>317</v>
      </c>
      <c r="G205" s="144" t="s">
        <v>562</v>
      </c>
      <c r="H205" s="144"/>
      <c r="I205" s="144"/>
      <c r="J205" s="49"/>
      <c r="K205" s="49"/>
      <c r="L205" s="49"/>
      <c r="M205" s="49"/>
      <c r="N205" s="49"/>
      <c r="O205" s="49"/>
      <c r="P205" s="49"/>
      <c r="Q205" s="49"/>
    </row>
    <row r="206" spans="1:17" ht="33.7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74-9-1</v>
      </c>
      <c r="B206" s="156"/>
      <c r="C206" s="156"/>
      <c r="D206" s="160"/>
      <c r="E206" s="160"/>
      <c r="F206" s="144" t="s">
        <v>318</v>
      </c>
      <c r="G206" s="144" t="s">
        <v>562</v>
      </c>
      <c r="H206" s="144"/>
      <c r="I206" s="144"/>
      <c r="J206" s="49"/>
      <c r="K206" s="49"/>
      <c r="L206" s="49"/>
      <c r="M206" s="49"/>
      <c r="N206" s="49"/>
      <c r="O206" s="49"/>
      <c r="P206" s="49"/>
      <c r="Q206" s="49"/>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74-10-1</v>
      </c>
      <c r="B207" s="156"/>
      <c r="C207" s="156"/>
      <c r="D207" s="160"/>
      <c r="E207" s="160"/>
      <c r="F207" s="144" t="s">
        <v>319</v>
      </c>
      <c r="G207" s="144" t="s">
        <v>562</v>
      </c>
      <c r="H207" s="144"/>
      <c r="I207" s="144"/>
      <c r="J207" s="49"/>
      <c r="K207" s="49"/>
      <c r="L207" s="49"/>
      <c r="M207" s="49"/>
      <c r="N207" s="49"/>
      <c r="O207" s="49"/>
      <c r="P207" s="49"/>
      <c r="Q207" s="49"/>
    </row>
    <row r="208" spans="1:17" ht="22.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74-11-1</v>
      </c>
      <c r="B208" s="156"/>
      <c r="C208" s="156"/>
      <c r="D208" s="160"/>
      <c r="E208" s="160"/>
      <c r="F208" s="144" t="s">
        <v>320</v>
      </c>
      <c r="G208" s="144" t="s">
        <v>562</v>
      </c>
      <c r="H208" s="144"/>
      <c r="I208" s="144"/>
      <c r="J208" s="49"/>
      <c r="K208" s="49"/>
      <c r="L208" s="49"/>
      <c r="M208" s="49"/>
      <c r="N208" s="49"/>
      <c r="O208" s="49"/>
      <c r="P208" s="49"/>
      <c r="Q208" s="49"/>
    </row>
    <row r="209" spans="1:17" ht="33.7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74-12-1</v>
      </c>
      <c r="B209" s="156"/>
      <c r="C209" s="156"/>
      <c r="D209" s="160"/>
      <c r="E209" s="160"/>
      <c r="F209" s="144" t="s">
        <v>321</v>
      </c>
      <c r="G209" s="144" t="s">
        <v>562</v>
      </c>
      <c r="H209" s="144"/>
      <c r="I209" s="144"/>
      <c r="J209" s="49"/>
      <c r="K209" s="49"/>
      <c r="L209" s="49"/>
      <c r="M209" s="49"/>
      <c r="N209" s="49"/>
      <c r="O209" s="49"/>
      <c r="P209" s="49"/>
      <c r="Q209" s="49"/>
    </row>
    <row r="210" spans="1:17" ht="22.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74-13-1</v>
      </c>
      <c r="B210" s="160"/>
      <c r="C210" s="156"/>
      <c r="D210" s="162"/>
      <c r="E210" s="162"/>
      <c r="F210" s="144" t="s">
        <v>322</v>
      </c>
      <c r="G210" s="144" t="s">
        <v>562</v>
      </c>
      <c r="H210" s="144"/>
      <c r="I210" s="144"/>
      <c r="J210" s="49"/>
      <c r="K210" s="49"/>
      <c r="L210" s="49"/>
      <c r="M210" s="49"/>
      <c r="N210" s="49"/>
      <c r="O210" s="49"/>
      <c r="P210" s="49"/>
      <c r="Q210" s="49"/>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75-1-1</v>
      </c>
      <c r="B211" s="160"/>
      <c r="C211" s="156"/>
      <c r="D211" s="161" t="s">
        <v>323</v>
      </c>
      <c r="E211" s="161" t="s">
        <v>127</v>
      </c>
      <c r="F211" s="144" t="s">
        <v>324</v>
      </c>
      <c r="G211" s="144" t="s">
        <v>562</v>
      </c>
      <c r="H211" s="144"/>
      <c r="I211" s="144"/>
      <c r="J211" s="49"/>
      <c r="K211" s="49"/>
      <c r="L211" s="49"/>
      <c r="M211" s="49"/>
      <c r="N211" s="49"/>
      <c r="O211" s="49"/>
      <c r="P211" s="49"/>
      <c r="Q211" s="49"/>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75-2-1</v>
      </c>
      <c r="B212" s="156"/>
      <c r="C212" s="156"/>
      <c r="D212" s="160"/>
      <c r="E212" s="160"/>
      <c r="F212" s="144" t="s">
        <v>325</v>
      </c>
      <c r="G212" s="144" t="s">
        <v>562</v>
      </c>
      <c r="H212" s="144"/>
      <c r="I212" s="144"/>
      <c r="J212" s="49"/>
      <c r="K212" s="49"/>
      <c r="L212" s="49"/>
      <c r="M212" s="49"/>
      <c r="N212" s="49"/>
      <c r="O212" s="49"/>
      <c r="P212" s="49"/>
      <c r="Q212" s="49"/>
    </row>
    <row r="213" spans="1:17" ht="22.5">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75-3-1</v>
      </c>
      <c r="B213" s="156"/>
      <c r="C213" s="156"/>
      <c r="D213" s="160"/>
      <c r="E213" s="160"/>
      <c r="F213" s="144" t="s">
        <v>326</v>
      </c>
      <c r="G213" s="144" t="s">
        <v>562</v>
      </c>
      <c r="H213" s="144"/>
      <c r="I213" s="144"/>
      <c r="J213" s="49"/>
      <c r="K213" s="49"/>
      <c r="L213" s="49"/>
      <c r="M213" s="49"/>
      <c r="N213" s="49"/>
      <c r="O213" s="49"/>
      <c r="P213" s="49"/>
      <c r="Q213" s="49"/>
    </row>
    <row r="214" spans="1:17">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75-4-1</v>
      </c>
      <c r="B214" s="156"/>
      <c r="C214" s="156"/>
      <c r="D214" s="160"/>
      <c r="E214" s="160"/>
      <c r="F214" s="144" t="s">
        <v>312</v>
      </c>
      <c r="G214" s="144" t="s">
        <v>562</v>
      </c>
      <c r="H214" s="144"/>
      <c r="I214" s="144"/>
      <c r="J214" s="49"/>
      <c r="K214" s="49"/>
      <c r="L214" s="49"/>
      <c r="M214" s="49"/>
      <c r="N214" s="49"/>
      <c r="O214" s="49"/>
      <c r="P214" s="49"/>
      <c r="Q214" s="49"/>
    </row>
    <row r="215" spans="1:17" ht="22.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75-5-1</v>
      </c>
      <c r="B215" s="156"/>
      <c r="C215" s="156"/>
      <c r="D215" s="160"/>
      <c r="E215" s="160"/>
      <c r="F215" s="144" t="s">
        <v>313</v>
      </c>
      <c r="G215" s="144" t="s">
        <v>562</v>
      </c>
      <c r="H215" s="144"/>
      <c r="I215" s="144"/>
      <c r="J215" s="49"/>
      <c r="K215" s="49"/>
      <c r="L215" s="49"/>
      <c r="M215" s="49"/>
      <c r="N215" s="49"/>
      <c r="O215" s="49"/>
      <c r="P215" s="49"/>
      <c r="Q215" s="49"/>
    </row>
    <row r="216" spans="1:17" ht="4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75-6-1</v>
      </c>
      <c r="B216" s="156"/>
      <c r="C216" s="156"/>
      <c r="D216" s="160"/>
      <c r="E216" s="160"/>
      <c r="F216" s="144" t="s">
        <v>327</v>
      </c>
      <c r="G216" s="144" t="s">
        <v>562</v>
      </c>
      <c r="H216" s="144"/>
      <c r="I216" s="144"/>
      <c r="J216" s="49"/>
      <c r="K216" s="49"/>
      <c r="L216" s="49"/>
      <c r="M216" s="49"/>
      <c r="N216" s="49"/>
      <c r="O216" s="49"/>
      <c r="P216" s="49"/>
      <c r="Q216" s="49"/>
    </row>
    <row r="217" spans="1:17" ht="33.7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75-7-1</v>
      </c>
      <c r="B217" s="156"/>
      <c r="C217" s="156"/>
      <c r="D217" s="160"/>
      <c r="E217" s="160"/>
      <c r="F217" s="144" t="s">
        <v>328</v>
      </c>
      <c r="G217" s="144" t="s">
        <v>562</v>
      </c>
      <c r="H217" s="144"/>
      <c r="I217" s="144"/>
      <c r="J217" s="49"/>
      <c r="K217" s="49"/>
      <c r="L217" s="49"/>
      <c r="M217" s="49"/>
      <c r="N217" s="49"/>
      <c r="O217" s="49"/>
      <c r="P217" s="49"/>
      <c r="Q217" s="49"/>
    </row>
    <row r="218" spans="1:17" ht="33.7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75-8-1</v>
      </c>
      <c r="B218" s="156"/>
      <c r="C218" s="156"/>
      <c r="D218" s="160"/>
      <c r="E218" s="160"/>
      <c r="F218" s="144" t="s">
        <v>492</v>
      </c>
      <c r="G218" s="144" t="s">
        <v>562</v>
      </c>
      <c r="H218" s="144"/>
      <c r="I218" s="144"/>
      <c r="J218" s="49"/>
      <c r="K218" s="49"/>
      <c r="L218" s="49"/>
      <c r="M218" s="49"/>
      <c r="N218" s="49"/>
      <c r="O218" s="49"/>
      <c r="P218" s="49"/>
      <c r="Q218" s="49"/>
    </row>
    <row r="219" spans="1:17" ht="4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75-9-1</v>
      </c>
      <c r="B219" s="156"/>
      <c r="C219" s="156"/>
      <c r="D219" s="160"/>
      <c r="E219" s="160"/>
      <c r="F219" s="144" t="s">
        <v>329</v>
      </c>
      <c r="G219" s="144" t="s">
        <v>562</v>
      </c>
      <c r="H219" s="144"/>
      <c r="I219" s="144"/>
      <c r="J219" s="49"/>
      <c r="K219" s="49"/>
      <c r="L219" s="49"/>
      <c r="M219" s="49"/>
      <c r="N219" s="49"/>
      <c r="O219" s="49"/>
      <c r="P219" s="49"/>
      <c r="Q219" s="49"/>
    </row>
    <row r="220" spans="1:17" ht="33.7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75-10-1</v>
      </c>
      <c r="B220" s="156"/>
      <c r="C220" s="156"/>
      <c r="D220" s="160"/>
      <c r="E220" s="160"/>
      <c r="F220" s="144" t="s">
        <v>330</v>
      </c>
      <c r="G220" s="144" t="s">
        <v>562</v>
      </c>
      <c r="H220" s="144"/>
      <c r="I220" s="144"/>
      <c r="J220" s="49"/>
      <c r="K220" s="49"/>
      <c r="L220" s="49"/>
      <c r="M220" s="49"/>
      <c r="N220" s="49"/>
      <c r="O220" s="49"/>
      <c r="P220" s="49"/>
      <c r="Q220" s="49"/>
    </row>
    <row r="221" spans="1:17" ht="33.7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75-11-1</v>
      </c>
      <c r="B221" s="156"/>
      <c r="C221" s="156"/>
      <c r="D221" s="160"/>
      <c r="E221" s="160"/>
      <c r="F221" s="144" t="s">
        <v>331</v>
      </c>
      <c r="G221" s="144" t="s">
        <v>562</v>
      </c>
      <c r="H221" s="144"/>
      <c r="I221" s="144"/>
      <c r="J221" s="49"/>
      <c r="K221" s="49"/>
      <c r="L221" s="49"/>
      <c r="M221" s="49"/>
      <c r="N221" s="49"/>
      <c r="O221" s="49"/>
      <c r="P221" s="49"/>
      <c r="Q221" s="49"/>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75-12-1</v>
      </c>
      <c r="B222" s="156"/>
      <c r="C222" s="156"/>
      <c r="D222" s="160"/>
      <c r="E222" s="160"/>
      <c r="F222" s="144" t="s">
        <v>332</v>
      </c>
      <c r="G222" s="144" t="s">
        <v>562</v>
      </c>
      <c r="H222" s="144"/>
      <c r="I222" s="144"/>
      <c r="J222" s="49"/>
      <c r="K222" s="49"/>
      <c r="L222" s="49"/>
      <c r="M222" s="49"/>
      <c r="N222" s="49"/>
      <c r="O222" s="49"/>
      <c r="P222" s="49"/>
      <c r="Q222" s="49"/>
    </row>
    <row r="223" spans="1:17" ht="22.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75-13-1</v>
      </c>
      <c r="B223" s="156"/>
      <c r="C223" s="156"/>
      <c r="D223" s="160"/>
      <c r="E223" s="160"/>
      <c r="F223" s="144" t="s">
        <v>333</v>
      </c>
      <c r="G223" s="144" t="s">
        <v>562</v>
      </c>
      <c r="H223" s="144"/>
      <c r="I223" s="144"/>
      <c r="J223" s="49"/>
      <c r="K223" s="49"/>
      <c r="L223" s="49"/>
      <c r="M223" s="49"/>
      <c r="N223" s="49"/>
      <c r="O223" s="49"/>
      <c r="P223" s="49"/>
      <c r="Q223" s="49"/>
    </row>
    <row r="224" spans="1:17" ht="33.7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75-14-1</v>
      </c>
      <c r="B224" s="156"/>
      <c r="C224" s="156"/>
      <c r="D224" s="160"/>
      <c r="E224" s="160"/>
      <c r="F224" s="144" t="s">
        <v>334</v>
      </c>
      <c r="G224" s="144" t="s">
        <v>562</v>
      </c>
      <c r="H224" s="144"/>
      <c r="I224" s="144"/>
      <c r="J224" s="49"/>
      <c r="K224" s="49"/>
      <c r="L224" s="49"/>
      <c r="M224" s="49"/>
      <c r="N224" s="49"/>
      <c r="O224" s="49"/>
      <c r="P224" s="49"/>
      <c r="Q224" s="49"/>
    </row>
    <row r="225" spans="1:17" ht="22.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75-15-1</v>
      </c>
      <c r="B225" s="156"/>
      <c r="C225" s="156"/>
      <c r="D225" s="160"/>
      <c r="E225" s="162"/>
      <c r="F225" s="144" t="s">
        <v>322</v>
      </c>
      <c r="G225" s="144" t="s">
        <v>562</v>
      </c>
      <c r="H225" s="144"/>
      <c r="I225" s="144"/>
      <c r="J225" s="49"/>
      <c r="K225" s="49"/>
      <c r="L225" s="49"/>
      <c r="M225" s="49"/>
      <c r="N225" s="49"/>
      <c r="O225" s="49"/>
      <c r="P225" s="49"/>
      <c r="Q225" s="49"/>
    </row>
    <row r="226" spans="1:17" ht="4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76-1-1</v>
      </c>
      <c r="B226" s="156"/>
      <c r="C226" s="156"/>
      <c r="D226" s="160"/>
      <c r="E226" s="160" t="s">
        <v>335</v>
      </c>
      <c r="F226" s="144" t="s">
        <v>336</v>
      </c>
      <c r="G226" s="144" t="s">
        <v>562</v>
      </c>
      <c r="H226" s="144"/>
      <c r="I226" s="144"/>
      <c r="J226" s="49"/>
      <c r="K226" s="49"/>
      <c r="L226" s="49"/>
      <c r="M226" s="49"/>
      <c r="N226" s="49"/>
      <c r="O226" s="49"/>
      <c r="P226" s="49"/>
      <c r="Q226" s="49"/>
    </row>
    <row r="227" spans="1:17" ht="4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76-2-1</v>
      </c>
      <c r="B227" s="156"/>
      <c r="C227" s="156"/>
      <c r="D227" s="160"/>
      <c r="E227" s="160"/>
      <c r="F227" s="144" t="s">
        <v>337</v>
      </c>
      <c r="G227" s="144" t="s">
        <v>562</v>
      </c>
      <c r="H227" s="144"/>
      <c r="I227" s="144"/>
      <c r="J227" s="49"/>
      <c r="K227" s="49"/>
      <c r="L227" s="49"/>
      <c r="M227" s="49"/>
      <c r="N227" s="49"/>
      <c r="O227" s="49"/>
      <c r="P227" s="49"/>
      <c r="Q227" s="49"/>
    </row>
    <row r="228" spans="1:17" ht="33.7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76-3-1</v>
      </c>
      <c r="B228" s="156"/>
      <c r="C228" s="156"/>
      <c r="D228" s="160"/>
      <c r="E228" s="162"/>
      <c r="F228" s="144" t="s">
        <v>338</v>
      </c>
      <c r="G228" s="144" t="s">
        <v>562</v>
      </c>
      <c r="H228" s="144"/>
      <c r="I228" s="144"/>
      <c r="J228" s="49"/>
      <c r="K228" s="49"/>
      <c r="L228" s="49"/>
      <c r="M228" s="49"/>
      <c r="N228" s="49"/>
      <c r="O228" s="49"/>
      <c r="P228" s="49"/>
      <c r="Q228" s="49"/>
    </row>
    <row r="229" spans="1:17" ht="33.7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77-1-1</v>
      </c>
      <c r="B229" s="156"/>
      <c r="C229" s="156"/>
      <c r="D229" s="160"/>
      <c r="E229" s="162" t="s">
        <v>152</v>
      </c>
      <c r="F229" s="144" t="s">
        <v>339</v>
      </c>
      <c r="G229" s="144" t="s">
        <v>562</v>
      </c>
      <c r="H229" s="144"/>
      <c r="I229" s="144"/>
      <c r="J229" s="49"/>
      <c r="K229" s="49"/>
      <c r="L229" s="49"/>
      <c r="M229" s="49"/>
      <c r="N229" s="49"/>
      <c r="O229" s="49"/>
      <c r="P229" s="49"/>
      <c r="Q229" s="49"/>
    </row>
    <row r="230" spans="1:17" ht="22.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78-1-1</v>
      </c>
      <c r="B230" s="162"/>
      <c r="C230" s="162"/>
      <c r="D230" s="162"/>
      <c r="E230" s="178" t="s">
        <v>340</v>
      </c>
      <c r="F230" s="144" t="s">
        <v>341</v>
      </c>
      <c r="G230" s="144" t="s">
        <v>562</v>
      </c>
      <c r="H230" s="144"/>
      <c r="I230" s="144"/>
      <c r="J230" s="49"/>
      <c r="K230" s="49"/>
      <c r="L230" s="49"/>
      <c r="M230" s="49"/>
      <c r="N230" s="49"/>
      <c r="O230" s="49"/>
      <c r="P230" s="49"/>
      <c r="Q230" s="49"/>
    </row>
    <row r="231" spans="1:17" ht="22.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79-1-1</v>
      </c>
      <c r="B231" s="161" t="s">
        <v>342</v>
      </c>
      <c r="C231" s="161" t="s">
        <v>194</v>
      </c>
      <c r="D231" s="161" t="s">
        <v>54</v>
      </c>
      <c r="E231" s="144" t="s">
        <v>54</v>
      </c>
      <c r="F231" s="144" t="s">
        <v>343</v>
      </c>
      <c r="G231" s="144" t="s">
        <v>605</v>
      </c>
      <c r="H231" s="144"/>
      <c r="I231" s="144"/>
      <c r="J231" s="49"/>
      <c r="K231" s="49"/>
      <c r="L231" s="49"/>
      <c r="M231" s="49"/>
      <c r="N231" s="49"/>
      <c r="O231" s="49"/>
      <c r="P231" s="49"/>
      <c r="Q231" s="49"/>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80-1-1</v>
      </c>
      <c r="B232" s="156"/>
      <c r="C232" s="160"/>
      <c r="D232" s="160"/>
      <c r="E232" s="160" t="s">
        <v>138</v>
      </c>
      <c r="F232" s="144" t="s">
        <v>344</v>
      </c>
      <c r="G232" s="144" t="s">
        <v>605</v>
      </c>
      <c r="H232" s="144"/>
      <c r="I232" s="144"/>
      <c r="J232" s="49"/>
      <c r="K232" s="49"/>
      <c r="L232" s="49"/>
      <c r="M232" s="49"/>
      <c r="N232" s="49"/>
      <c r="O232" s="49"/>
      <c r="P232" s="49"/>
      <c r="Q232" s="49"/>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80-2-1</v>
      </c>
      <c r="B233" s="156"/>
      <c r="C233" s="160"/>
      <c r="D233" s="160"/>
      <c r="E233" s="160"/>
      <c r="F233" s="144" t="s">
        <v>345</v>
      </c>
      <c r="G233" s="144" t="s">
        <v>605</v>
      </c>
      <c r="H233" s="144"/>
      <c r="I233" s="144"/>
      <c r="J233" s="49"/>
      <c r="K233" s="49"/>
      <c r="L233" s="49"/>
      <c r="M233" s="49"/>
      <c r="N233" s="49"/>
      <c r="O233" s="49"/>
      <c r="P233" s="49"/>
      <c r="Q233" s="49"/>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80-3-1</v>
      </c>
      <c r="B234" s="156"/>
      <c r="C234" s="160"/>
      <c r="D234" s="160"/>
      <c r="E234" s="160"/>
      <c r="F234" s="144" t="s">
        <v>346</v>
      </c>
      <c r="G234" s="144" t="s">
        <v>605</v>
      </c>
      <c r="H234" s="144"/>
      <c r="I234" s="144"/>
      <c r="J234" s="49"/>
      <c r="K234" s="49"/>
      <c r="L234" s="49"/>
      <c r="M234" s="49"/>
      <c r="N234" s="49"/>
      <c r="O234" s="49"/>
      <c r="P234" s="49"/>
      <c r="Q234" s="49"/>
    </row>
    <row r="235" spans="1:17" ht="22.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80-4-1</v>
      </c>
      <c r="B235" s="156"/>
      <c r="C235" s="160"/>
      <c r="D235" s="160"/>
      <c r="E235" s="160"/>
      <c r="F235" s="144" t="s">
        <v>347</v>
      </c>
      <c r="G235" s="144" t="s">
        <v>605</v>
      </c>
      <c r="H235" s="144"/>
      <c r="I235" s="144"/>
      <c r="J235" s="49"/>
      <c r="K235" s="49"/>
      <c r="L235" s="49"/>
      <c r="M235" s="49"/>
      <c r="N235" s="49"/>
      <c r="O235" s="49"/>
      <c r="P235" s="49"/>
      <c r="Q235" s="49"/>
    </row>
    <row r="236" spans="1:17" ht="33.7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80-5-1</v>
      </c>
      <c r="B236" s="156"/>
      <c r="C236" s="160"/>
      <c r="D236" s="160"/>
      <c r="E236" s="162"/>
      <c r="F236" s="144" t="s">
        <v>348</v>
      </c>
      <c r="G236" s="144" t="s">
        <v>605</v>
      </c>
      <c r="H236" s="144"/>
      <c r="I236" s="144"/>
      <c r="J236" s="49"/>
      <c r="K236" s="49"/>
      <c r="L236" s="49"/>
      <c r="M236" s="49"/>
      <c r="N236" s="49"/>
      <c r="O236" s="49"/>
      <c r="P236" s="49"/>
      <c r="Q236" s="49"/>
    </row>
    <row r="237" spans="1:17" ht="33.7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81-1-1</v>
      </c>
      <c r="B237" s="156"/>
      <c r="C237" s="160"/>
      <c r="D237" s="160"/>
      <c r="E237" s="160" t="s">
        <v>205</v>
      </c>
      <c r="F237" s="144" t="s">
        <v>349</v>
      </c>
      <c r="G237" s="144" t="s">
        <v>605</v>
      </c>
      <c r="H237" s="144"/>
      <c r="I237" s="144"/>
      <c r="J237" s="49"/>
      <c r="K237" s="49"/>
      <c r="L237" s="49"/>
      <c r="M237" s="49"/>
      <c r="N237" s="49"/>
      <c r="O237" s="49"/>
      <c r="P237" s="49"/>
      <c r="Q237" s="49"/>
    </row>
    <row r="238" spans="1:17" ht="33.7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81-2-1</v>
      </c>
      <c r="B238" s="156"/>
      <c r="C238" s="160"/>
      <c r="D238" s="160"/>
      <c r="E238" s="160"/>
      <c r="F238" s="144" t="s">
        <v>350</v>
      </c>
      <c r="G238" s="144" t="s">
        <v>605</v>
      </c>
      <c r="H238" s="144"/>
      <c r="I238" s="144"/>
      <c r="J238" s="49"/>
      <c r="K238" s="49"/>
      <c r="L238" s="49"/>
      <c r="M238" s="49"/>
      <c r="N238" s="49"/>
      <c r="O238" s="49"/>
      <c r="P238" s="49"/>
      <c r="Q238" s="49"/>
    </row>
    <row r="239" spans="1:17" ht="4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81-3-1</v>
      </c>
      <c r="B239" s="156"/>
      <c r="C239" s="160"/>
      <c r="D239" s="160"/>
      <c r="E239" s="160"/>
      <c r="F239" s="144" t="s">
        <v>351</v>
      </c>
      <c r="G239" s="144" t="s">
        <v>605</v>
      </c>
      <c r="H239" s="144"/>
      <c r="I239" s="144"/>
      <c r="J239" s="49"/>
      <c r="K239" s="49"/>
      <c r="L239" s="49"/>
      <c r="M239" s="49"/>
      <c r="N239" s="49"/>
      <c r="O239" s="49"/>
      <c r="P239" s="49"/>
      <c r="Q239" s="49"/>
    </row>
    <row r="240" spans="1:17" ht="4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81-4-1</v>
      </c>
      <c r="B240" s="156"/>
      <c r="C240" s="160"/>
      <c r="D240" s="160"/>
      <c r="E240" s="160"/>
      <c r="F240" s="144" t="s">
        <v>352</v>
      </c>
      <c r="G240" s="144" t="s">
        <v>605</v>
      </c>
      <c r="H240" s="144"/>
      <c r="I240" s="144"/>
      <c r="J240" s="49"/>
      <c r="K240" s="49"/>
      <c r="L240" s="49"/>
      <c r="M240" s="49"/>
      <c r="N240" s="49"/>
      <c r="O240" s="49"/>
      <c r="P240" s="49"/>
      <c r="Q240" s="49"/>
    </row>
    <row r="241" spans="1:17" ht="33.7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81-5-1</v>
      </c>
      <c r="B241" s="156"/>
      <c r="C241" s="160"/>
      <c r="D241" s="160"/>
      <c r="E241" s="162"/>
      <c r="F241" s="144" t="s">
        <v>353</v>
      </c>
      <c r="G241" s="144" t="s">
        <v>605</v>
      </c>
      <c r="H241" s="144"/>
      <c r="I241" s="144"/>
      <c r="J241" s="49"/>
      <c r="K241" s="49"/>
      <c r="L241" s="49"/>
      <c r="M241" s="49"/>
      <c r="N241" s="49"/>
      <c r="O241" s="49"/>
      <c r="P241" s="49"/>
      <c r="Q241" s="49"/>
    </row>
    <row r="242" spans="1:17" ht="33.7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82-1-1</v>
      </c>
      <c r="B242" s="156"/>
      <c r="C242" s="175"/>
      <c r="D242" s="162"/>
      <c r="E242" s="162" t="s">
        <v>211</v>
      </c>
      <c r="F242" s="144" t="s">
        <v>354</v>
      </c>
      <c r="G242" s="144" t="s">
        <v>605</v>
      </c>
      <c r="H242" s="144"/>
      <c r="I242" s="144"/>
      <c r="J242" s="49"/>
      <c r="K242" s="49"/>
      <c r="L242" s="49"/>
      <c r="M242" s="49"/>
      <c r="N242" s="49"/>
      <c r="O242" s="49"/>
      <c r="P242" s="49"/>
      <c r="Q242" s="49"/>
    </row>
    <row r="243" spans="1:17" ht="33.7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83-1-1</v>
      </c>
      <c r="B243" s="162"/>
      <c r="C243" s="162" t="s">
        <v>46</v>
      </c>
      <c r="D243" s="162" t="s">
        <v>214</v>
      </c>
      <c r="E243" s="162" t="s">
        <v>215</v>
      </c>
      <c r="F243" s="144" t="s">
        <v>355</v>
      </c>
      <c r="G243" s="144" t="s">
        <v>605</v>
      </c>
      <c r="H243" s="144"/>
      <c r="I243" s="144"/>
      <c r="J243" s="49"/>
      <c r="K243" s="49"/>
      <c r="L243" s="49"/>
      <c r="M243" s="49"/>
      <c r="N243" s="49"/>
      <c r="O243" s="49"/>
      <c r="P243" s="49"/>
      <c r="Q243" s="49"/>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84-1-1</v>
      </c>
      <c r="B244" s="161" t="s">
        <v>356</v>
      </c>
      <c r="C244" s="161" t="s">
        <v>357</v>
      </c>
      <c r="D244" s="161" t="s">
        <v>54</v>
      </c>
      <c r="E244" s="161" t="s">
        <v>54</v>
      </c>
      <c r="F244" s="144" t="s">
        <v>358</v>
      </c>
      <c r="G244" s="144" t="s">
        <v>605</v>
      </c>
      <c r="H244" s="144"/>
      <c r="I244" s="144"/>
      <c r="J244" s="49"/>
      <c r="K244" s="49"/>
      <c r="L244" s="49"/>
      <c r="M244" s="49"/>
      <c r="N244" s="49"/>
      <c r="O244" s="49"/>
      <c r="P244" s="49"/>
      <c r="Q244" s="49"/>
    </row>
    <row r="245" spans="1:17" ht="22.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84-2-1</v>
      </c>
      <c r="B245" s="156"/>
      <c r="C245" s="160"/>
      <c r="D245" s="162"/>
      <c r="E245" s="162"/>
      <c r="F245" s="144" t="s">
        <v>359</v>
      </c>
      <c r="G245" s="144" t="s">
        <v>605</v>
      </c>
      <c r="H245" s="144"/>
      <c r="I245" s="144"/>
      <c r="J245" s="49"/>
      <c r="K245" s="49"/>
      <c r="L245" s="49"/>
      <c r="M245" s="49"/>
      <c r="N245" s="49"/>
      <c r="O245" s="49"/>
      <c r="P245" s="49"/>
      <c r="Q245" s="49"/>
    </row>
    <row r="246" spans="1:17" ht="33.7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85-1-1</v>
      </c>
      <c r="B246" s="156"/>
      <c r="C246" s="160"/>
      <c r="D246" s="160" t="s">
        <v>159</v>
      </c>
      <c r="E246" s="160" t="s">
        <v>54</v>
      </c>
      <c r="F246" s="144" t="s">
        <v>360</v>
      </c>
      <c r="G246" s="144" t="s">
        <v>605</v>
      </c>
      <c r="H246" s="144"/>
      <c r="I246" s="144"/>
      <c r="J246" s="49"/>
      <c r="K246" s="49"/>
      <c r="L246" s="49"/>
      <c r="M246" s="49"/>
      <c r="N246" s="49"/>
      <c r="O246" s="49"/>
      <c r="P246" s="49"/>
      <c r="Q246" s="49"/>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85-2-1</v>
      </c>
      <c r="B247" s="156"/>
      <c r="C247" s="162"/>
      <c r="D247" s="162"/>
      <c r="E247" s="162"/>
      <c r="F247" s="144" t="s">
        <v>361</v>
      </c>
      <c r="G247" s="144" t="s">
        <v>605</v>
      </c>
      <c r="H247" s="144"/>
      <c r="I247" s="144"/>
      <c r="J247" s="49"/>
      <c r="K247" s="49"/>
      <c r="L247" s="49"/>
      <c r="M247" s="49"/>
      <c r="N247" s="49"/>
      <c r="O247" s="49"/>
      <c r="P247" s="49"/>
      <c r="Q247" s="49"/>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86-1-1</v>
      </c>
      <c r="B248" s="156"/>
      <c r="C248" s="168" t="s">
        <v>362</v>
      </c>
      <c r="D248" s="160" t="s">
        <v>214</v>
      </c>
      <c r="E248" s="144" t="s">
        <v>232</v>
      </c>
      <c r="F248" s="144" t="s">
        <v>363</v>
      </c>
      <c r="G248" s="144" t="s">
        <v>605</v>
      </c>
      <c r="H248" s="144"/>
      <c r="I248" s="144"/>
      <c r="J248" s="49"/>
      <c r="K248" s="49"/>
      <c r="L248" s="49"/>
      <c r="M248" s="49"/>
      <c r="N248" s="49"/>
      <c r="O248" s="49"/>
      <c r="P248" s="49"/>
      <c r="Q248" s="49"/>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87-1-1</v>
      </c>
      <c r="B249" s="156"/>
      <c r="C249" s="168"/>
      <c r="D249" s="160"/>
      <c r="E249" s="144" t="s">
        <v>236</v>
      </c>
      <c r="F249" s="144" t="s">
        <v>364</v>
      </c>
      <c r="G249" s="144" t="s">
        <v>605</v>
      </c>
      <c r="H249" s="144"/>
      <c r="I249" s="144"/>
      <c r="J249" s="49"/>
      <c r="K249" s="49"/>
      <c r="L249" s="49"/>
      <c r="M249" s="49"/>
      <c r="N249" s="49"/>
      <c r="O249" s="49"/>
      <c r="P249" s="49"/>
      <c r="Q249" s="49"/>
    </row>
    <row r="250" spans="1:17" ht="33.7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88-1-1</v>
      </c>
      <c r="B250" s="156"/>
      <c r="C250" s="156"/>
      <c r="D250" s="168"/>
      <c r="E250" s="144" t="s">
        <v>215</v>
      </c>
      <c r="F250" s="144" t="s">
        <v>365</v>
      </c>
      <c r="G250" s="144" t="s">
        <v>605</v>
      </c>
      <c r="H250" s="144"/>
      <c r="I250" s="144"/>
      <c r="J250" s="49"/>
      <c r="K250" s="49"/>
      <c r="L250" s="49"/>
      <c r="M250" s="49"/>
      <c r="N250" s="49"/>
      <c r="O250" s="49"/>
      <c r="P250" s="49"/>
      <c r="Q250" s="49"/>
    </row>
    <row r="251" spans="1:17" ht="33.7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89-1-1</v>
      </c>
      <c r="B251" s="156"/>
      <c r="C251" s="168"/>
      <c r="D251" s="162"/>
      <c r="E251" s="144" t="s">
        <v>239</v>
      </c>
      <c r="F251" s="144" t="s">
        <v>366</v>
      </c>
      <c r="G251" s="144" t="s">
        <v>605</v>
      </c>
      <c r="H251" s="144"/>
      <c r="I251" s="144"/>
      <c r="J251" s="49"/>
      <c r="K251" s="49"/>
      <c r="L251" s="49"/>
      <c r="M251" s="49"/>
      <c r="N251" s="49"/>
      <c r="O251" s="49"/>
      <c r="P251" s="49"/>
      <c r="Q251" s="49"/>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90-1-1</v>
      </c>
      <c r="B252" s="156"/>
      <c r="C252" s="156"/>
      <c r="D252" s="160" t="s">
        <v>248</v>
      </c>
      <c r="E252" s="156" t="s">
        <v>54</v>
      </c>
      <c r="F252" s="144" t="s">
        <v>367</v>
      </c>
      <c r="G252" s="144" t="s">
        <v>605</v>
      </c>
      <c r="H252" s="144"/>
      <c r="I252" s="144"/>
      <c r="J252" s="49"/>
      <c r="K252" s="49"/>
      <c r="L252" s="49"/>
      <c r="M252" s="49"/>
      <c r="N252" s="49"/>
      <c r="O252" s="49"/>
      <c r="P252" s="49"/>
      <c r="Q252" s="49"/>
    </row>
    <row r="253" spans="1:17" ht="22.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90-2-1</v>
      </c>
      <c r="B253" s="156"/>
      <c r="C253" s="156"/>
      <c r="D253" s="168"/>
      <c r="E253" s="162"/>
      <c r="F253" s="144" t="s">
        <v>368</v>
      </c>
      <c r="G253" s="144" t="s">
        <v>605</v>
      </c>
      <c r="H253" s="144"/>
      <c r="I253" s="144"/>
      <c r="J253" s="49"/>
      <c r="K253" s="49"/>
      <c r="L253" s="49"/>
      <c r="M253" s="49"/>
      <c r="N253" s="49"/>
      <c r="O253" s="49"/>
      <c r="P253" s="49"/>
      <c r="Q253" s="49"/>
    </row>
    <row r="254" spans="1:17" ht="33.7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91-1-1</v>
      </c>
      <c r="B254" s="156"/>
      <c r="C254" s="156"/>
      <c r="D254" s="168"/>
      <c r="E254" s="160" t="s">
        <v>127</v>
      </c>
      <c r="F254" s="144" t="s">
        <v>369</v>
      </c>
      <c r="G254" s="144" t="s">
        <v>605</v>
      </c>
      <c r="H254" s="144"/>
      <c r="I254" s="144"/>
      <c r="J254" s="49"/>
      <c r="K254" s="49"/>
      <c r="L254" s="49"/>
      <c r="M254" s="49"/>
      <c r="N254" s="49"/>
      <c r="O254" s="49"/>
      <c r="P254" s="49"/>
      <c r="Q254" s="49"/>
    </row>
    <row r="255" spans="1:17" ht="33.7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91-2-1</v>
      </c>
      <c r="B255" s="156"/>
      <c r="C255" s="156"/>
      <c r="D255" s="168"/>
      <c r="E255" s="160"/>
      <c r="F255" s="144" t="s">
        <v>370</v>
      </c>
      <c r="G255" s="144" t="s">
        <v>605</v>
      </c>
      <c r="H255" s="144"/>
      <c r="I255" s="144"/>
      <c r="J255" s="49"/>
      <c r="K255" s="49"/>
      <c r="L255" s="49"/>
      <c r="M255" s="49"/>
      <c r="N255" s="49"/>
      <c r="O255" s="49"/>
      <c r="P255" s="49"/>
      <c r="Q255" s="49"/>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91-3-1</v>
      </c>
      <c r="B256" s="156"/>
      <c r="C256" s="156"/>
      <c r="D256" s="168"/>
      <c r="E256" s="160"/>
      <c r="F256" s="144" t="s">
        <v>371</v>
      </c>
      <c r="G256" s="144" t="s">
        <v>605</v>
      </c>
      <c r="H256" s="144"/>
      <c r="I256" s="144"/>
      <c r="J256" s="49"/>
      <c r="K256" s="49"/>
      <c r="L256" s="49"/>
      <c r="M256" s="49"/>
      <c r="N256" s="49"/>
      <c r="O256" s="49"/>
      <c r="P256" s="49"/>
      <c r="Q256" s="49"/>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91-4-1</v>
      </c>
      <c r="B257" s="156"/>
      <c r="C257" s="156"/>
      <c r="D257" s="168"/>
      <c r="E257" s="160"/>
      <c r="F257" s="144" t="s">
        <v>372</v>
      </c>
      <c r="G257" s="144" t="s">
        <v>605</v>
      </c>
      <c r="H257" s="144"/>
      <c r="I257" s="144"/>
      <c r="J257" s="49"/>
      <c r="K257" s="49"/>
      <c r="L257" s="49"/>
      <c r="M257" s="49"/>
      <c r="N257" s="49"/>
      <c r="O257" s="49"/>
      <c r="P257" s="49"/>
      <c r="Q257" s="49"/>
    </row>
    <row r="258" spans="1:17" ht="33.7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91-5-1</v>
      </c>
      <c r="B258" s="160"/>
      <c r="C258" s="160"/>
      <c r="D258" s="160"/>
      <c r="E258" s="156"/>
      <c r="F258" s="144" t="s">
        <v>373</v>
      </c>
      <c r="G258" s="144" t="s">
        <v>605</v>
      </c>
      <c r="H258" s="144"/>
      <c r="I258" s="144"/>
      <c r="J258" s="49"/>
      <c r="K258" s="49"/>
      <c r="L258" s="49"/>
      <c r="M258" s="49"/>
      <c r="N258" s="49"/>
      <c r="O258" s="49"/>
      <c r="P258" s="49"/>
      <c r="Q258" s="49"/>
    </row>
    <row r="259" spans="1:17" ht="22.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91-6-1</v>
      </c>
      <c r="B259" s="156"/>
      <c r="C259" s="160"/>
      <c r="D259" s="160"/>
      <c r="E259" s="156"/>
      <c r="F259" s="144" t="s">
        <v>374</v>
      </c>
      <c r="G259" s="144" t="s">
        <v>605</v>
      </c>
      <c r="H259" s="144"/>
      <c r="I259" s="144"/>
      <c r="J259" s="49"/>
      <c r="K259" s="49"/>
      <c r="L259" s="49"/>
      <c r="M259" s="49"/>
      <c r="N259" s="49"/>
      <c r="O259" s="49"/>
      <c r="P259" s="49"/>
      <c r="Q259" s="49"/>
    </row>
    <row r="260" spans="1:17" ht="22.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91-7-1</v>
      </c>
      <c r="B260" s="156"/>
      <c r="C260" s="160"/>
      <c r="D260" s="160"/>
      <c r="E260" s="156"/>
      <c r="F260" s="144" t="s">
        <v>375</v>
      </c>
      <c r="G260" s="144" t="s">
        <v>605</v>
      </c>
      <c r="H260" s="144"/>
      <c r="I260" s="144"/>
      <c r="J260" s="49"/>
      <c r="K260" s="49"/>
      <c r="L260" s="49"/>
      <c r="M260" s="49"/>
      <c r="N260" s="49"/>
      <c r="O260" s="49"/>
      <c r="P260" s="49"/>
      <c r="Q260" s="49"/>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91-8-1</v>
      </c>
      <c r="B261" s="156"/>
      <c r="C261" s="160"/>
      <c r="D261" s="160"/>
      <c r="E261" s="156"/>
      <c r="F261" s="144" t="s">
        <v>376</v>
      </c>
      <c r="G261" s="144" t="s">
        <v>605</v>
      </c>
      <c r="H261" s="144"/>
      <c r="I261" s="144"/>
      <c r="J261" s="49"/>
      <c r="K261" s="49"/>
      <c r="L261" s="49"/>
      <c r="M261" s="49"/>
      <c r="N261" s="49"/>
      <c r="O261" s="49"/>
      <c r="P261" s="49"/>
      <c r="Q261" s="49"/>
    </row>
    <row r="262" spans="1:17" ht="33.7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91-9-1</v>
      </c>
      <c r="B262" s="156"/>
      <c r="C262" s="160"/>
      <c r="D262" s="160"/>
      <c r="E262" s="156"/>
      <c r="F262" s="144" t="s">
        <v>377</v>
      </c>
      <c r="G262" s="144" t="s">
        <v>605</v>
      </c>
      <c r="H262" s="144"/>
      <c r="I262" s="144"/>
      <c r="J262" s="49"/>
      <c r="K262" s="49"/>
      <c r="L262" s="49"/>
      <c r="M262" s="49"/>
      <c r="N262" s="49"/>
      <c r="O262" s="49"/>
      <c r="P262" s="49"/>
      <c r="Q262" s="49"/>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91-10-1</v>
      </c>
      <c r="B263" s="156"/>
      <c r="C263" s="160"/>
      <c r="D263" s="160"/>
      <c r="E263" s="160"/>
      <c r="F263" s="144" t="s">
        <v>378</v>
      </c>
      <c r="G263" s="144" t="s">
        <v>605</v>
      </c>
      <c r="H263" s="144"/>
      <c r="I263" s="144"/>
      <c r="J263" s="49"/>
      <c r="K263" s="49"/>
      <c r="L263" s="49"/>
      <c r="M263" s="49"/>
      <c r="N263" s="49"/>
      <c r="O263" s="49"/>
      <c r="P263" s="49"/>
      <c r="Q263" s="49"/>
    </row>
    <row r="264" spans="1:17" ht="33.75">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91-11-1</v>
      </c>
      <c r="B264" s="156"/>
      <c r="C264" s="160"/>
      <c r="D264" s="160"/>
      <c r="E264" s="162"/>
      <c r="F264" s="144" t="s">
        <v>379</v>
      </c>
      <c r="G264" s="144" t="s">
        <v>605</v>
      </c>
      <c r="H264" s="144"/>
      <c r="I264" s="144"/>
      <c r="J264" s="49"/>
      <c r="K264" s="49"/>
      <c r="L264" s="49"/>
      <c r="M264" s="49"/>
      <c r="N264" s="49"/>
      <c r="O264" s="49"/>
      <c r="P264" s="49"/>
      <c r="Q264" s="49"/>
    </row>
    <row r="265" spans="1:17">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92-1-1</v>
      </c>
      <c r="B265" s="156"/>
      <c r="C265" s="160"/>
      <c r="D265" s="160"/>
      <c r="E265" s="160" t="s">
        <v>61</v>
      </c>
      <c r="F265" s="144" t="s">
        <v>380</v>
      </c>
      <c r="G265" s="144" t="s">
        <v>605</v>
      </c>
      <c r="H265" s="144"/>
      <c r="I265" s="144"/>
      <c r="J265" s="49"/>
      <c r="K265" s="49"/>
      <c r="L265" s="49"/>
      <c r="M265" s="49"/>
      <c r="N265" s="49"/>
      <c r="O265" s="49"/>
      <c r="P265" s="49"/>
      <c r="Q265" s="49"/>
    </row>
    <row r="266" spans="1:17">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92-2-1</v>
      </c>
      <c r="B266" s="156"/>
      <c r="C266" s="160"/>
      <c r="D266" s="160"/>
      <c r="E266" s="160"/>
      <c r="F266" s="144" t="s">
        <v>381</v>
      </c>
      <c r="G266" s="144" t="s">
        <v>605</v>
      </c>
      <c r="H266" s="144"/>
      <c r="I266" s="144"/>
      <c r="J266" s="49"/>
      <c r="K266" s="49"/>
      <c r="L266" s="49"/>
      <c r="M266" s="49"/>
      <c r="N266" s="49"/>
      <c r="O266" s="49"/>
      <c r="P266" s="49"/>
      <c r="Q266" s="49"/>
    </row>
    <row r="267" spans="1:17" ht="22.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92-3-1</v>
      </c>
      <c r="B267" s="156"/>
      <c r="C267" s="156"/>
      <c r="D267" s="160"/>
      <c r="E267" s="160"/>
      <c r="F267" s="144" t="s">
        <v>382</v>
      </c>
      <c r="G267" s="144" t="s">
        <v>605</v>
      </c>
      <c r="H267" s="144"/>
      <c r="I267" s="144"/>
      <c r="J267" s="49"/>
      <c r="K267" s="49"/>
      <c r="L267" s="49"/>
      <c r="M267" s="49"/>
      <c r="N267" s="49"/>
      <c r="O267" s="49"/>
      <c r="P267" s="49"/>
      <c r="Q267" s="49"/>
    </row>
    <row r="268" spans="1:17" ht="22.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92-4-1</v>
      </c>
      <c r="B268" s="156"/>
      <c r="C268" s="156"/>
      <c r="D268" s="168"/>
      <c r="E268" s="160"/>
      <c r="F268" s="144" t="s">
        <v>383</v>
      </c>
      <c r="G268" s="144" t="s">
        <v>605</v>
      </c>
      <c r="H268" s="144"/>
      <c r="I268" s="144"/>
      <c r="J268" s="49"/>
      <c r="K268" s="49"/>
      <c r="L268" s="49"/>
      <c r="M268" s="49"/>
      <c r="N268" s="49"/>
      <c r="O268" s="49"/>
      <c r="P268" s="49"/>
      <c r="Q268" s="49"/>
    </row>
    <row r="269" spans="1:17" ht="22.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92-5-1</v>
      </c>
      <c r="B269" s="156"/>
      <c r="C269" s="156"/>
      <c r="D269" s="168"/>
      <c r="E269" s="160"/>
      <c r="F269" s="144" t="s">
        <v>384</v>
      </c>
      <c r="G269" s="144" t="s">
        <v>605</v>
      </c>
      <c r="H269" s="144"/>
      <c r="I269" s="144"/>
      <c r="J269" s="49"/>
      <c r="K269" s="49"/>
      <c r="L269" s="49"/>
      <c r="M269" s="49"/>
      <c r="N269" s="49"/>
      <c r="O269" s="49"/>
      <c r="P269" s="49"/>
      <c r="Q269" s="49"/>
    </row>
    <row r="270" spans="1:17" ht="33.7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92-6-1</v>
      </c>
      <c r="B270" s="156"/>
      <c r="C270" s="156"/>
      <c r="D270" s="168"/>
      <c r="E270" s="162"/>
      <c r="F270" s="144" t="s">
        <v>385</v>
      </c>
      <c r="G270" s="144" t="s">
        <v>605</v>
      </c>
      <c r="H270" s="144"/>
      <c r="I270" s="144"/>
      <c r="J270" s="49"/>
      <c r="K270" s="49"/>
      <c r="L270" s="49"/>
      <c r="M270" s="49"/>
      <c r="N270" s="49"/>
      <c r="O270" s="49"/>
      <c r="P270" s="49"/>
      <c r="Q270" s="49"/>
    </row>
    <row r="271" spans="1:17" ht="22.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93-1-1</v>
      </c>
      <c r="B271" s="156"/>
      <c r="C271" s="156"/>
      <c r="D271" s="168"/>
      <c r="E271" s="160" t="s">
        <v>205</v>
      </c>
      <c r="F271" s="144" t="s">
        <v>386</v>
      </c>
      <c r="G271" s="144" t="s">
        <v>605</v>
      </c>
      <c r="H271" s="144"/>
      <c r="I271" s="144"/>
      <c r="J271" s="49"/>
      <c r="K271" s="49"/>
      <c r="L271" s="49"/>
      <c r="M271" s="49"/>
      <c r="N271" s="49"/>
      <c r="O271" s="49"/>
      <c r="P271" s="49"/>
      <c r="Q271" s="49"/>
    </row>
    <row r="272" spans="1:17" ht="33.7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93-2-1</v>
      </c>
      <c r="B272" s="156"/>
      <c r="C272" s="156"/>
      <c r="D272" s="168"/>
      <c r="E272" s="160"/>
      <c r="F272" s="144" t="s">
        <v>387</v>
      </c>
      <c r="G272" s="144" t="s">
        <v>605</v>
      </c>
      <c r="H272" s="144"/>
      <c r="I272" s="144"/>
      <c r="J272" s="49"/>
      <c r="K272" s="49"/>
      <c r="L272" s="49"/>
      <c r="M272" s="49"/>
      <c r="N272" s="49"/>
      <c r="O272" s="49"/>
      <c r="P272" s="49"/>
      <c r="Q272" s="49"/>
    </row>
    <row r="273" spans="1:17" ht="4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93-3-1</v>
      </c>
      <c r="B273" s="156"/>
      <c r="C273" s="156"/>
      <c r="D273" s="168"/>
      <c r="E273" s="160"/>
      <c r="F273" s="144" t="s">
        <v>388</v>
      </c>
      <c r="G273" s="144" t="s">
        <v>605</v>
      </c>
      <c r="H273" s="144"/>
      <c r="I273" s="144"/>
      <c r="J273" s="49"/>
      <c r="K273" s="49"/>
      <c r="L273" s="49"/>
      <c r="M273" s="49"/>
      <c r="N273" s="49"/>
      <c r="O273" s="49"/>
      <c r="P273" s="49"/>
      <c r="Q273" s="49"/>
    </row>
    <row r="274" spans="1:17" ht="4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93-4-1</v>
      </c>
      <c r="B274" s="156"/>
      <c r="C274" s="156"/>
      <c r="D274" s="168"/>
      <c r="E274" s="160"/>
      <c r="F274" s="144" t="s">
        <v>389</v>
      </c>
      <c r="G274" s="144" t="s">
        <v>605</v>
      </c>
      <c r="H274" s="144"/>
      <c r="I274" s="144"/>
      <c r="J274" s="49"/>
      <c r="K274" s="49"/>
      <c r="L274" s="49"/>
      <c r="M274" s="49"/>
      <c r="N274" s="49"/>
      <c r="O274" s="49"/>
      <c r="P274" s="49"/>
      <c r="Q274" s="49"/>
    </row>
    <row r="275" spans="1:17" ht="22.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93-5-1</v>
      </c>
      <c r="B275" s="156"/>
      <c r="C275" s="156"/>
      <c r="D275" s="168"/>
      <c r="E275" s="160"/>
      <c r="F275" s="144" t="s">
        <v>390</v>
      </c>
      <c r="G275" s="144" t="s">
        <v>605</v>
      </c>
      <c r="H275" s="144"/>
      <c r="I275" s="144"/>
      <c r="J275" s="49"/>
      <c r="K275" s="49"/>
      <c r="L275" s="49"/>
      <c r="M275" s="49"/>
      <c r="N275" s="49"/>
      <c r="O275" s="49"/>
      <c r="P275" s="49"/>
      <c r="Q275" s="49"/>
    </row>
    <row r="276" spans="1:17" ht="4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93-6-1</v>
      </c>
      <c r="B276" s="156"/>
      <c r="C276" s="156"/>
      <c r="D276" s="168"/>
      <c r="E276" s="160"/>
      <c r="F276" s="144" t="s">
        <v>391</v>
      </c>
      <c r="G276" s="144" t="s">
        <v>605</v>
      </c>
      <c r="H276" s="144"/>
      <c r="I276" s="144"/>
      <c r="J276" s="49"/>
      <c r="K276" s="49"/>
      <c r="L276" s="49"/>
      <c r="M276" s="49"/>
      <c r="N276" s="49"/>
      <c r="O276" s="49"/>
      <c r="P276" s="49"/>
      <c r="Q276" s="49"/>
    </row>
    <row r="277" spans="1:17" ht="4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93-7-1</v>
      </c>
      <c r="B277" s="156"/>
      <c r="C277" s="156"/>
      <c r="D277" s="168"/>
      <c r="E277" s="160"/>
      <c r="F277" s="144" t="s">
        <v>392</v>
      </c>
      <c r="G277" s="144" t="s">
        <v>605</v>
      </c>
      <c r="H277" s="144"/>
      <c r="I277" s="144"/>
      <c r="J277" s="49"/>
      <c r="K277" s="49"/>
      <c r="L277" s="49"/>
      <c r="M277" s="49"/>
      <c r="N277" s="49"/>
      <c r="O277" s="49"/>
      <c r="P277" s="49"/>
      <c r="Q277" s="49"/>
    </row>
    <row r="278" spans="1:17" ht="22.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93-8-1</v>
      </c>
      <c r="B278" s="156"/>
      <c r="C278" s="156"/>
      <c r="D278" s="168"/>
      <c r="E278" s="162"/>
      <c r="F278" s="144" t="s">
        <v>393</v>
      </c>
      <c r="G278" s="144" t="s">
        <v>605</v>
      </c>
      <c r="H278" s="144"/>
      <c r="I278" s="144"/>
      <c r="J278" s="49"/>
      <c r="K278" s="49"/>
      <c r="L278" s="49"/>
      <c r="M278" s="49"/>
      <c r="N278" s="49"/>
      <c r="O278" s="49"/>
      <c r="P278" s="49"/>
      <c r="Q278" s="49"/>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94-1-1</v>
      </c>
      <c r="B279" s="178"/>
      <c r="C279" s="178"/>
      <c r="D279" s="175"/>
      <c r="E279" s="162" t="s">
        <v>239</v>
      </c>
      <c r="F279" s="144" t="s">
        <v>394</v>
      </c>
      <c r="G279" s="144" t="s">
        <v>605</v>
      </c>
      <c r="H279" s="144"/>
      <c r="I279" s="144"/>
      <c r="J279" s="49"/>
      <c r="K279" s="49"/>
      <c r="L279" s="49"/>
      <c r="M279" s="49"/>
      <c r="N279" s="49"/>
      <c r="O279" s="49"/>
      <c r="P279" s="49"/>
      <c r="Q279" s="49"/>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95-1-1</v>
      </c>
      <c r="B280" s="171" t="s">
        <v>395</v>
      </c>
      <c r="C280" s="140" t="s">
        <v>396</v>
      </c>
      <c r="D280" s="140" t="s">
        <v>54</v>
      </c>
      <c r="E280" s="140" t="s">
        <v>54</v>
      </c>
      <c r="F280" s="127" t="s">
        <v>397</v>
      </c>
      <c r="G280" s="127"/>
      <c r="H280" s="127"/>
      <c r="I280" s="127"/>
      <c r="J280" s="96" t="s">
        <v>643</v>
      </c>
      <c r="K280" s="96"/>
      <c r="L280" s="97"/>
      <c r="M280" s="96"/>
      <c r="N280" s="96"/>
      <c r="O280" s="96"/>
      <c r="P280" s="96"/>
      <c r="Q280" s="96"/>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95-2-1</v>
      </c>
      <c r="B281" s="143"/>
      <c r="C281" s="149"/>
      <c r="D281" s="141"/>
      <c r="E281" s="141"/>
      <c r="F281" s="127" t="s">
        <v>398</v>
      </c>
      <c r="G281" s="127"/>
      <c r="H281" s="127"/>
      <c r="I281" s="127"/>
      <c r="J281" s="96" t="s">
        <v>643</v>
      </c>
      <c r="K281" s="96"/>
      <c r="L281" s="97"/>
      <c r="M281" s="96"/>
      <c r="N281" s="96"/>
      <c r="O281" s="96"/>
      <c r="P281" s="96"/>
      <c r="Q281" s="96"/>
    </row>
    <row r="282" spans="1:17" ht="22.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95-3-1</v>
      </c>
      <c r="B282" s="143"/>
      <c r="C282" s="149"/>
      <c r="D282" s="141"/>
      <c r="E282" s="141"/>
      <c r="F282" s="127" t="s">
        <v>399</v>
      </c>
      <c r="G282" s="127"/>
      <c r="H282" s="127"/>
      <c r="I282" s="127"/>
      <c r="J282" s="96" t="s">
        <v>643</v>
      </c>
      <c r="K282" s="96"/>
      <c r="L282" s="97"/>
      <c r="M282" s="96"/>
      <c r="N282" s="96"/>
      <c r="O282" s="96"/>
      <c r="P282" s="96"/>
      <c r="Q282" s="96"/>
    </row>
    <row r="283" spans="1:17" ht="22.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95-4-1</v>
      </c>
      <c r="B283" s="143"/>
      <c r="C283" s="231"/>
      <c r="D283" s="146"/>
      <c r="E283" s="146"/>
      <c r="F283" s="127" t="s">
        <v>400</v>
      </c>
      <c r="G283" s="127"/>
      <c r="H283" s="127"/>
      <c r="I283" s="127"/>
      <c r="J283" s="96" t="s">
        <v>643</v>
      </c>
      <c r="K283" s="96"/>
      <c r="L283" s="97"/>
      <c r="M283" s="96"/>
      <c r="N283" s="96"/>
      <c r="O283" s="96"/>
      <c r="P283" s="96"/>
      <c r="Q283" s="96"/>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96-1-1</v>
      </c>
      <c r="B284" s="143"/>
      <c r="C284" s="141" t="s">
        <v>401</v>
      </c>
      <c r="D284" s="141" t="s">
        <v>214</v>
      </c>
      <c r="E284" s="127" t="s">
        <v>232</v>
      </c>
      <c r="F284" s="127" t="s">
        <v>402</v>
      </c>
      <c r="G284" s="127"/>
      <c r="H284" s="127"/>
      <c r="I284" s="127"/>
      <c r="J284" s="96" t="s">
        <v>643</v>
      </c>
      <c r="K284" s="96"/>
      <c r="L284" s="97"/>
      <c r="M284" s="96"/>
      <c r="N284" s="96"/>
      <c r="O284" s="96"/>
      <c r="P284" s="96"/>
      <c r="Q284" s="96"/>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97-1-1</v>
      </c>
      <c r="B285" s="143"/>
      <c r="C285" s="149"/>
      <c r="D285" s="141"/>
      <c r="E285" s="146" t="s">
        <v>234</v>
      </c>
      <c r="F285" s="127" t="s">
        <v>403</v>
      </c>
      <c r="G285" s="127"/>
      <c r="H285" s="127"/>
      <c r="I285" s="127"/>
      <c r="J285" s="96" t="s">
        <v>643</v>
      </c>
      <c r="K285" s="96"/>
      <c r="L285" s="97"/>
      <c r="M285" s="96"/>
      <c r="N285" s="96"/>
      <c r="O285" s="96"/>
      <c r="P285" s="96"/>
      <c r="Q285" s="96"/>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98-1-1</v>
      </c>
      <c r="B286" s="143"/>
      <c r="C286" s="149"/>
      <c r="D286" s="141"/>
      <c r="E286" s="127" t="s">
        <v>236</v>
      </c>
      <c r="F286" s="127" t="s">
        <v>404</v>
      </c>
      <c r="G286" s="127"/>
      <c r="H286" s="127"/>
      <c r="I286" s="127"/>
      <c r="J286" s="96" t="s">
        <v>643</v>
      </c>
      <c r="K286" s="96"/>
      <c r="L286" s="97"/>
      <c r="M286" s="96"/>
      <c r="N286" s="96"/>
      <c r="O286" s="96"/>
      <c r="P286" s="96"/>
      <c r="Q286" s="96"/>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99-1-1</v>
      </c>
      <c r="B287" s="143"/>
      <c r="C287" s="149"/>
      <c r="D287" s="146"/>
      <c r="E287" s="146" t="s">
        <v>152</v>
      </c>
      <c r="F287" s="127" t="s">
        <v>405</v>
      </c>
      <c r="G287" s="127"/>
      <c r="H287" s="127"/>
      <c r="I287" s="127"/>
      <c r="J287" s="96" t="s">
        <v>643</v>
      </c>
      <c r="K287" s="96"/>
      <c r="L287" s="97"/>
      <c r="M287" s="96"/>
      <c r="N287" s="96"/>
      <c r="O287" s="96"/>
      <c r="P287" s="96"/>
      <c r="Q287" s="96"/>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100-1-1</v>
      </c>
      <c r="B288" s="143"/>
      <c r="C288" s="143"/>
      <c r="D288" s="141" t="s">
        <v>406</v>
      </c>
      <c r="E288" s="141" t="s">
        <v>407</v>
      </c>
      <c r="F288" s="127" t="s">
        <v>408</v>
      </c>
      <c r="G288" s="127"/>
      <c r="H288" s="127"/>
      <c r="I288" s="127"/>
      <c r="J288" s="96" t="s">
        <v>643</v>
      </c>
      <c r="K288" s="96"/>
      <c r="L288" s="97"/>
      <c r="M288" s="96"/>
      <c r="N288" s="96"/>
      <c r="O288" s="96"/>
      <c r="P288" s="96"/>
      <c r="Q288" s="96"/>
    </row>
    <row r="289" spans="1:17" ht="22.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100-2-1</v>
      </c>
      <c r="B289" s="143"/>
      <c r="C289" s="143"/>
      <c r="D289" s="147"/>
      <c r="E289" s="141"/>
      <c r="F289" s="127" t="s">
        <v>409</v>
      </c>
      <c r="G289" s="127"/>
      <c r="H289" s="127"/>
      <c r="I289" s="127"/>
      <c r="J289" s="96" t="s">
        <v>643</v>
      </c>
      <c r="K289" s="96"/>
      <c r="L289" s="97"/>
      <c r="M289" s="96"/>
      <c r="N289" s="96"/>
      <c r="O289" s="96"/>
      <c r="P289" s="96"/>
      <c r="Q289" s="96"/>
    </row>
    <row r="290" spans="1:17" ht="33.7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100-3-1</v>
      </c>
      <c r="B290" s="143"/>
      <c r="C290" s="143"/>
      <c r="D290" s="147"/>
      <c r="E290" s="141"/>
      <c r="F290" s="127" t="s">
        <v>410</v>
      </c>
      <c r="G290" s="127"/>
      <c r="H290" s="127"/>
      <c r="I290" s="127"/>
      <c r="J290" s="96" t="s">
        <v>643</v>
      </c>
      <c r="K290" s="96"/>
      <c r="L290" s="97"/>
      <c r="M290" s="96"/>
      <c r="N290" s="96"/>
      <c r="O290" s="96"/>
      <c r="P290" s="96"/>
      <c r="Q290" s="96"/>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100-4-1</v>
      </c>
      <c r="B291" s="143"/>
      <c r="C291" s="143"/>
      <c r="D291" s="147"/>
      <c r="E291" s="141"/>
      <c r="F291" s="127" t="s">
        <v>252</v>
      </c>
      <c r="G291" s="127"/>
      <c r="H291" s="127"/>
      <c r="I291" s="127"/>
      <c r="J291" s="96" t="s">
        <v>643</v>
      </c>
      <c r="K291" s="96"/>
      <c r="L291" s="97"/>
      <c r="M291" s="96"/>
      <c r="N291" s="96"/>
      <c r="O291" s="96"/>
      <c r="P291" s="96"/>
      <c r="Q291" s="96"/>
    </row>
    <row r="292" spans="1:17" ht="33.7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100-5-1</v>
      </c>
      <c r="B292" s="143"/>
      <c r="C292" s="143"/>
      <c r="D292" s="147"/>
      <c r="E292" s="141"/>
      <c r="F292" s="127" t="s">
        <v>253</v>
      </c>
      <c r="G292" s="127"/>
      <c r="H292" s="127"/>
      <c r="I292" s="127"/>
      <c r="J292" s="96" t="s">
        <v>643</v>
      </c>
      <c r="K292" s="96"/>
      <c r="L292" s="97"/>
      <c r="M292" s="96"/>
      <c r="N292" s="96"/>
      <c r="O292" s="96"/>
      <c r="P292" s="96"/>
      <c r="Q292" s="96"/>
    </row>
    <row r="293" spans="1:17" ht="33.7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100-6-1</v>
      </c>
      <c r="B293" s="143"/>
      <c r="C293" s="143"/>
      <c r="D293" s="147"/>
      <c r="E293" s="141"/>
      <c r="F293" s="127" t="s">
        <v>254</v>
      </c>
      <c r="G293" s="127"/>
      <c r="H293" s="127"/>
      <c r="I293" s="127"/>
      <c r="J293" s="96" t="s">
        <v>643</v>
      </c>
      <c r="K293" s="96"/>
      <c r="L293" s="97"/>
      <c r="M293" s="96"/>
      <c r="N293" s="96"/>
      <c r="O293" s="96"/>
      <c r="P293" s="96"/>
      <c r="Q293" s="96"/>
    </row>
    <row r="294" spans="1:17" ht="33.7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100-7-1</v>
      </c>
      <c r="B294" s="143"/>
      <c r="C294" s="143"/>
      <c r="D294" s="147"/>
      <c r="E294" s="141"/>
      <c r="F294" s="127" t="s">
        <v>411</v>
      </c>
      <c r="G294" s="127"/>
      <c r="H294" s="127"/>
      <c r="I294" s="127"/>
      <c r="J294" s="96" t="s">
        <v>643</v>
      </c>
      <c r="K294" s="96"/>
      <c r="L294" s="97"/>
      <c r="M294" s="96"/>
      <c r="N294" s="96"/>
      <c r="O294" s="96"/>
      <c r="P294" s="96"/>
      <c r="Q294" s="96"/>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100-8-1</v>
      </c>
      <c r="B295" s="143"/>
      <c r="C295" s="143"/>
      <c r="D295" s="147"/>
      <c r="E295" s="141"/>
      <c r="F295" s="127" t="s">
        <v>412</v>
      </c>
      <c r="G295" s="127"/>
      <c r="H295" s="127"/>
      <c r="I295" s="127"/>
      <c r="J295" s="96" t="s">
        <v>643</v>
      </c>
      <c r="K295" s="96"/>
      <c r="L295" s="97"/>
      <c r="M295" s="96"/>
      <c r="N295" s="96"/>
      <c r="O295" s="96"/>
      <c r="P295" s="96"/>
      <c r="Q295" s="96"/>
    </row>
    <row r="296" spans="1:17" ht="22.5">
      <c r="A296" s="4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100-9-1</v>
      </c>
      <c r="B296" s="232"/>
      <c r="C296" s="232"/>
      <c r="D296" s="145"/>
      <c r="E296" s="146"/>
      <c r="F296" s="127" t="s">
        <v>413</v>
      </c>
      <c r="G296" s="127"/>
      <c r="H296" s="127"/>
      <c r="I296" s="127"/>
      <c r="J296" s="96" t="s">
        <v>643</v>
      </c>
      <c r="K296" s="96"/>
      <c r="L296" s="97"/>
      <c r="M296" s="96"/>
      <c r="N296" s="96"/>
      <c r="O296" s="96"/>
      <c r="P296" s="96"/>
      <c r="Q296" s="96"/>
    </row>
  </sheetData>
  <autoFilter ref="A10:Q296" xr:uid="{5BBE5B88-9450-4DBF-A5BD-089AA7F66955}"/>
  <mergeCells count="2">
    <mergeCell ref="B113:B114"/>
    <mergeCell ref="B133:B134"/>
  </mergeCells>
  <phoneticPr fontId="2"/>
  <dataValidations count="1">
    <dataValidation type="list" allowBlank="1" showInputMessage="1" showErrorMessage="1" sqref="O11:O296" xr:uid="{D46CE9C7-0A1C-4F2E-A7A2-54843E5401BD}">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1" manualBreakCount="1">
    <brk id="44" max="16383"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D25B3-87EB-4418-8CC8-B4543A94C3FF}">
  <sheetPr>
    <pageSetUpPr fitToPage="1"/>
  </sheetPr>
  <dimension ref="A1:Q506"/>
  <sheetViews>
    <sheetView showGridLines="0" view="pageBreakPreview" zoomScaleNormal="80" zoomScaleSheetLayoutView="100" workbookViewId="0">
      <pane ySplit="10" topLeftCell="A11" activePane="bottomLeft" state="frozen"/>
      <selection activeCell="A11" sqref="A11"/>
      <selection pane="bottomLeft"/>
    </sheetView>
  </sheetViews>
  <sheetFormatPr defaultColWidth="9" defaultRowHeight="11.25" outlineLevelCol="1"/>
  <cols>
    <col min="1" max="2" width="8.625" style="24" customWidth="1"/>
    <col min="3" max="5" width="8.625" style="25" customWidth="1"/>
    <col min="6" max="6" width="40.625" style="25" customWidth="1"/>
    <col min="7" max="7" width="40.625" style="62" hidden="1" customWidth="1" outlineLevel="1"/>
    <col min="8" max="8" width="15.625" style="68" customWidth="1" collapsed="1"/>
    <col min="9" max="9" width="15.625" style="68" customWidth="1"/>
    <col min="10" max="10" width="25.625" style="73" customWidth="1"/>
    <col min="11" max="11" width="25.625" style="74" customWidth="1"/>
    <col min="12" max="12" width="12.625" style="24" customWidth="1"/>
    <col min="13" max="13" width="8.625" style="24" customWidth="1"/>
    <col min="14" max="14" width="10" style="24" bestFit="1" customWidth="1"/>
    <col min="15" max="17" width="8.625" style="24" customWidth="1"/>
    <col min="18" max="16384" width="9" style="24"/>
  </cols>
  <sheetData>
    <row r="1" spans="1:17">
      <c r="A1" s="24" t="s">
        <v>564</v>
      </c>
    </row>
    <row r="2" spans="1:17">
      <c r="A2" s="24" t="s">
        <v>592</v>
      </c>
    </row>
    <row r="4" spans="1:17">
      <c r="A4" s="24" t="s">
        <v>565</v>
      </c>
    </row>
    <row r="5" spans="1:17">
      <c r="A5" s="24" t="s">
        <v>631</v>
      </c>
    </row>
    <row r="6" spans="1:17">
      <c r="A6" s="24" t="s">
        <v>632</v>
      </c>
      <c r="J6" s="24"/>
      <c r="K6" s="24"/>
      <c r="M6" s="73"/>
      <c r="N6" s="73" t="s">
        <v>12</v>
      </c>
      <c r="O6" s="74"/>
      <c r="P6" s="74" t="s">
        <v>0</v>
      </c>
    </row>
    <row r="7" spans="1:17">
      <c r="A7" s="24" t="s">
        <v>1047</v>
      </c>
      <c r="J7" s="24"/>
      <c r="K7" s="24"/>
      <c r="M7" s="73"/>
      <c r="N7" s="73" t="s">
        <v>13</v>
      </c>
      <c r="O7" s="74"/>
      <c r="P7" s="74" t="s">
        <v>1</v>
      </c>
    </row>
    <row r="8" spans="1:17" ht="12" thickBot="1">
      <c r="A8" s="26" t="s">
        <v>1050</v>
      </c>
      <c r="B8" s="26"/>
      <c r="C8" s="27"/>
      <c r="D8" s="27"/>
      <c r="E8" s="27"/>
      <c r="F8" s="27"/>
      <c r="G8" s="63"/>
      <c r="H8" s="69"/>
      <c r="I8" s="69"/>
      <c r="J8" s="75"/>
      <c r="K8" s="76"/>
      <c r="L8" s="26"/>
      <c r="M8" s="26"/>
      <c r="N8" s="26"/>
      <c r="O8" s="26"/>
      <c r="P8" s="26"/>
      <c r="Q8" s="26"/>
    </row>
    <row r="9" spans="1:17" ht="12" thickTop="1"/>
    <row r="10" spans="1:17" s="30" customFormat="1">
      <c r="A10" s="28" t="s">
        <v>32</v>
      </c>
      <c r="B10" s="28" t="s">
        <v>38</v>
      </c>
      <c r="C10" s="28" t="s">
        <v>39</v>
      </c>
      <c r="D10" s="28" t="s">
        <v>40</v>
      </c>
      <c r="E10" s="28" t="s">
        <v>517</v>
      </c>
      <c r="F10" s="28" t="s">
        <v>42</v>
      </c>
      <c r="G10" s="31" t="s">
        <v>510</v>
      </c>
      <c r="H10" s="70" t="s">
        <v>9</v>
      </c>
      <c r="I10" s="70" t="s">
        <v>10</v>
      </c>
      <c r="J10" s="77" t="s">
        <v>2</v>
      </c>
      <c r="K10" s="72" t="s">
        <v>3</v>
      </c>
      <c r="L10" s="29" t="s">
        <v>45</v>
      </c>
      <c r="M10" s="29" t="s">
        <v>4</v>
      </c>
      <c r="N10" s="29" t="s">
        <v>14</v>
      </c>
      <c r="O10" s="29" t="s">
        <v>5</v>
      </c>
      <c r="P10" s="29" t="s">
        <v>6</v>
      </c>
      <c r="Q10" s="29"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95" t="s">
        <v>528</v>
      </c>
      <c r="C11" s="195" t="s">
        <v>47</v>
      </c>
      <c r="D11" s="196" t="s">
        <v>48</v>
      </c>
      <c r="E11" s="126" t="s">
        <v>49</v>
      </c>
      <c r="F11" s="94" t="s">
        <v>50</v>
      </c>
      <c r="G11" s="95" t="s">
        <v>560</v>
      </c>
      <c r="H11" s="96"/>
      <c r="I11" s="96"/>
      <c r="J11" s="97"/>
      <c r="K11" s="97"/>
      <c r="L11" s="96"/>
      <c r="M11" s="96"/>
      <c r="N11" s="96"/>
      <c r="O11" s="126"/>
      <c r="P11" s="97"/>
      <c r="Q11" s="97"/>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96"/>
      <c r="C12" s="197"/>
      <c r="D12" s="198"/>
      <c r="E12" s="198" t="s">
        <v>51</v>
      </c>
      <c r="F12" s="94" t="s">
        <v>52</v>
      </c>
      <c r="G12" s="95" t="s">
        <v>560</v>
      </c>
      <c r="H12" s="96"/>
      <c r="I12" s="96"/>
      <c r="J12" s="97"/>
      <c r="K12" s="97"/>
      <c r="L12" s="96"/>
      <c r="M12" s="96"/>
      <c r="N12" s="96"/>
      <c r="O12" s="126"/>
      <c r="P12" s="97"/>
      <c r="Q12" s="97"/>
    </row>
    <row r="13" spans="1:17"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96"/>
      <c r="C13" s="197"/>
      <c r="D13" s="196" t="s">
        <v>53</v>
      </c>
      <c r="E13" s="199" t="s">
        <v>495</v>
      </c>
      <c r="F13" s="94" t="s">
        <v>55</v>
      </c>
      <c r="G13" s="95" t="s">
        <v>560</v>
      </c>
      <c r="H13" s="96"/>
      <c r="I13" s="96"/>
      <c r="J13" s="97"/>
      <c r="K13" s="97"/>
      <c r="L13" s="96"/>
      <c r="M13" s="96"/>
      <c r="N13" s="96"/>
      <c r="O13" s="126"/>
      <c r="P13" s="97"/>
      <c r="Q13" s="97"/>
    </row>
    <row r="14" spans="1:17"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96"/>
      <c r="C14" s="197"/>
      <c r="D14" s="196"/>
      <c r="E14" s="199"/>
      <c r="F14" s="94" t="s">
        <v>56</v>
      </c>
      <c r="G14" s="95" t="s">
        <v>560</v>
      </c>
      <c r="H14" s="96"/>
      <c r="I14" s="96"/>
      <c r="J14" s="97"/>
      <c r="K14" s="97"/>
      <c r="L14" s="96"/>
      <c r="M14" s="96"/>
      <c r="N14" s="96"/>
      <c r="O14" s="126"/>
      <c r="P14" s="97"/>
      <c r="Q14" s="97"/>
    </row>
    <row r="15" spans="1:17"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96"/>
      <c r="C15" s="197"/>
      <c r="D15" s="196"/>
      <c r="E15" s="199"/>
      <c r="F15" s="94" t="s">
        <v>57</v>
      </c>
      <c r="G15" s="95" t="s">
        <v>560</v>
      </c>
      <c r="H15" s="96"/>
      <c r="I15" s="96"/>
      <c r="J15" s="97"/>
      <c r="K15" s="97"/>
      <c r="L15" s="96"/>
      <c r="M15" s="96"/>
      <c r="N15" s="96"/>
      <c r="O15" s="126"/>
      <c r="P15" s="97"/>
      <c r="Q15" s="97"/>
    </row>
    <row r="16" spans="1:17"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96"/>
      <c r="C16" s="197"/>
      <c r="D16" s="196"/>
      <c r="E16" s="199"/>
      <c r="F16" s="94" t="s">
        <v>58</v>
      </c>
      <c r="G16" s="95" t="s">
        <v>560</v>
      </c>
      <c r="H16" s="96"/>
      <c r="I16" s="96"/>
      <c r="J16" s="97"/>
      <c r="K16" s="97"/>
      <c r="L16" s="96"/>
      <c r="M16" s="96"/>
      <c r="N16" s="96"/>
      <c r="O16" s="126"/>
      <c r="P16" s="97"/>
      <c r="Q16" s="97"/>
    </row>
    <row r="17" spans="1:17"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96"/>
      <c r="C17" s="197"/>
      <c r="D17" s="200"/>
      <c r="E17" s="198"/>
      <c r="F17" s="94" t="s">
        <v>59</v>
      </c>
      <c r="G17" s="95" t="s">
        <v>560</v>
      </c>
      <c r="H17" s="96"/>
      <c r="I17" s="96"/>
      <c r="J17" s="97"/>
      <c r="K17" s="97"/>
      <c r="L17" s="96"/>
      <c r="M17" s="96"/>
      <c r="N17" s="96"/>
      <c r="O17" s="126"/>
      <c r="P17" s="97"/>
      <c r="Q17" s="97"/>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96"/>
      <c r="C18" s="197"/>
      <c r="D18" s="199" t="s">
        <v>60</v>
      </c>
      <c r="E18" s="199" t="s">
        <v>61</v>
      </c>
      <c r="F18" s="94" t="s">
        <v>62</v>
      </c>
      <c r="G18" s="95" t="s">
        <v>560</v>
      </c>
      <c r="H18" s="96"/>
      <c r="I18" s="96"/>
      <c r="J18" s="97"/>
      <c r="K18" s="97"/>
      <c r="L18" s="96"/>
      <c r="M18" s="96"/>
      <c r="N18" s="96"/>
      <c r="O18" s="126"/>
      <c r="P18" s="97"/>
      <c r="Q18" s="97"/>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96"/>
      <c r="C19" s="197"/>
      <c r="D19" s="199"/>
      <c r="E19" s="199"/>
      <c r="F19" s="94" t="s">
        <v>63</v>
      </c>
      <c r="G19" s="95" t="s">
        <v>560</v>
      </c>
      <c r="H19" s="96"/>
      <c r="I19" s="96"/>
      <c r="J19" s="97"/>
      <c r="K19" s="97"/>
      <c r="L19" s="96"/>
      <c r="M19" s="96"/>
      <c r="N19" s="96"/>
      <c r="O19" s="126"/>
      <c r="P19" s="97"/>
      <c r="Q19" s="97"/>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96"/>
      <c r="C20" s="197"/>
      <c r="D20" s="199"/>
      <c r="E20" s="198"/>
      <c r="F20" s="94" t="s">
        <v>64</v>
      </c>
      <c r="G20" s="95" t="s">
        <v>560</v>
      </c>
      <c r="H20" s="96"/>
      <c r="I20" s="96"/>
      <c r="J20" s="97"/>
      <c r="K20" s="97"/>
      <c r="L20" s="96"/>
      <c r="M20" s="96"/>
      <c r="N20" s="96"/>
      <c r="O20" s="126"/>
      <c r="P20" s="97"/>
      <c r="Q20" s="97"/>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96"/>
      <c r="C21" s="197"/>
      <c r="D21" s="199"/>
      <c r="E21" s="199" t="s">
        <v>65</v>
      </c>
      <c r="F21" s="94" t="s">
        <v>66</v>
      </c>
      <c r="G21" s="95" t="s">
        <v>560</v>
      </c>
      <c r="H21" s="96"/>
      <c r="I21" s="96"/>
      <c r="J21" s="97"/>
      <c r="K21" s="97"/>
      <c r="L21" s="96"/>
      <c r="M21" s="96"/>
      <c r="N21" s="96"/>
      <c r="O21" s="126"/>
      <c r="P21" s="97"/>
      <c r="Q21" s="97"/>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96"/>
      <c r="C22" s="197"/>
      <c r="D22" s="199"/>
      <c r="E22" s="199"/>
      <c r="F22" s="94" t="s">
        <v>67</v>
      </c>
      <c r="G22" s="95" t="s">
        <v>560</v>
      </c>
      <c r="H22" s="96"/>
      <c r="I22" s="96"/>
      <c r="J22" s="97"/>
      <c r="K22" s="97"/>
      <c r="L22" s="96"/>
      <c r="M22" s="96"/>
      <c r="N22" s="96"/>
      <c r="O22" s="126"/>
      <c r="P22" s="97"/>
      <c r="Q22" s="97"/>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96"/>
      <c r="C23" s="197"/>
      <c r="D23" s="199"/>
      <c r="E23" s="199"/>
      <c r="F23" s="94" t="s">
        <v>529</v>
      </c>
      <c r="G23" s="95" t="s">
        <v>560</v>
      </c>
      <c r="H23" s="96"/>
      <c r="I23" s="96"/>
      <c r="J23" s="97"/>
      <c r="K23" s="97"/>
      <c r="L23" s="96"/>
      <c r="M23" s="96"/>
      <c r="N23" s="96"/>
      <c r="O23" s="126"/>
      <c r="P23" s="97"/>
      <c r="Q23" s="97"/>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96"/>
      <c r="C24" s="197"/>
      <c r="D24" s="200"/>
      <c r="E24" s="198"/>
      <c r="F24" s="140" t="s">
        <v>69</v>
      </c>
      <c r="G24" s="95" t="s">
        <v>560</v>
      </c>
      <c r="H24" s="96"/>
      <c r="I24" s="96"/>
      <c r="J24" s="97"/>
      <c r="K24" s="97"/>
      <c r="L24" s="96"/>
      <c r="M24" s="96"/>
      <c r="N24" s="96"/>
      <c r="O24" s="126"/>
      <c r="P24" s="97"/>
      <c r="Q24" s="97"/>
    </row>
    <row r="25" spans="1:17"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96"/>
      <c r="C25" s="197"/>
      <c r="D25" s="199" t="s">
        <v>70</v>
      </c>
      <c r="E25" s="199" t="s">
        <v>495</v>
      </c>
      <c r="F25" s="94" t="s">
        <v>71</v>
      </c>
      <c r="G25" s="95" t="s">
        <v>560</v>
      </c>
      <c r="H25" s="96"/>
      <c r="I25" s="96"/>
      <c r="J25" s="97"/>
      <c r="K25" s="97"/>
      <c r="L25" s="96"/>
      <c r="M25" s="96"/>
      <c r="N25" s="96"/>
      <c r="O25" s="126"/>
      <c r="P25" s="97"/>
      <c r="Q25" s="97"/>
    </row>
    <row r="26" spans="1:17">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96"/>
      <c r="C26" s="197"/>
      <c r="D26" s="200"/>
      <c r="E26" s="198"/>
      <c r="F26" s="94" t="s">
        <v>72</v>
      </c>
      <c r="G26" s="95" t="s">
        <v>560</v>
      </c>
      <c r="H26" s="96"/>
      <c r="I26" s="96"/>
      <c r="J26" s="97"/>
      <c r="K26" s="97"/>
      <c r="L26" s="96"/>
      <c r="M26" s="96"/>
      <c r="N26" s="96"/>
      <c r="O26" s="126"/>
      <c r="P26" s="97"/>
      <c r="Q26" s="97"/>
    </row>
    <row r="27" spans="1:17"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96"/>
      <c r="C27" s="197"/>
      <c r="D27" s="199" t="s">
        <v>73</v>
      </c>
      <c r="E27" s="199" t="s">
        <v>74</v>
      </c>
      <c r="F27" s="94" t="s">
        <v>75</v>
      </c>
      <c r="G27" s="95" t="s">
        <v>560</v>
      </c>
      <c r="H27" s="96"/>
      <c r="I27" s="96"/>
      <c r="J27" s="97"/>
      <c r="K27" s="97"/>
      <c r="L27" s="96"/>
      <c r="M27" s="96"/>
      <c r="N27" s="96"/>
      <c r="O27" s="126"/>
      <c r="P27" s="97"/>
      <c r="Q27" s="97"/>
    </row>
    <row r="28" spans="1:17"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96"/>
      <c r="C28" s="197"/>
      <c r="D28" s="199"/>
      <c r="E28" s="198"/>
      <c r="F28" s="94" t="s">
        <v>76</v>
      </c>
      <c r="G28" s="95" t="s">
        <v>560</v>
      </c>
      <c r="H28" s="96"/>
      <c r="I28" s="96"/>
      <c r="J28" s="97"/>
      <c r="K28" s="97"/>
      <c r="L28" s="96"/>
      <c r="M28" s="96"/>
      <c r="N28" s="96"/>
      <c r="O28" s="126"/>
      <c r="P28" s="97"/>
      <c r="Q28" s="97"/>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96"/>
      <c r="C29" s="197"/>
      <c r="D29" s="196"/>
      <c r="E29" s="199" t="s">
        <v>77</v>
      </c>
      <c r="F29" s="94" t="s">
        <v>78</v>
      </c>
      <c r="G29" s="95" t="s">
        <v>560</v>
      </c>
      <c r="H29" s="96"/>
      <c r="I29" s="96"/>
      <c r="J29" s="97"/>
      <c r="K29" s="97"/>
      <c r="L29" s="96"/>
      <c r="M29" s="96"/>
      <c r="N29" s="96"/>
      <c r="O29" s="126"/>
      <c r="P29" s="97"/>
      <c r="Q29" s="97"/>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96"/>
      <c r="C30" s="197"/>
      <c r="D30" s="199"/>
      <c r="E30" s="199"/>
      <c r="F30" s="94" t="s">
        <v>79</v>
      </c>
      <c r="G30" s="95" t="s">
        <v>560</v>
      </c>
      <c r="H30" s="96"/>
      <c r="I30" s="96"/>
      <c r="J30" s="97"/>
      <c r="K30" s="97"/>
      <c r="L30" s="96"/>
      <c r="M30" s="96"/>
      <c r="N30" s="96"/>
      <c r="O30" s="126"/>
      <c r="P30" s="97"/>
      <c r="Q30" s="97"/>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96"/>
      <c r="C31" s="197"/>
      <c r="D31" s="199"/>
      <c r="E31" s="199"/>
      <c r="F31" s="94" t="s">
        <v>80</v>
      </c>
      <c r="G31" s="95" t="s">
        <v>560</v>
      </c>
      <c r="H31" s="96"/>
      <c r="I31" s="96"/>
      <c r="J31" s="97"/>
      <c r="K31" s="97"/>
      <c r="L31" s="96"/>
      <c r="M31" s="96"/>
      <c r="N31" s="96"/>
      <c r="O31" s="126"/>
      <c r="P31" s="97"/>
      <c r="Q31" s="97"/>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96"/>
      <c r="C32" s="197"/>
      <c r="D32" s="199"/>
      <c r="E32" s="198"/>
      <c r="F32" s="94" t="s">
        <v>81</v>
      </c>
      <c r="G32" s="95" t="s">
        <v>560</v>
      </c>
      <c r="H32" s="96"/>
      <c r="I32" s="96"/>
      <c r="J32" s="97"/>
      <c r="K32" s="97"/>
      <c r="L32" s="96"/>
      <c r="M32" s="96"/>
      <c r="N32" s="96"/>
      <c r="O32" s="126"/>
      <c r="P32" s="97"/>
      <c r="Q32" s="97"/>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96"/>
      <c r="C33" s="197"/>
      <c r="D33" s="199"/>
      <c r="E33" s="199" t="s">
        <v>530</v>
      </c>
      <c r="F33" s="94" t="s">
        <v>83</v>
      </c>
      <c r="G33" s="95" t="s">
        <v>560</v>
      </c>
      <c r="H33" s="96"/>
      <c r="I33" s="96"/>
      <c r="J33" s="97"/>
      <c r="K33" s="97"/>
      <c r="L33" s="96"/>
      <c r="M33" s="96"/>
      <c r="N33" s="96"/>
      <c r="O33" s="126"/>
      <c r="P33" s="97"/>
      <c r="Q33" s="97"/>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96"/>
      <c r="C34" s="197"/>
      <c r="D34" s="199"/>
      <c r="E34" s="198"/>
      <c r="F34" s="94" t="s">
        <v>84</v>
      </c>
      <c r="G34" s="95" t="s">
        <v>560</v>
      </c>
      <c r="H34" s="96"/>
      <c r="I34" s="96"/>
      <c r="J34" s="97"/>
      <c r="K34" s="97"/>
      <c r="L34" s="96"/>
      <c r="M34" s="96"/>
      <c r="N34" s="96"/>
      <c r="O34" s="126"/>
      <c r="P34" s="97"/>
      <c r="Q34" s="97"/>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96"/>
      <c r="C35" s="196"/>
      <c r="D35" s="199"/>
      <c r="E35" s="196" t="s">
        <v>85</v>
      </c>
      <c r="F35" s="94" t="s">
        <v>86</v>
      </c>
      <c r="G35" s="95" t="s">
        <v>559</v>
      </c>
      <c r="H35" s="127"/>
      <c r="I35" s="127"/>
      <c r="J35" s="128"/>
      <c r="K35" s="128"/>
      <c r="L35" s="96"/>
      <c r="M35" s="96"/>
      <c r="N35" s="96"/>
      <c r="O35" s="126"/>
      <c r="P35" s="97"/>
      <c r="Q35" s="97"/>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96"/>
      <c r="C36" s="201" t="s">
        <v>87</v>
      </c>
      <c r="D36" s="201" t="s">
        <v>499</v>
      </c>
      <c r="E36" s="202" t="s">
        <v>499</v>
      </c>
      <c r="F36" s="67" t="s">
        <v>88</v>
      </c>
      <c r="G36" s="64" t="s">
        <v>559</v>
      </c>
      <c r="H36" s="49"/>
      <c r="I36" s="49"/>
      <c r="J36" s="46"/>
      <c r="K36" s="46"/>
      <c r="L36" s="49"/>
      <c r="M36" s="49"/>
      <c r="N36" s="49"/>
      <c r="O36" s="129"/>
      <c r="P36" s="46"/>
      <c r="Q36" s="46"/>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96"/>
      <c r="C37" s="203"/>
      <c r="D37" s="204"/>
      <c r="E37" s="203"/>
      <c r="F37" s="66" t="s">
        <v>531</v>
      </c>
      <c r="G37" s="64" t="s">
        <v>559</v>
      </c>
      <c r="H37" s="49"/>
      <c r="I37" s="49"/>
      <c r="J37" s="46"/>
      <c r="K37" s="46"/>
      <c r="L37" s="49"/>
      <c r="M37" s="49"/>
      <c r="N37" s="49"/>
      <c r="O37" s="129"/>
      <c r="P37" s="46"/>
      <c r="Q37" s="46"/>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96"/>
      <c r="C38" s="203"/>
      <c r="D38" s="204"/>
      <c r="E38" s="203"/>
      <c r="F38" s="66" t="s">
        <v>90</v>
      </c>
      <c r="G38" s="64" t="s">
        <v>559</v>
      </c>
      <c r="H38" s="49"/>
      <c r="I38" s="49"/>
      <c r="J38" s="46"/>
      <c r="K38" s="46"/>
      <c r="L38" s="49"/>
      <c r="M38" s="49"/>
      <c r="N38" s="49"/>
      <c r="O38" s="129"/>
      <c r="P38" s="46"/>
      <c r="Q38" s="46"/>
    </row>
    <row r="39" spans="1:17"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96"/>
      <c r="C39" s="203"/>
      <c r="D39" s="205"/>
      <c r="E39" s="206"/>
      <c r="F39" s="66" t="s">
        <v>91</v>
      </c>
      <c r="G39" s="64" t="s">
        <v>559</v>
      </c>
      <c r="H39" s="49"/>
      <c r="I39" s="49"/>
      <c r="J39" s="46"/>
      <c r="K39" s="46"/>
      <c r="L39" s="49"/>
      <c r="M39" s="49"/>
      <c r="N39" s="49"/>
      <c r="O39" s="129"/>
      <c r="P39" s="46"/>
      <c r="Q39" s="46"/>
    </row>
    <row r="40" spans="1:17"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96"/>
      <c r="C40" s="203"/>
      <c r="D40" s="204" t="s">
        <v>92</v>
      </c>
      <c r="E40" s="203" t="s">
        <v>54</v>
      </c>
      <c r="F40" s="66" t="s">
        <v>532</v>
      </c>
      <c r="G40" s="64" t="s">
        <v>559</v>
      </c>
      <c r="H40" s="49"/>
      <c r="I40" s="49"/>
      <c r="J40" s="46"/>
      <c r="K40" s="46"/>
      <c r="L40" s="49"/>
      <c r="M40" s="49"/>
      <c r="N40" s="49"/>
      <c r="O40" s="129"/>
      <c r="P40" s="46"/>
      <c r="Q40" s="46"/>
    </row>
    <row r="41" spans="1:17">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98"/>
      <c r="C41" s="206"/>
      <c r="D41" s="205"/>
      <c r="E41" s="206"/>
      <c r="F41" s="66" t="s">
        <v>533</v>
      </c>
      <c r="G41" s="64" t="s">
        <v>559</v>
      </c>
      <c r="H41" s="49"/>
      <c r="I41" s="49"/>
      <c r="J41" s="46"/>
      <c r="K41" s="46"/>
      <c r="L41" s="49"/>
      <c r="M41" s="49"/>
      <c r="N41" s="49"/>
      <c r="O41" s="129"/>
      <c r="P41" s="46"/>
      <c r="Q41" s="46"/>
    </row>
    <row r="42" spans="1:17" ht="22.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207" t="s">
        <v>95</v>
      </c>
      <c r="C42" s="233" t="s">
        <v>96</v>
      </c>
      <c r="D42" s="233" t="s">
        <v>97</v>
      </c>
      <c r="E42" s="234" t="s">
        <v>98</v>
      </c>
      <c r="F42" s="94" t="s">
        <v>99</v>
      </c>
      <c r="G42" s="95"/>
      <c r="H42" s="127"/>
      <c r="I42" s="127"/>
      <c r="J42" s="80" t="s">
        <v>646</v>
      </c>
      <c r="K42" s="80"/>
      <c r="L42" s="96"/>
      <c r="M42" s="96"/>
      <c r="N42" s="96"/>
      <c r="O42" s="126"/>
      <c r="P42" s="97"/>
      <c r="Q42" s="97"/>
    </row>
    <row r="43" spans="1:17" ht="22.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207"/>
      <c r="C43" s="196"/>
      <c r="D43" s="196"/>
      <c r="E43" s="199"/>
      <c r="F43" s="94" t="s">
        <v>100</v>
      </c>
      <c r="G43" s="95"/>
      <c r="H43" s="140"/>
      <c r="I43" s="127"/>
      <c r="J43" s="80" t="s">
        <v>646</v>
      </c>
      <c r="K43" s="80"/>
      <c r="L43" s="96"/>
      <c r="M43" s="96"/>
      <c r="N43" s="96"/>
      <c r="O43" s="126"/>
      <c r="P43" s="97"/>
      <c r="Q43" s="97"/>
    </row>
    <row r="44" spans="1:17" ht="33.7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207"/>
      <c r="C44" s="196"/>
      <c r="D44" s="196"/>
      <c r="E44" s="198"/>
      <c r="F44" s="94" t="s">
        <v>101</v>
      </c>
      <c r="G44" s="95"/>
      <c r="H44" s="140"/>
      <c r="I44" s="127"/>
      <c r="J44" s="80" t="s">
        <v>646</v>
      </c>
      <c r="K44" s="80"/>
      <c r="L44" s="96"/>
      <c r="M44" s="96"/>
      <c r="N44" s="96"/>
      <c r="O44" s="126"/>
      <c r="P44" s="97"/>
      <c r="Q44" s="97"/>
    </row>
    <row r="45" spans="1:17" ht="22.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207"/>
      <c r="C45" s="196"/>
      <c r="D45" s="196"/>
      <c r="E45" s="199" t="s">
        <v>102</v>
      </c>
      <c r="F45" s="94" t="s">
        <v>103</v>
      </c>
      <c r="G45" s="95"/>
      <c r="H45" s="96"/>
      <c r="I45" s="96"/>
      <c r="J45" s="235" t="s">
        <v>646</v>
      </c>
      <c r="K45" s="97"/>
      <c r="L45" s="96"/>
      <c r="M45" s="96"/>
      <c r="N45" s="96"/>
      <c r="O45" s="126"/>
      <c r="P45" s="97"/>
      <c r="Q45" s="97"/>
    </row>
    <row r="46" spans="1:17" ht="22.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207"/>
      <c r="C46" s="196"/>
      <c r="D46" s="196"/>
      <c r="E46" s="199"/>
      <c r="F46" s="94" t="s">
        <v>104</v>
      </c>
      <c r="G46" s="95"/>
      <c r="H46" s="96"/>
      <c r="I46" s="96"/>
      <c r="J46" s="235" t="s">
        <v>646</v>
      </c>
      <c r="K46" s="97"/>
      <c r="L46" s="96"/>
      <c r="M46" s="96"/>
      <c r="N46" s="96"/>
      <c r="O46" s="126"/>
      <c r="P46" s="97"/>
      <c r="Q46" s="97"/>
    </row>
    <row r="47" spans="1:17" ht="33.7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207"/>
      <c r="C47" s="196"/>
      <c r="D47" s="196"/>
      <c r="E47" s="198"/>
      <c r="F47" s="94" t="s">
        <v>101</v>
      </c>
      <c r="G47" s="95"/>
      <c r="H47" s="96"/>
      <c r="I47" s="96"/>
      <c r="J47" s="235" t="s">
        <v>646</v>
      </c>
      <c r="K47" s="97"/>
      <c r="L47" s="96"/>
      <c r="M47" s="96"/>
      <c r="N47" s="96"/>
      <c r="O47" s="126"/>
      <c r="P47" s="97"/>
      <c r="Q47" s="97"/>
    </row>
    <row r="48" spans="1:17" ht="2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207"/>
      <c r="C48" s="196"/>
      <c r="D48" s="196"/>
      <c r="E48" s="199" t="s">
        <v>105</v>
      </c>
      <c r="F48" s="236" t="s">
        <v>106</v>
      </c>
      <c r="G48" s="95"/>
      <c r="H48" s="127"/>
      <c r="I48" s="127"/>
      <c r="J48" s="80" t="s">
        <v>646</v>
      </c>
      <c r="K48" s="80"/>
      <c r="L48" s="96"/>
      <c r="M48" s="96"/>
      <c r="N48" s="96"/>
      <c r="O48" s="126"/>
      <c r="P48" s="97"/>
      <c r="Q48" s="97"/>
    </row>
    <row r="49" spans="1:17"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207"/>
      <c r="C49" s="196"/>
      <c r="D49" s="196"/>
      <c r="E49" s="198"/>
      <c r="F49" s="236" t="s">
        <v>107</v>
      </c>
      <c r="G49" s="95"/>
      <c r="H49" s="127"/>
      <c r="I49" s="127"/>
      <c r="J49" s="80" t="s">
        <v>646</v>
      </c>
      <c r="K49" s="80"/>
      <c r="L49" s="96"/>
      <c r="M49" s="96"/>
      <c r="N49" s="96"/>
      <c r="O49" s="126"/>
      <c r="P49" s="97"/>
      <c r="Q49" s="97"/>
    </row>
    <row r="50" spans="1:17"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207"/>
      <c r="C50" s="196"/>
      <c r="D50" s="196"/>
      <c r="E50" s="199" t="s">
        <v>108</v>
      </c>
      <c r="F50" s="94" t="s">
        <v>109</v>
      </c>
      <c r="G50" s="95"/>
      <c r="H50" s="96"/>
      <c r="I50" s="96"/>
      <c r="J50" s="97" t="s">
        <v>646</v>
      </c>
      <c r="K50" s="97"/>
      <c r="L50" s="96"/>
      <c r="M50" s="96"/>
      <c r="N50" s="96"/>
      <c r="O50" s="126"/>
      <c r="P50" s="97"/>
      <c r="Q50" s="97"/>
    </row>
    <row r="51" spans="1:17"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207"/>
      <c r="C51" s="196"/>
      <c r="D51" s="196"/>
      <c r="E51" s="199"/>
      <c r="F51" s="94" t="s">
        <v>110</v>
      </c>
      <c r="G51" s="95"/>
      <c r="H51" s="96"/>
      <c r="I51" s="96"/>
      <c r="J51" s="97" t="s">
        <v>646</v>
      </c>
      <c r="K51" s="97"/>
      <c r="L51" s="96"/>
      <c r="M51" s="96"/>
      <c r="N51" s="96"/>
      <c r="O51" s="126"/>
      <c r="P51" s="97"/>
      <c r="Q51" s="97"/>
    </row>
    <row r="52" spans="1:17" ht="2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207"/>
      <c r="C52" s="196"/>
      <c r="D52" s="196"/>
      <c r="E52" s="199"/>
      <c r="F52" s="94" t="s">
        <v>111</v>
      </c>
      <c r="G52" s="95"/>
      <c r="H52" s="96"/>
      <c r="I52" s="96"/>
      <c r="J52" s="97" t="s">
        <v>646</v>
      </c>
      <c r="K52" s="97"/>
      <c r="L52" s="96"/>
      <c r="M52" s="96"/>
      <c r="N52" s="96"/>
      <c r="O52" s="126"/>
      <c r="P52" s="97"/>
      <c r="Q52" s="97"/>
    </row>
    <row r="53" spans="1:17"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207"/>
      <c r="C53" s="196"/>
      <c r="D53" s="196"/>
      <c r="E53" s="199"/>
      <c r="F53" s="94" t="s">
        <v>112</v>
      </c>
      <c r="G53" s="95"/>
      <c r="H53" s="96"/>
      <c r="I53" s="96"/>
      <c r="J53" s="97" t="s">
        <v>646</v>
      </c>
      <c r="K53" s="97"/>
      <c r="L53" s="96"/>
      <c r="M53" s="96"/>
      <c r="N53" s="96"/>
      <c r="O53" s="126"/>
      <c r="P53" s="97"/>
      <c r="Q53" s="97"/>
    </row>
    <row r="54" spans="1:17" ht="2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207"/>
      <c r="C54" s="196"/>
      <c r="D54" s="196"/>
      <c r="E54" s="199"/>
      <c r="F54" s="94" t="s">
        <v>113</v>
      </c>
      <c r="G54" s="95"/>
      <c r="H54" s="96"/>
      <c r="I54" s="96"/>
      <c r="J54" s="97" t="s">
        <v>646</v>
      </c>
      <c r="K54" s="97"/>
      <c r="L54" s="96"/>
      <c r="M54" s="96"/>
      <c r="N54" s="96"/>
      <c r="O54" s="126"/>
      <c r="P54" s="97"/>
      <c r="Q54" s="97"/>
    </row>
    <row r="55" spans="1:17"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207"/>
      <c r="C55" s="196"/>
      <c r="D55" s="196"/>
      <c r="E55" s="198"/>
      <c r="F55" s="94" t="s">
        <v>114</v>
      </c>
      <c r="G55" s="95"/>
      <c r="H55" s="96"/>
      <c r="I55" s="96"/>
      <c r="J55" s="97" t="s">
        <v>646</v>
      </c>
      <c r="K55" s="97"/>
      <c r="L55" s="96"/>
      <c r="M55" s="96"/>
      <c r="N55" s="96"/>
      <c r="O55" s="126"/>
      <c r="P55" s="97"/>
      <c r="Q55" s="97"/>
    </row>
    <row r="56" spans="1:17" ht="33.7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207"/>
      <c r="C56" s="196"/>
      <c r="D56" s="196"/>
      <c r="E56" s="195" t="s">
        <v>115</v>
      </c>
      <c r="F56" s="236" t="s">
        <v>116</v>
      </c>
      <c r="G56" s="95"/>
      <c r="H56" s="127"/>
      <c r="I56" s="127"/>
      <c r="J56" s="80" t="s">
        <v>646</v>
      </c>
      <c r="K56" s="80"/>
      <c r="L56" s="96"/>
      <c r="M56" s="96"/>
      <c r="N56" s="96"/>
      <c r="O56" s="126"/>
      <c r="P56" s="97"/>
      <c r="Q56" s="97"/>
    </row>
    <row r="57" spans="1:17"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207"/>
      <c r="C57" s="196"/>
      <c r="D57" s="196"/>
      <c r="E57" s="126" t="s">
        <v>534</v>
      </c>
      <c r="F57" s="94" t="s">
        <v>118</v>
      </c>
      <c r="G57" s="95"/>
      <c r="H57" s="96"/>
      <c r="I57" s="96"/>
      <c r="J57" s="97" t="s">
        <v>646</v>
      </c>
      <c r="K57" s="97"/>
      <c r="L57" s="96"/>
      <c r="M57" s="96"/>
      <c r="N57" s="96"/>
      <c r="O57" s="126"/>
      <c r="P57" s="97"/>
      <c r="Q57" s="97"/>
    </row>
    <row r="58" spans="1:17"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207"/>
      <c r="C58" s="196"/>
      <c r="D58" s="198"/>
      <c r="E58" s="126" t="s">
        <v>119</v>
      </c>
      <c r="F58" s="94" t="s">
        <v>120</v>
      </c>
      <c r="G58" s="95"/>
      <c r="H58" s="96"/>
      <c r="I58" s="96"/>
      <c r="J58" s="97" t="s">
        <v>646</v>
      </c>
      <c r="K58" s="97"/>
      <c r="L58" s="96"/>
      <c r="M58" s="96"/>
      <c r="N58" s="96"/>
      <c r="O58" s="126"/>
      <c r="P58" s="97"/>
      <c r="Q58" s="97"/>
    </row>
    <row r="59" spans="1:17"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207"/>
      <c r="C59" s="196"/>
      <c r="D59" s="196" t="s">
        <v>121</v>
      </c>
      <c r="E59" s="199" t="s">
        <v>499</v>
      </c>
      <c r="F59" s="94" t="s">
        <v>535</v>
      </c>
      <c r="G59" s="95"/>
      <c r="H59" s="96"/>
      <c r="I59" s="96"/>
      <c r="J59" s="97" t="s">
        <v>647</v>
      </c>
      <c r="K59" s="97"/>
      <c r="L59" s="96"/>
      <c r="M59" s="96"/>
      <c r="N59" s="96"/>
      <c r="O59" s="126"/>
      <c r="P59" s="97"/>
      <c r="Q59" s="97"/>
    </row>
    <row r="60" spans="1:17"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207"/>
      <c r="C60" s="197"/>
      <c r="D60" s="196"/>
      <c r="E60" s="199"/>
      <c r="F60" s="236" t="s">
        <v>536</v>
      </c>
      <c r="G60" s="95"/>
      <c r="H60" s="127"/>
      <c r="I60" s="127"/>
      <c r="J60" s="97" t="s">
        <v>647</v>
      </c>
      <c r="K60" s="80"/>
      <c r="L60" s="96"/>
      <c r="M60" s="96"/>
      <c r="N60" s="96"/>
      <c r="O60" s="126"/>
      <c r="P60" s="97"/>
      <c r="Q60" s="97"/>
    </row>
    <row r="61" spans="1:17"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207"/>
      <c r="C61" s="197"/>
      <c r="D61" s="196"/>
      <c r="E61" s="199"/>
      <c r="F61" s="94" t="s">
        <v>537</v>
      </c>
      <c r="G61" s="95"/>
      <c r="H61" s="96"/>
      <c r="I61" s="96"/>
      <c r="J61" s="97" t="s">
        <v>647</v>
      </c>
      <c r="K61" s="97"/>
      <c r="L61" s="96"/>
      <c r="M61" s="96"/>
      <c r="N61" s="96"/>
      <c r="O61" s="126"/>
      <c r="P61" s="97"/>
      <c r="Q61" s="97"/>
    </row>
    <row r="62" spans="1:17"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207"/>
      <c r="C62" s="197"/>
      <c r="D62" s="196"/>
      <c r="E62" s="199"/>
      <c r="F62" s="94" t="s">
        <v>538</v>
      </c>
      <c r="G62" s="95"/>
      <c r="H62" s="96"/>
      <c r="I62" s="96"/>
      <c r="J62" s="97" t="s">
        <v>647</v>
      </c>
      <c r="K62" s="97"/>
      <c r="L62" s="96"/>
      <c r="M62" s="96"/>
      <c r="N62" s="96"/>
      <c r="O62" s="126"/>
      <c r="P62" s="97"/>
      <c r="Q62" s="97"/>
    </row>
    <row r="63" spans="1:17"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207"/>
      <c r="C63" s="197"/>
      <c r="D63" s="196"/>
      <c r="E63" s="198"/>
      <c r="F63" s="94" t="s">
        <v>126</v>
      </c>
      <c r="G63" s="95"/>
      <c r="H63" s="96"/>
      <c r="I63" s="96"/>
      <c r="J63" s="97" t="s">
        <v>647</v>
      </c>
      <c r="K63" s="97"/>
      <c r="L63" s="96"/>
      <c r="M63" s="96"/>
      <c r="N63" s="96"/>
      <c r="O63" s="126"/>
      <c r="P63" s="97"/>
      <c r="Q63" s="97"/>
    </row>
    <row r="64" spans="1:17" ht="33.7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207"/>
      <c r="C64" s="197"/>
      <c r="D64" s="196"/>
      <c r="E64" s="199" t="s">
        <v>127</v>
      </c>
      <c r="F64" s="94" t="s">
        <v>128</v>
      </c>
      <c r="G64" s="95"/>
      <c r="H64" s="96"/>
      <c r="I64" s="96"/>
      <c r="J64" s="97" t="s">
        <v>647</v>
      </c>
      <c r="K64" s="97"/>
      <c r="L64" s="96"/>
      <c r="M64" s="96"/>
      <c r="N64" s="96"/>
      <c r="O64" s="126"/>
      <c r="P64" s="97"/>
      <c r="Q64" s="97"/>
    </row>
    <row r="65" spans="1:17" ht="33.7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207"/>
      <c r="C65" s="197"/>
      <c r="D65" s="196"/>
      <c r="E65" s="199"/>
      <c r="F65" s="94" t="s">
        <v>129</v>
      </c>
      <c r="G65" s="95"/>
      <c r="H65" s="96"/>
      <c r="I65" s="96"/>
      <c r="J65" s="97" t="s">
        <v>647</v>
      </c>
      <c r="K65" s="97"/>
      <c r="L65" s="96"/>
      <c r="M65" s="96"/>
      <c r="N65" s="96"/>
      <c r="O65" s="126"/>
      <c r="P65" s="97"/>
      <c r="Q65" s="97"/>
    </row>
    <row r="66" spans="1:17" ht="33.7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207"/>
      <c r="C66" s="197"/>
      <c r="D66" s="196"/>
      <c r="E66" s="199"/>
      <c r="F66" s="94" t="s">
        <v>130</v>
      </c>
      <c r="G66" s="95"/>
      <c r="H66" s="96"/>
      <c r="I66" s="96"/>
      <c r="J66" s="97" t="s">
        <v>647</v>
      </c>
      <c r="K66" s="97"/>
      <c r="L66" s="96"/>
      <c r="M66" s="96"/>
      <c r="N66" s="96"/>
      <c r="O66" s="126"/>
      <c r="P66" s="97"/>
      <c r="Q66" s="97"/>
    </row>
    <row r="67" spans="1:17" ht="33.7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207"/>
      <c r="C67" s="197"/>
      <c r="D67" s="196"/>
      <c r="E67" s="199"/>
      <c r="F67" s="94" t="s">
        <v>131</v>
      </c>
      <c r="G67" s="95"/>
      <c r="H67" s="96"/>
      <c r="I67" s="96"/>
      <c r="J67" s="97" t="s">
        <v>647</v>
      </c>
      <c r="K67" s="97"/>
      <c r="L67" s="96"/>
      <c r="M67" s="96"/>
      <c r="N67" s="96"/>
      <c r="O67" s="126"/>
      <c r="P67" s="97"/>
      <c r="Q67" s="97"/>
    </row>
    <row r="68" spans="1:17"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207"/>
      <c r="C68" s="197"/>
      <c r="D68" s="196"/>
      <c r="E68" s="199"/>
      <c r="F68" s="94" t="s">
        <v>132</v>
      </c>
      <c r="G68" s="95"/>
      <c r="H68" s="96"/>
      <c r="I68" s="96"/>
      <c r="J68" s="97" t="s">
        <v>647</v>
      </c>
      <c r="K68" s="97"/>
      <c r="L68" s="96"/>
      <c r="M68" s="96"/>
      <c r="N68" s="96"/>
      <c r="O68" s="126"/>
      <c r="P68" s="97"/>
      <c r="Q68" s="97"/>
    </row>
    <row r="69" spans="1:17" ht="22.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207"/>
      <c r="C69" s="197"/>
      <c r="D69" s="196"/>
      <c r="E69" s="199"/>
      <c r="F69" s="94" t="s">
        <v>133</v>
      </c>
      <c r="G69" s="95"/>
      <c r="H69" s="96"/>
      <c r="I69" s="96"/>
      <c r="J69" s="97" t="s">
        <v>647</v>
      </c>
      <c r="K69" s="97"/>
      <c r="L69" s="96"/>
      <c r="M69" s="96"/>
      <c r="N69" s="96"/>
      <c r="O69" s="126"/>
      <c r="P69" s="97"/>
      <c r="Q69" s="97"/>
    </row>
    <row r="70" spans="1:17"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207"/>
      <c r="C70" s="197"/>
      <c r="D70" s="196"/>
      <c r="E70" s="199"/>
      <c r="F70" s="94" t="s">
        <v>134</v>
      </c>
      <c r="G70" s="95"/>
      <c r="H70" s="96"/>
      <c r="I70" s="96"/>
      <c r="J70" s="97" t="s">
        <v>647</v>
      </c>
      <c r="K70" s="97"/>
      <c r="L70" s="96"/>
      <c r="M70" s="96"/>
      <c r="N70" s="96"/>
      <c r="O70" s="126"/>
      <c r="P70" s="97"/>
      <c r="Q70" s="97"/>
    </row>
    <row r="71" spans="1:17" ht="33.7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207"/>
      <c r="C71" s="197"/>
      <c r="D71" s="196"/>
      <c r="E71" s="198"/>
      <c r="F71" s="94" t="s">
        <v>135</v>
      </c>
      <c r="G71" s="95"/>
      <c r="H71" s="96"/>
      <c r="I71" s="96"/>
      <c r="J71" s="97" t="s">
        <v>647</v>
      </c>
      <c r="K71" s="97"/>
      <c r="L71" s="96"/>
      <c r="M71" s="96"/>
      <c r="N71" s="96"/>
      <c r="O71" s="126"/>
      <c r="P71" s="97"/>
      <c r="Q71" s="97"/>
    </row>
    <row r="72" spans="1:17" ht="22.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207"/>
      <c r="C72" s="197"/>
      <c r="D72" s="196"/>
      <c r="E72" s="127" t="s">
        <v>136</v>
      </c>
      <c r="F72" s="237" t="s">
        <v>137</v>
      </c>
      <c r="G72" s="91"/>
      <c r="H72" s="127"/>
      <c r="I72" s="127"/>
      <c r="J72" s="80" t="s">
        <v>647</v>
      </c>
      <c r="K72" s="80"/>
      <c r="L72" s="230"/>
      <c r="M72" s="229"/>
      <c r="N72" s="96"/>
      <c r="O72" s="126"/>
      <c r="P72" s="97"/>
      <c r="Q72" s="97"/>
    </row>
    <row r="73" spans="1:17" ht="22.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207"/>
      <c r="C73" s="218"/>
      <c r="D73" s="196"/>
      <c r="E73" s="199" t="s">
        <v>138</v>
      </c>
      <c r="F73" s="94" t="s">
        <v>139</v>
      </c>
      <c r="G73" s="95"/>
      <c r="H73" s="96"/>
      <c r="I73" s="96"/>
      <c r="J73" s="80" t="s">
        <v>647</v>
      </c>
      <c r="K73" s="97"/>
      <c r="L73" s="96"/>
      <c r="M73" s="96"/>
      <c r="N73" s="96"/>
      <c r="O73" s="126"/>
      <c r="P73" s="97"/>
      <c r="Q73" s="97"/>
    </row>
    <row r="74" spans="1:17" ht="22.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207"/>
      <c r="C74" s="218"/>
      <c r="D74" s="196"/>
      <c r="E74" s="199"/>
      <c r="F74" s="94" t="s">
        <v>140</v>
      </c>
      <c r="G74" s="95"/>
      <c r="H74" s="96"/>
      <c r="I74" s="96"/>
      <c r="J74" s="80" t="s">
        <v>647</v>
      </c>
      <c r="K74" s="97"/>
      <c r="L74" s="96"/>
      <c r="M74" s="96"/>
      <c r="N74" s="96"/>
      <c r="O74" s="126"/>
      <c r="P74" s="97"/>
      <c r="Q74" s="97"/>
    </row>
    <row r="75" spans="1:17" ht="22.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207"/>
      <c r="C75" s="218"/>
      <c r="D75" s="196"/>
      <c r="E75" s="199"/>
      <c r="F75" s="94" t="s">
        <v>141</v>
      </c>
      <c r="G75" s="95"/>
      <c r="H75" s="96"/>
      <c r="I75" s="96"/>
      <c r="J75" s="80" t="s">
        <v>647</v>
      </c>
      <c r="K75" s="97"/>
      <c r="L75" s="96"/>
      <c r="M75" s="96"/>
      <c r="N75" s="96"/>
      <c r="O75" s="126"/>
      <c r="P75" s="97"/>
      <c r="Q75" s="97"/>
    </row>
    <row r="76" spans="1:17" ht="22.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207"/>
      <c r="C76" s="218"/>
      <c r="D76" s="196"/>
      <c r="E76" s="199"/>
      <c r="F76" s="94" t="s">
        <v>142</v>
      </c>
      <c r="G76" s="95"/>
      <c r="H76" s="96"/>
      <c r="I76" s="96"/>
      <c r="J76" s="80" t="s">
        <v>647</v>
      </c>
      <c r="K76" s="97"/>
      <c r="L76" s="96"/>
      <c r="M76" s="96"/>
      <c r="N76" s="96"/>
      <c r="O76" s="126"/>
      <c r="P76" s="97"/>
      <c r="Q76" s="97"/>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207"/>
      <c r="C77" s="200"/>
      <c r="D77" s="198"/>
      <c r="E77" s="200"/>
      <c r="F77" s="94" t="s">
        <v>143</v>
      </c>
      <c r="G77" s="95" t="s">
        <v>627</v>
      </c>
      <c r="H77" s="96"/>
      <c r="I77" s="96"/>
      <c r="J77" s="80"/>
      <c r="K77" s="97"/>
      <c r="L77" s="96"/>
      <c r="M77" s="96"/>
      <c r="N77" s="96"/>
      <c r="O77" s="126"/>
      <c r="P77" s="97"/>
      <c r="Q77" s="97"/>
    </row>
    <row r="78" spans="1:17" ht="33.7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216"/>
      <c r="C78" s="217" t="s">
        <v>144</v>
      </c>
      <c r="D78" s="212" t="s">
        <v>15</v>
      </c>
      <c r="E78" s="212" t="s">
        <v>495</v>
      </c>
      <c r="F78" s="60" t="s">
        <v>145</v>
      </c>
      <c r="G78" s="71"/>
      <c r="H78" s="122" t="s">
        <v>648</v>
      </c>
      <c r="I78" s="122" t="s">
        <v>649</v>
      </c>
      <c r="J78" s="32" t="s">
        <v>932</v>
      </c>
      <c r="K78" s="32" t="s">
        <v>650</v>
      </c>
      <c r="L78" s="116"/>
      <c r="M78" s="116"/>
      <c r="N78" s="54"/>
      <c r="O78" s="130"/>
      <c r="P78" s="78"/>
      <c r="Q78" s="78"/>
    </row>
    <row r="79" spans="1:17" ht="33.7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24-1-2</v>
      </c>
      <c r="B79" s="216"/>
      <c r="C79" s="210"/>
      <c r="D79" s="207"/>
      <c r="E79" s="207"/>
      <c r="F79" s="239"/>
      <c r="G79" s="71"/>
      <c r="H79" s="122" t="s">
        <v>648</v>
      </c>
      <c r="I79" s="122" t="s">
        <v>649</v>
      </c>
      <c r="J79" s="32" t="s">
        <v>933</v>
      </c>
      <c r="K79" s="32" t="s">
        <v>651</v>
      </c>
      <c r="L79" s="116"/>
      <c r="M79" s="116"/>
      <c r="N79" s="54"/>
      <c r="O79" s="130"/>
      <c r="P79" s="78"/>
      <c r="Q79" s="78"/>
    </row>
    <row r="80" spans="1:17" ht="33.7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24-2-1</v>
      </c>
      <c r="B80" s="207"/>
      <c r="C80" s="210"/>
      <c r="D80" s="207"/>
      <c r="E80" s="207"/>
      <c r="F80" s="60" t="s">
        <v>146</v>
      </c>
      <c r="G80" s="71"/>
      <c r="H80" s="122" t="s">
        <v>648</v>
      </c>
      <c r="I80" s="122" t="s">
        <v>649</v>
      </c>
      <c r="J80" s="122" t="s">
        <v>934</v>
      </c>
      <c r="K80" s="32" t="s">
        <v>1032</v>
      </c>
      <c r="L80" s="116"/>
      <c r="M80" s="116"/>
      <c r="N80" s="54"/>
      <c r="O80" s="130"/>
      <c r="P80" s="78"/>
      <c r="Q80" s="78"/>
    </row>
    <row r="81" spans="1:17" ht="33.7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24-2-2</v>
      </c>
      <c r="B81" s="207"/>
      <c r="C81" s="210"/>
      <c r="D81" s="207"/>
      <c r="E81" s="211"/>
      <c r="F81" s="239"/>
      <c r="G81" s="71"/>
      <c r="H81" s="122" t="s">
        <v>648</v>
      </c>
      <c r="I81" s="122" t="s">
        <v>649</v>
      </c>
      <c r="J81" s="122" t="s">
        <v>933</v>
      </c>
      <c r="K81" s="32" t="s">
        <v>1033</v>
      </c>
      <c r="L81" s="116"/>
      <c r="M81" s="116"/>
      <c r="N81" s="54"/>
      <c r="O81" s="130"/>
      <c r="P81" s="78"/>
      <c r="Q81" s="78"/>
    </row>
    <row r="82" spans="1:17" ht="33.7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25-1-1</v>
      </c>
      <c r="B82" s="207"/>
      <c r="C82" s="210"/>
      <c r="D82" s="207"/>
      <c r="E82" s="212" t="s">
        <v>147</v>
      </c>
      <c r="F82" s="60" t="s">
        <v>148</v>
      </c>
      <c r="G82" s="71"/>
      <c r="H82" s="116" t="s">
        <v>648</v>
      </c>
      <c r="I82" s="116" t="s">
        <v>649</v>
      </c>
      <c r="J82" s="121" t="s">
        <v>932</v>
      </c>
      <c r="K82" s="78" t="s">
        <v>652</v>
      </c>
      <c r="L82" s="116"/>
      <c r="M82" s="116"/>
      <c r="N82" s="54"/>
      <c r="O82" s="130"/>
      <c r="P82" s="78"/>
      <c r="Q82" s="78"/>
    </row>
    <row r="83" spans="1:17" ht="33.7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25-1-2</v>
      </c>
      <c r="B83" s="207"/>
      <c r="C83" s="210"/>
      <c r="D83" s="207"/>
      <c r="E83" s="211"/>
      <c r="F83" s="239"/>
      <c r="G83" s="71"/>
      <c r="H83" s="116" t="s">
        <v>648</v>
      </c>
      <c r="I83" s="116" t="s">
        <v>649</v>
      </c>
      <c r="J83" s="121" t="s">
        <v>933</v>
      </c>
      <c r="K83" s="78" t="s">
        <v>907</v>
      </c>
      <c r="L83" s="116"/>
      <c r="M83" s="116"/>
      <c r="N83" s="54"/>
      <c r="O83" s="130"/>
      <c r="P83" s="78"/>
      <c r="Q83" s="78"/>
    </row>
    <row r="84" spans="1:17" ht="33.7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26-1-1</v>
      </c>
      <c r="B84" s="207"/>
      <c r="C84" s="210"/>
      <c r="D84" s="207"/>
      <c r="E84" s="199" t="s">
        <v>149</v>
      </c>
      <c r="F84" s="240" t="s">
        <v>150</v>
      </c>
      <c r="G84" s="95"/>
      <c r="H84" s="96"/>
      <c r="I84" s="96"/>
      <c r="J84" s="97" t="s">
        <v>653</v>
      </c>
      <c r="K84" s="97"/>
      <c r="L84" s="96"/>
      <c r="M84" s="96"/>
      <c r="N84" s="96"/>
      <c r="O84" s="126"/>
      <c r="P84" s="97"/>
      <c r="Q84" s="97"/>
    </row>
    <row r="85" spans="1:17" ht="33.7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26-2-1</v>
      </c>
      <c r="B85" s="207"/>
      <c r="C85" s="210"/>
      <c r="D85" s="207"/>
      <c r="E85" s="198"/>
      <c r="F85" s="94" t="s">
        <v>151</v>
      </c>
      <c r="G85" s="95"/>
      <c r="H85" s="96"/>
      <c r="I85" s="96"/>
      <c r="J85" s="97" t="s">
        <v>653</v>
      </c>
      <c r="K85" s="97"/>
      <c r="L85" s="96"/>
      <c r="M85" s="96"/>
      <c r="N85" s="96"/>
      <c r="O85" s="126"/>
      <c r="P85" s="97"/>
      <c r="Q85" s="97"/>
    </row>
    <row r="86" spans="1:17" ht="22.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27-1-1</v>
      </c>
      <c r="B86" s="207"/>
      <c r="C86" s="210"/>
      <c r="D86" s="207"/>
      <c r="E86" s="126" t="s">
        <v>152</v>
      </c>
      <c r="F86" s="94" t="s">
        <v>153</v>
      </c>
      <c r="G86" s="95"/>
      <c r="H86" s="96"/>
      <c r="I86" s="96"/>
      <c r="J86" s="97" t="s">
        <v>654</v>
      </c>
      <c r="K86" s="97"/>
      <c r="L86" s="96"/>
      <c r="M86" s="96"/>
      <c r="N86" s="96"/>
      <c r="O86" s="126"/>
      <c r="P86" s="97"/>
      <c r="Q86" s="97"/>
    </row>
    <row r="87" spans="1:17" ht="22.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28-1-1</v>
      </c>
      <c r="B87" s="207"/>
      <c r="C87" s="211"/>
      <c r="D87" s="211"/>
      <c r="E87" s="126" t="s">
        <v>154</v>
      </c>
      <c r="F87" s="94" t="s">
        <v>155</v>
      </c>
      <c r="G87" s="95"/>
      <c r="H87" s="96"/>
      <c r="I87" s="96"/>
      <c r="J87" s="97" t="s">
        <v>655</v>
      </c>
      <c r="K87" s="97"/>
      <c r="L87" s="96"/>
      <c r="M87" s="96"/>
      <c r="N87" s="96"/>
      <c r="O87" s="126"/>
      <c r="P87" s="97"/>
      <c r="Q87" s="97"/>
    </row>
    <row r="88" spans="1:17" ht="22.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29-1-1</v>
      </c>
      <c r="B88" s="207"/>
      <c r="C88" s="196" t="s">
        <v>156</v>
      </c>
      <c r="D88" s="196" t="s">
        <v>15</v>
      </c>
      <c r="E88" s="126" t="s">
        <v>499</v>
      </c>
      <c r="F88" s="94" t="s">
        <v>157</v>
      </c>
      <c r="G88" s="95"/>
      <c r="H88" s="96"/>
      <c r="I88" s="96"/>
      <c r="J88" s="97" t="s">
        <v>656</v>
      </c>
      <c r="K88" s="97"/>
      <c r="L88" s="96"/>
      <c r="M88" s="96"/>
      <c r="N88" s="96"/>
      <c r="O88" s="126"/>
      <c r="P88" s="97"/>
      <c r="Q88" s="97"/>
    </row>
    <row r="89" spans="1:17">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30-1-1</v>
      </c>
      <c r="B89" s="207"/>
      <c r="C89" s="199"/>
      <c r="D89" s="196"/>
      <c r="E89" s="126" t="s">
        <v>147</v>
      </c>
      <c r="F89" s="94" t="s">
        <v>158</v>
      </c>
      <c r="G89" s="95"/>
      <c r="H89" s="96"/>
      <c r="I89" s="96"/>
      <c r="J89" s="97" t="s">
        <v>656</v>
      </c>
      <c r="K89" s="97"/>
      <c r="L89" s="96"/>
      <c r="M89" s="96"/>
      <c r="N89" s="96"/>
      <c r="O89" s="126"/>
      <c r="P89" s="97"/>
      <c r="Q89" s="97"/>
    </row>
    <row r="90" spans="1:17" ht="33.7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31-1-1</v>
      </c>
      <c r="B90" s="207"/>
      <c r="C90" s="198"/>
      <c r="D90" s="198"/>
      <c r="E90" s="198" t="s">
        <v>496</v>
      </c>
      <c r="F90" s="94" t="s">
        <v>160</v>
      </c>
      <c r="G90" s="95"/>
      <c r="H90" s="96"/>
      <c r="I90" s="96"/>
      <c r="J90" s="97" t="s">
        <v>656</v>
      </c>
      <c r="K90" s="97"/>
      <c r="L90" s="96"/>
      <c r="M90" s="96"/>
      <c r="N90" s="96"/>
      <c r="O90" s="126"/>
      <c r="P90" s="97"/>
      <c r="Q90" s="97"/>
    </row>
    <row r="91" spans="1:17" ht="22.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32-1-1</v>
      </c>
      <c r="B91" s="207"/>
      <c r="C91" s="199" t="s">
        <v>161</v>
      </c>
      <c r="D91" s="196" t="s">
        <v>15</v>
      </c>
      <c r="E91" s="199" t="s">
        <v>499</v>
      </c>
      <c r="F91" s="236" t="s">
        <v>162</v>
      </c>
      <c r="G91" s="95"/>
      <c r="H91" s="127"/>
      <c r="I91" s="127"/>
      <c r="J91" s="80" t="s">
        <v>657</v>
      </c>
      <c r="K91" s="96"/>
      <c r="L91" s="96"/>
      <c r="M91" s="96"/>
      <c r="N91" s="96"/>
      <c r="O91" s="126"/>
      <c r="P91" s="97"/>
      <c r="Q91" s="97"/>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32-2-1</v>
      </c>
      <c r="B92" s="207"/>
      <c r="C92" s="199"/>
      <c r="D92" s="196"/>
      <c r="E92" s="198"/>
      <c r="F92" s="94" t="s">
        <v>163</v>
      </c>
      <c r="G92" s="95"/>
      <c r="H92" s="96"/>
      <c r="I92" s="96"/>
      <c r="J92" s="97" t="s">
        <v>657</v>
      </c>
      <c r="K92" s="97"/>
      <c r="L92" s="96"/>
      <c r="M92" s="96"/>
      <c r="N92" s="96"/>
      <c r="O92" s="126"/>
      <c r="P92" s="97"/>
      <c r="Q92" s="97"/>
    </row>
    <row r="93" spans="1:17">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33-1-1</v>
      </c>
      <c r="B93" s="207"/>
      <c r="C93" s="199"/>
      <c r="D93" s="196"/>
      <c r="E93" s="126" t="s">
        <v>147</v>
      </c>
      <c r="F93" s="94" t="s">
        <v>164</v>
      </c>
      <c r="G93" s="95"/>
      <c r="H93" s="96"/>
      <c r="I93" s="96"/>
      <c r="J93" s="97" t="s">
        <v>657</v>
      </c>
      <c r="K93" s="97"/>
      <c r="L93" s="96"/>
      <c r="M93" s="96"/>
      <c r="N93" s="96"/>
      <c r="O93" s="126"/>
      <c r="P93" s="97"/>
      <c r="Q93" s="97"/>
    </row>
    <row r="94" spans="1:17" ht="33.7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34-1-1</v>
      </c>
      <c r="B94" s="207"/>
      <c r="C94" s="199"/>
      <c r="D94" s="196"/>
      <c r="E94" s="199" t="s">
        <v>149</v>
      </c>
      <c r="F94" s="94" t="s">
        <v>165</v>
      </c>
      <c r="G94" s="95"/>
      <c r="H94" s="96"/>
      <c r="I94" s="96"/>
      <c r="J94" s="97" t="s">
        <v>657</v>
      </c>
      <c r="K94" s="97"/>
      <c r="L94" s="96"/>
      <c r="M94" s="96"/>
      <c r="N94" s="96"/>
      <c r="O94" s="126"/>
      <c r="P94" s="97"/>
      <c r="Q94" s="97"/>
    </row>
    <row r="95" spans="1:17" ht="33.7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34-2-1</v>
      </c>
      <c r="B95" s="207"/>
      <c r="C95" s="199"/>
      <c r="D95" s="196"/>
      <c r="E95" s="198"/>
      <c r="F95" s="94" t="s">
        <v>166</v>
      </c>
      <c r="G95" s="95"/>
      <c r="H95" s="96"/>
      <c r="I95" s="96"/>
      <c r="J95" s="97" t="s">
        <v>657</v>
      </c>
      <c r="K95" s="97"/>
      <c r="L95" s="96"/>
      <c r="M95" s="96"/>
      <c r="N95" s="96"/>
      <c r="O95" s="126"/>
      <c r="P95" s="97"/>
      <c r="Q95" s="97"/>
    </row>
    <row r="96" spans="1:17" ht="33.75">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35-1-1</v>
      </c>
      <c r="B96" s="207"/>
      <c r="C96" s="198"/>
      <c r="D96" s="198"/>
      <c r="E96" s="198" t="s">
        <v>496</v>
      </c>
      <c r="F96" s="94" t="s">
        <v>167</v>
      </c>
      <c r="G96" s="95"/>
      <c r="H96" s="96"/>
      <c r="I96" s="96"/>
      <c r="J96" s="97" t="s">
        <v>657</v>
      </c>
      <c r="K96" s="97"/>
      <c r="L96" s="96"/>
      <c r="M96" s="96"/>
      <c r="N96" s="96"/>
      <c r="O96" s="126"/>
      <c r="P96" s="97"/>
      <c r="Q96" s="97"/>
    </row>
    <row r="97" spans="1:17" ht="22.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36-1-1</v>
      </c>
      <c r="B97" s="207"/>
      <c r="C97" s="195" t="s">
        <v>168</v>
      </c>
      <c r="D97" s="195" t="s">
        <v>15</v>
      </c>
      <c r="E97" s="199" t="s">
        <v>169</v>
      </c>
      <c r="F97" s="94" t="s">
        <v>170</v>
      </c>
      <c r="G97" s="95"/>
      <c r="H97" s="96"/>
      <c r="I97" s="96"/>
      <c r="J97" s="97" t="s">
        <v>658</v>
      </c>
      <c r="K97" s="97"/>
      <c r="L97" s="96"/>
      <c r="M97" s="96"/>
      <c r="N97" s="96"/>
      <c r="O97" s="126"/>
      <c r="P97" s="97"/>
      <c r="Q97" s="97"/>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36-2-1</v>
      </c>
      <c r="B98" s="207"/>
      <c r="C98" s="197"/>
      <c r="D98" s="196"/>
      <c r="E98" s="199"/>
      <c r="F98" s="94" t="s">
        <v>171</v>
      </c>
      <c r="G98" s="95"/>
      <c r="H98" s="96"/>
      <c r="I98" s="96"/>
      <c r="J98" s="97" t="s">
        <v>658</v>
      </c>
      <c r="K98" s="97"/>
      <c r="L98" s="96"/>
      <c r="M98" s="96"/>
      <c r="N98" s="96"/>
      <c r="O98" s="126"/>
      <c r="P98" s="97"/>
      <c r="Q98" s="97"/>
    </row>
    <row r="99" spans="1:17">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36-3-1</v>
      </c>
      <c r="B99" s="207"/>
      <c r="C99" s="197"/>
      <c r="D99" s="196"/>
      <c r="E99" s="199"/>
      <c r="F99" s="94" t="s">
        <v>172</v>
      </c>
      <c r="G99" s="95"/>
      <c r="H99" s="96"/>
      <c r="I99" s="96"/>
      <c r="J99" s="97" t="s">
        <v>658</v>
      </c>
      <c r="K99" s="97"/>
      <c r="L99" s="96"/>
      <c r="M99" s="96"/>
      <c r="N99" s="96"/>
      <c r="O99" s="126"/>
      <c r="P99" s="97"/>
      <c r="Q99" s="97"/>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36-4-1</v>
      </c>
      <c r="B100" s="207"/>
      <c r="C100" s="199"/>
      <c r="D100" s="196"/>
      <c r="E100" s="199"/>
      <c r="F100" s="94" t="s">
        <v>173</v>
      </c>
      <c r="G100" s="95"/>
      <c r="H100" s="96"/>
      <c r="I100" s="96"/>
      <c r="J100" s="97" t="s">
        <v>658</v>
      </c>
      <c r="K100" s="97"/>
      <c r="L100" s="96"/>
      <c r="M100" s="96"/>
      <c r="N100" s="96"/>
      <c r="O100" s="126"/>
      <c r="P100" s="97"/>
      <c r="Q100" s="97"/>
    </row>
    <row r="101" spans="1:17" ht="33.75">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36-5-1</v>
      </c>
      <c r="B101" s="207"/>
      <c r="C101" s="199"/>
      <c r="D101" s="196"/>
      <c r="E101" s="198"/>
      <c r="F101" s="94" t="s">
        <v>174</v>
      </c>
      <c r="G101" s="95"/>
      <c r="H101" s="96"/>
      <c r="I101" s="96"/>
      <c r="J101" s="97" t="s">
        <v>658</v>
      </c>
      <c r="K101" s="97"/>
      <c r="L101" s="96"/>
      <c r="M101" s="96"/>
      <c r="N101" s="96"/>
      <c r="O101" s="126"/>
      <c r="P101" s="97"/>
      <c r="Q101" s="97"/>
    </row>
    <row r="102" spans="1:17" ht="22.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37-1-1</v>
      </c>
      <c r="B102" s="207"/>
      <c r="C102" s="197"/>
      <c r="D102" s="196"/>
      <c r="E102" s="199" t="s">
        <v>175</v>
      </c>
      <c r="F102" s="94" t="s">
        <v>176</v>
      </c>
      <c r="G102" s="95"/>
      <c r="H102" s="96"/>
      <c r="I102" s="96"/>
      <c r="J102" s="97" t="s">
        <v>658</v>
      </c>
      <c r="K102" s="97"/>
      <c r="L102" s="96"/>
      <c r="M102" s="96"/>
      <c r="N102" s="96"/>
      <c r="O102" s="126"/>
      <c r="P102" s="97"/>
      <c r="Q102" s="97"/>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37-2-1</v>
      </c>
      <c r="B103" s="207"/>
      <c r="C103" s="196"/>
      <c r="D103" s="196"/>
      <c r="E103" s="199"/>
      <c r="F103" s="94" t="s">
        <v>177</v>
      </c>
      <c r="G103" s="95"/>
      <c r="H103" s="96"/>
      <c r="I103" s="96"/>
      <c r="J103" s="97" t="s">
        <v>658</v>
      </c>
      <c r="K103" s="97"/>
      <c r="L103" s="96"/>
      <c r="M103" s="96"/>
      <c r="N103" s="96"/>
      <c r="O103" s="126"/>
      <c r="P103" s="97"/>
      <c r="Q103" s="97"/>
    </row>
    <row r="104" spans="1:17">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37-3-1</v>
      </c>
      <c r="B104" s="207"/>
      <c r="C104" s="196"/>
      <c r="D104" s="196"/>
      <c r="E104" s="199"/>
      <c r="F104" s="94" t="s">
        <v>178</v>
      </c>
      <c r="G104" s="95"/>
      <c r="H104" s="96"/>
      <c r="I104" s="96"/>
      <c r="J104" s="97" t="s">
        <v>658</v>
      </c>
      <c r="K104" s="97"/>
      <c r="L104" s="96"/>
      <c r="M104" s="96"/>
      <c r="N104" s="96"/>
      <c r="O104" s="126"/>
      <c r="P104" s="97"/>
      <c r="Q104" s="97"/>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37-4-1</v>
      </c>
      <c r="B105" s="207"/>
      <c r="C105" s="199"/>
      <c r="D105" s="196"/>
      <c r="E105" s="199"/>
      <c r="F105" s="94" t="s">
        <v>179</v>
      </c>
      <c r="G105" s="95"/>
      <c r="H105" s="96"/>
      <c r="I105" s="96"/>
      <c r="J105" s="97" t="s">
        <v>658</v>
      </c>
      <c r="K105" s="97"/>
      <c r="L105" s="96"/>
      <c r="M105" s="96"/>
      <c r="N105" s="96"/>
      <c r="O105" s="126"/>
      <c r="P105" s="97"/>
      <c r="Q105" s="97"/>
    </row>
    <row r="106" spans="1:17" ht="33.7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37-5-1</v>
      </c>
      <c r="B106" s="207"/>
      <c r="C106" s="199"/>
      <c r="D106" s="196"/>
      <c r="E106" s="198"/>
      <c r="F106" s="94" t="s">
        <v>180</v>
      </c>
      <c r="G106" s="95"/>
      <c r="H106" s="96"/>
      <c r="I106" s="96"/>
      <c r="J106" s="97" t="s">
        <v>658</v>
      </c>
      <c r="K106" s="97"/>
      <c r="L106" s="96"/>
      <c r="M106" s="96"/>
      <c r="N106" s="96"/>
      <c r="O106" s="126"/>
      <c r="P106" s="97"/>
      <c r="Q106" s="97"/>
    </row>
    <row r="107" spans="1:17" ht="33.75">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38-1-1</v>
      </c>
      <c r="B107" s="207"/>
      <c r="C107" s="198"/>
      <c r="D107" s="196"/>
      <c r="E107" s="200" t="s">
        <v>496</v>
      </c>
      <c r="F107" s="94" t="s">
        <v>181</v>
      </c>
      <c r="G107" s="95"/>
      <c r="H107" s="96"/>
      <c r="I107" s="96"/>
      <c r="J107" s="97" t="s">
        <v>658</v>
      </c>
      <c r="K107" s="97"/>
      <c r="L107" s="96"/>
      <c r="M107" s="96"/>
      <c r="N107" s="96"/>
      <c r="O107" s="126"/>
      <c r="P107" s="97"/>
      <c r="Q107" s="97"/>
    </row>
    <row r="108" spans="1:17" ht="33.7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39-1-1</v>
      </c>
      <c r="B108" s="195" t="s">
        <v>182</v>
      </c>
      <c r="C108" s="126" t="s">
        <v>183</v>
      </c>
      <c r="D108" s="126" t="s">
        <v>54</v>
      </c>
      <c r="E108" s="126" t="s">
        <v>54</v>
      </c>
      <c r="F108" s="94" t="s">
        <v>184</v>
      </c>
      <c r="G108" s="95"/>
      <c r="H108" s="96"/>
      <c r="I108" s="96"/>
      <c r="J108" s="97" t="s">
        <v>659</v>
      </c>
      <c r="K108" s="97"/>
      <c r="L108" s="96"/>
      <c r="M108" s="96"/>
      <c r="N108" s="96"/>
      <c r="O108" s="126"/>
      <c r="P108" s="97"/>
      <c r="Q108" s="97"/>
    </row>
    <row r="109" spans="1:17">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40-1-1</v>
      </c>
      <c r="B109" s="196"/>
      <c r="C109" s="195" t="s">
        <v>185</v>
      </c>
      <c r="D109" s="195" t="s">
        <v>54</v>
      </c>
      <c r="E109" s="195" t="s">
        <v>54</v>
      </c>
      <c r="F109" s="94" t="s">
        <v>186</v>
      </c>
      <c r="G109" s="95"/>
      <c r="H109" s="96"/>
      <c r="I109" s="96"/>
      <c r="J109" s="97" t="s">
        <v>659</v>
      </c>
      <c r="K109" s="97"/>
      <c r="L109" s="96"/>
      <c r="M109" s="96"/>
      <c r="N109" s="96"/>
      <c r="O109" s="126"/>
      <c r="P109" s="97"/>
      <c r="Q109" s="97"/>
    </row>
    <row r="110" spans="1:17">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40-2-1</v>
      </c>
      <c r="B110" s="196"/>
      <c r="C110" s="198"/>
      <c r="D110" s="198"/>
      <c r="E110" s="198"/>
      <c r="F110" s="94" t="s">
        <v>187</v>
      </c>
      <c r="G110" s="95"/>
      <c r="H110" s="96"/>
      <c r="I110" s="96"/>
      <c r="J110" s="97" t="s">
        <v>659</v>
      </c>
      <c r="K110" s="97"/>
      <c r="L110" s="96"/>
      <c r="M110" s="96"/>
      <c r="N110" s="96"/>
      <c r="O110" s="126"/>
      <c r="P110" s="97"/>
      <c r="Q110" s="97"/>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41-1-1</v>
      </c>
      <c r="B111" s="196"/>
      <c r="C111" s="126" t="s">
        <v>539</v>
      </c>
      <c r="D111" s="126" t="s">
        <v>54</v>
      </c>
      <c r="E111" s="126" t="s">
        <v>54</v>
      </c>
      <c r="F111" s="94" t="s">
        <v>189</v>
      </c>
      <c r="G111" s="95"/>
      <c r="H111" s="96"/>
      <c r="I111" s="96"/>
      <c r="J111" s="97" t="s">
        <v>659</v>
      </c>
      <c r="K111" s="97"/>
      <c r="L111" s="96"/>
      <c r="M111" s="96"/>
      <c r="N111" s="96"/>
      <c r="O111" s="126"/>
      <c r="P111" s="97"/>
      <c r="Q111" s="97"/>
    </row>
    <row r="112" spans="1:17" ht="22.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42-1-1</v>
      </c>
      <c r="B112" s="196"/>
      <c r="C112" s="196" t="s">
        <v>540</v>
      </c>
      <c r="D112" s="196" t="s">
        <v>54</v>
      </c>
      <c r="E112" s="199" t="s">
        <v>54</v>
      </c>
      <c r="F112" s="94" t="s">
        <v>191</v>
      </c>
      <c r="G112" s="95"/>
      <c r="H112" s="96"/>
      <c r="I112" s="96"/>
      <c r="J112" s="97" t="s">
        <v>659</v>
      </c>
      <c r="K112" s="97"/>
      <c r="L112" s="96"/>
      <c r="M112" s="96"/>
      <c r="N112" s="96"/>
      <c r="O112" s="126"/>
      <c r="P112" s="97"/>
      <c r="Q112" s="97"/>
    </row>
    <row r="113" spans="1:17">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42-2-1</v>
      </c>
      <c r="B113" s="198"/>
      <c r="C113" s="198"/>
      <c r="D113" s="198"/>
      <c r="E113" s="200"/>
      <c r="F113" s="94" t="s">
        <v>192</v>
      </c>
      <c r="G113" s="95"/>
      <c r="H113" s="96"/>
      <c r="I113" s="96"/>
      <c r="J113" s="97" t="s">
        <v>659</v>
      </c>
      <c r="K113" s="97"/>
      <c r="L113" s="96"/>
      <c r="M113" s="96"/>
      <c r="N113" s="96"/>
      <c r="O113" s="126"/>
      <c r="P113" s="97"/>
      <c r="Q113" s="97"/>
    </row>
    <row r="114" spans="1:17" ht="22.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43-1-1</v>
      </c>
      <c r="B114" s="195" t="s">
        <v>193</v>
      </c>
      <c r="C114" s="195" t="s">
        <v>194</v>
      </c>
      <c r="D114" s="195" t="s">
        <v>499</v>
      </c>
      <c r="E114" s="241" t="s">
        <v>499</v>
      </c>
      <c r="F114" s="94" t="s">
        <v>195</v>
      </c>
      <c r="G114" s="95"/>
      <c r="H114" s="96"/>
      <c r="I114" s="96"/>
      <c r="J114" s="97" t="s">
        <v>641</v>
      </c>
      <c r="K114" s="97"/>
      <c r="L114" s="96"/>
      <c r="M114" s="96"/>
      <c r="N114" s="96"/>
      <c r="O114" s="126"/>
      <c r="P114" s="97"/>
      <c r="Q114" s="97"/>
    </row>
    <row r="115" spans="1:17" ht="22.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43-2-1</v>
      </c>
      <c r="B115" s="333" t="s">
        <v>541</v>
      </c>
      <c r="C115" s="199"/>
      <c r="D115" s="196"/>
      <c r="E115" s="218"/>
      <c r="F115" s="94" t="s">
        <v>197</v>
      </c>
      <c r="G115" s="95"/>
      <c r="H115" s="96"/>
      <c r="I115" s="96"/>
      <c r="J115" s="97" t="s">
        <v>641</v>
      </c>
      <c r="K115" s="97"/>
      <c r="L115" s="96"/>
      <c r="M115" s="96"/>
      <c r="N115" s="96"/>
      <c r="O115" s="126"/>
      <c r="P115" s="97"/>
      <c r="Q115" s="97"/>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43-3-1</v>
      </c>
      <c r="B116" s="333"/>
      <c r="C116" s="199"/>
      <c r="D116" s="196"/>
      <c r="E116" s="218"/>
      <c r="F116" s="94" t="s">
        <v>198</v>
      </c>
      <c r="G116" s="95"/>
      <c r="H116" s="96"/>
      <c r="I116" s="96"/>
      <c r="J116" s="97" t="s">
        <v>641</v>
      </c>
      <c r="K116" s="97"/>
      <c r="L116" s="96"/>
      <c r="M116" s="96"/>
      <c r="N116" s="96"/>
      <c r="O116" s="126"/>
      <c r="P116" s="97"/>
      <c r="Q116" s="97"/>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43-4-1</v>
      </c>
      <c r="B117" s="196"/>
      <c r="C117" s="199"/>
      <c r="D117" s="196"/>
      <c r="E117" s="198"/>
      <c r="F117" s="94" t="s">
        <v>199</v>
      </c>
      <c r="G117" s="95"/>
      <c r="H117" s="96"/>
      <c r="I117" s="96"/>
      <c r="J117" s="97" t="s">
        <v>641</v>
      </c>
      <c r="K117" s="97"/>
      <c r="L117" s="96"/>
      <c r="M117" s="96"/>
      <c r="N117" s="96"/>
      <c r="O117" s="126"/>
      <c r="P117" s="97"/>
      <c r="Q117" s="97"/>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44-1-1</v>
      </c>
      <c r="B118" s="196"/>
      <c r="C118" s="199"/>
      <c r="D118" s="196"/>
      <c r="E118" s="199" t="s">
        <v>138</v>
      </c>
      <c r="F118" s="94" t="s">
        <v>200</v>
      </c>
      <c r="G118" s="95" t="s">
        <v>620</v>
      </c>
      <c r="H118" s="96"/>
      <c r="I118" s="96"/>
      <c r="J118" s="97"/>
      <c r="K118" s="97"/>
      <c r="L118" s="96"/>
      <c r="M118" s="96"/>
      <c r="N118" s="96"/>
      <c r="O118" s="126"/>
      <c r="P118" s="97"/>
      <c r="Q118" s="97"/>
    </row>
    <row r="119" spans="1:17" ht="22.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44-2-1</v>
      </c>
      <c r="B119" s="196"/>
      <c r="C119" s="199"/>
      <c r="D119" s="196"/>
      <c r="E119" s="199"/>
      <c r="F119" s="94" t="s">
        <v>201</v>
      </c>
      <c r="G119" s="95" t="s">
        <v>620</v>
      </c>
      <c r="H119" s="96"/>
      <c r="I119" s="96"/>
      <c r="J119" s="97"/>
      <c r="K119" s="97"/>
      <c r="L119" s="96"/>
      <c r="M119" s="96"/>
      <c r="N119" s="96"/>
      <c r="O119" s="126"/>
      <c r="P119" s="97"/>
      <c r="Q119" s="97"/>
    </row>
    <row r="120" spans="1:17" ht="22.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44-3-1</v>
      </c>
      <c r="B120" s="196"/>
      <c r="C120" s="199"/>
      <c r="D120" s="196"/>
      <c r="E120" s="199"/>
      <c r="F120" s="94" t="s">
        <v>202</v>
      </c>
      <c r="G120" s="95" t="s">
        <v>620</v>
      </c>
      <c r="H120" s="96"/>
      <c r="I120" s="96"/>
      <c r="J120" s="97"/>
      <c r="K120" s="97"/>
      <c r="L120" s="96"/>
      <c r="M120" s="96"/>
      <c r="N120" s="96"/>
      <c r="O120" s="126"/>
      <c r="P120" s="97"/>
      <c r="Q120" s="97"/>
    </row>
    <row r="121" spans="1:17" ht="22.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44-4-1</v>
      </c>
      <c r="B121" s="196"/>
      <c r="C121" s="199"/>
      <c r="D121" s="196"/>
      <c r="E121" s="199"/>
      <c r="F121" s="94" t="s">
        <v>203</v>
      </c>
      <c r="G121" s="95" t="s">
        <v>620</v>
      </c>
      <c r="H121" s="96"/>
      <c r="I121" s="96"/>
      <c r="J121" s="97"/>
      <c r="K121" s="97"/>
      <c r="L121" s="96"/>
      <c r="M121" s="96"/>
      <c r="N121" s="96"/>
      <c r="O121" s="126"/>
      <c r="P121" s="97"/>
      <c r="Q121" s="97"/>
    </row>
    <row r="122" spans="1:17" ht="33.7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44-5-1</v>
      </c>
      <c r="B122" s="196"/>
      <c r="C122" s="199"/>
      <c r="D122" s="196"/>
      <c r="E122" s="198"/>
      <c r="F122" s="94" t="s">
        <v>204</v>
      </c>
      <c r="G122" s="95" t="s">
        <v>620</v>
      </c>
      <c r="H122" s="96"/>
      <c r="I122" s="96"/>
      <c r="J122" s="97"/>
      <c r="K122" s="97"/>
      <c r="L122" s="96"/>
      <c r="M122" s="96"/>
      <c r="N122" s="96"/>
      <c r="O122" s="126"/>
      <c r="P122" s="97"/>
      <c r="Q122" s="97"/>
    </row>
    <row r="123" spans="1:17" ht="33.7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45-1-1</v>
      </c>
      <c r="B123" s="196"/>
      <c r="C123" s="199"/>
      <c r="D123" s="196"/>
      <c r="E123" s="199" t="s">
        <v>205</v>
      </c>
      <c r="F123" s="94" t="s">
        <v>206</v>
      </c>
      <c r="G123" s="95" t="s">
        <v>620</v>
      </c>
      <c r="H123" s="96"/>
      <c r="I123" s="96"/>
      <c r="J123" s="97"/>
      <c r="K123" s="97"/>
      <c r="L123" s="96"/>
      <c r="M123" s="96"/>
      <c r="N123" s="96"/>
      <c r="O123" s="126"/>
      <c r="P123" s="97"/>
      <c r="Q123" s="97"/>
    </row>
    <row r="124" spans="1:17" ht="33.7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45-2-1</v>
      </c>
      <c r="B124" s="196"/>
      <c r="C124" s="199"/>
      <c r="D124" s="196"/>
      <c r="E124" s="199"/>
      <c r="F124" s="94" t="s">
        <v>207</v>
      </c>
      <c r="G124" s="95" t="s">
        <v>620</v>
      </c>
      <c r="H124" s="96"/>
      <c r="I124" s="96"/>
      <c r="J124" s="97"/>
      <c r="K124" s="97"/>
      <c r="L124" s="96"/>
      <c r="M124" s="96"/>
      <c r="N124" s="96"/>
      <c r="O124" s="126"/>
      <c r="P124" s="97"/>
      <c r="Q124" s="97"/>
    </row>
    <row r="125" spans="1:17" ht="4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45-3-1</v>
      </c>
      <c r="B125" s="196"/>
      <c r="C125" s="199"/>
      <c r="D125" s="196"/>
      <c r="E125" s="199"/>
      <c r="F125" s="94" t="s">
        <v>208</v>
      </c>
      <c r="G125" s="91" t="s">
        <v>599</v>
      </c>
      <c r="H125" s="96"/>
      <c r="I125" s="96"/>
      <c r="J125" s="97"/>
      <c r="K125" s="97"/>
      <c r="L125" s="96"/>
      <c r="M125" s="96"/>
      <c r="N125" s="96"/>
      <c r="O125" s="126"/>
      <c r="P125" s="97"/>
      <c r="Q125" s="97"/>
    </row>
    <row r="126" spans="1:17" ht="4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45-4-1</v>
      </c>
      <c r="B126" s="196"/>
      <c r="C126" s="199"/>
      <c r="D126" s="196"/>
      <c r="E126" s="199"/>
      <c r="F126" s="94" t="s">
        <v>209</v>
      </c>
      <c r="G126" s="91" t="s">
        <v>599</v>
      </c>
      <c r="H126" s="96"/>
      <c r="I126" s="96"/>
      <c r="J126" s="97"/>
      <c r="K126" s="97"/>
      <c r="L126" s="96"/>
      <c r="M126" s="96"/>
      <c r="N126" s="96"/>
      <c r="O126" s="126"/>
      <c r="P126" s="97"/>
      <c r="Q126" s="97"/>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45-5-1</v>
      </c>
      <c r="B127" s="196"/>
      <c r="C127" s="199"/>
      <c r="D127" s="196"/>
      <c r="E127" s="198"/>
      <c r="F127" s="94" t="s">
        <v>210</v>
      </c>
      <c r="G127" s="91" t="s">
        <v>599</v>
      </c>
      <c r="H127" s="96"/>
      <c r="I127" s="96"/>
      <c r="J127" s="97"/>
      <c r="K127" s="97"/>
      <c r="L127" s="96"/>
      <c r="M127" s="96"/>
      <c r="N127" s="96"/>
      <c r="O127" s="126"/>
      <c r="P127" s="97"/>
      <c r="Q127" s="97"/>
    </row>
    <row r="128" spans="1:17" ht="33.7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46-1-1</v>
      </c>
      <c r="B128" s="196"/>
      <c r="C128" s="199"/>
      <c r="D128" s="198"/>
      <c r="E128" s="198" t="s">
        <v>542</v>
      </c>
      <c r="F128" s="94" t="s">
        <v>212</v>
      </c>
      <c r="G128" s="95" t="s">
        <v>620</v>
      </c>
      <c r="H128" s="96"/>
      <c r="I128" s="96"/>
      <c r="J128" s="97"/>
      <c r="K128" s="97"/>
      <c r="L128" s="96"/>
      <c r="M128" s="96"/>
      <c r="N128" s="96"/>
      <c r="O128" s="126"/>
      <c r="P128" s="97"/>
      <c r="Q128" s="97"/>
    </row>
    <row r="129" spans="1:17" ht="33.7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47-1-1</v>
      </c>
      <c r="B129" s="196"/>
      <c r="C129" s="200"/>
      <c r="D129" s="198" t="s">
        <v>496</v>
      </c>
      <c r="E129" s="198" t="s">
        <v>499</v>
      </c>
      <c r="F129" s="94" t="s">
        <v>213</v>
      </c>
      <c r="G129" s="95"/>
      <c r="H129" s="96"/>
      <c r="I129" s="96"/>
      <c r="J129" s="97" t="s">
        <v>641</v>
      </c>
      <c r="K129" s="97"/>
      <c r="L129" s="96"/>
      <c r="M129" s="96"/>
      <c r="N129" s="96"/>
      <c r="O129" s="126"/>
      <c r="P129" s="97"/>
      <c r="Q129" s="97"/>
    </row>
    <row r="130" spans="1:17" ht="33.7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48-1-1</v>
      </c>
      <c r="B130" s="196"/>
      <c r="C130" s="196" t="s">
        <v>528</v>
      </c>
      <c r="D130" s="196" t="s">
        <v>214</v>
      </c>
      <c r="E130" s="126" t="s">
        <v>215</v>
      </c>
      <c r="F130" s="94" t="s">
        <v>216</v>
      </c>
      <c r="G130" s="91" t="s">
        <v>599</v>
      </c>
      <c r="H130" s="96"/>
      <c r="I130" s="96"/>
      <c r="J130" s="97"/>
      <c r="K130" s="97"/>
      <c r="L130" s="96"/>
      <c r="M130" s="96"/>
      <c r="N130" s="96"/>
      <c r="O130" s="126"/>
      <c r="P130" s="97"/>
      <c r="Q130" s="97"/>
    </row>
    <row r="131" spans="1:17" ht="22.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49-1-1</v>
      </c>
      <c r="B131" s="196"/>
      <c r="C131" s="196"/>
      <c r="D131" s="196"/>
      <c r="E131" s="199" t="s">
        <v>543</v>
      </c>
      <c r="F131" s="94" t="s">
        <v>218</v>
      </c>
      <c r="G131" s="95" t="s">
        <v>620</v>
      </c>
      <c r="H131" s="96"/>
      <c r="I131" s="96"/>
      <c r="J131" s="97"/>
      <c r="K131" s="97"/>
      <c r="L131" s="96"/>
      <c r="M131" s="96"/>
      <c r="N131" s="96"/>
      <c r="O131" s="126"/>
      <c r="P131" s="97"/>
      <c r="Q131" s="97"/>
    </row>
    <row r="132" spans="1:17" ht="22.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49-2-1</v>
      </c>
      <c r="B132" s="196"/>
      <c r="C132" s="196"/>
      <c r="D132" s="196"/>
      <c r="E132" s="199"/>
      <c r="F132" s="94" t="s">
        <v>219</v>
      </c>
      <c r="G132" s="95" t="s">
        <v>620</v>
      </c>
      <c r="H132" s="96"/>
      <c r="I132" s="96"/>
      <c r="J132" s="97"/>
      <c r="K132" s="97"/>
      <c r="L132" s="96"/>
      <c r="M132" s="96"/>
      <c r="N132" s="96"/>
      <c r="O132" s="126"/>
      <c r="P132" s="97"/>
      <c r="Q132" s="97"/>
    </row>
    <row r="133" spans="1:17" ht="4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49-3-1</v>
      </c>
      <c r="B133" s="198"/>
      <c r="C133" s="198"/>
      <c r="D133" s="198"/>
      <c r="E133" s="200"/>
      <c r="F133" s="94" t="s">
        <v>220</v>
      </c>
      <c r="G133" s="95" t="s">
        <v>620</v>
      </c>
      <c r="H133" s="96"/>
      <c r="I133" s="96"/>
      <c r="J133" s="97"/>
      <c r="K133" s="97"/>
      <c r="L133" s="96"/>
      <c r="M133" s="96"/>
      <c r="N133" s="96"/>
      <c r="O133" s="126"/>
      <c r="P133" s="97"/>
      <c r="Q133" s="97"/>
    </row>
    <row r="134" spans="1:17" ht="22.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50-1-1</v>
      </c>
      <c r="B134" s="195" t="s">
        <v>221</v>
      </c>
      <c r="C134" s="195" t="s">
        <v>194</v>
      </c>
      <c r="D134" s="195" t="s">
        <v>499</v>
      </c>
      <c r="E134" s="241" t="s">
        <v>499</v>
      </c>
      <c r="F134" s="94" t="s">
        <v>222</v>
      </c>
      <c r="G134" s="91"/>
      <c r="H134" s="96"/>
      <c r="I134" s="96"/>
      <c r="J134" s="97" t="s">
        <v>642</v>
      </c>
      <c r="K134" s="97"/>
      <c r="L134" s="96"/>
      <c r="M134" s="96"/>
      <c r="N134" s="96"/>
      <c r="O134" s="126"/>
      <c r="P134" s="97"/>
      <c r="Q134" s="97"/>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50-2-1</v>
      </c>
      <c r="B135" s="333" t="s">
        <v>223</v>
      </c>
      <c r="C135" s="199"/>
      <c r="D135" s="196"/>
      <c r="E135" s="199"/>
      <c r="F135" s="94" t="s">
        <v>224</v>
      </c>
      <c r="G135" s="91" t="s">
        <v>600</v>
      </c>
      <c r="H135" s="96"/>
      <c r="I135" s="96"/>
      <c r="J135" s="97"/>
      <c r="K135" s="97"/>
      <c r="L135" s="96"/>
      <c r="M135" s="96"/>
      <c r="N135" s="96"/>
      <c r="O135" s="126"/>
      <c r="P135" s="97"/>
      <c r="Q135" s="97"/>
    </row>
    <row r="136" spans="1:17" ht="22.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50-3-1</v>
      </c>
      <c r="B136" s="333"/>
      <c r="C136" s="199"/>
      <c r="D136" s="196"/>
      <c r="E136" s="199"/>
      <c r="F136" s="94" t="s">
        <v>225</v>
      </c>
      <c r="G136" s="91" t="s">
        <v>600</v>
      </c>
      <c r="H136" s="96"/>
      <c r="I136" s="96"/>
      <c r="J136" s="97"/>
      <c r="K136" s="97"/>
      <c r="L136" s="96"/>
      <c r="M136" s="96"/>
      <c r="N136" s="96"/>
      <c r="O136" s="126"/>
      <c r="P136" s="97"/>
      <c r="Q136" s="97"/>
    </row>
    <row r="137" spans="1:17" ht="22.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50-4-1</v>
      </c>
      <c r="B137" s="196"/>
      <c r="C137" s="199"/>
      <c r="D137" s="196"/>
      <c r="E137" s="198"/>
      <c r="F137" s="94" t="s">
        <v>226</v>
      </c>
      <c r="G137" s="91" t="s">
        <v>600</v>
      </c>
      <c r="H137" s="96"/>
      <c r="I137" s="96"/>
      <c r="J137" s="97"/>
      <c r="K137" s="97"/>
      <c r="L137" s="96"/>
      <c r="M137" s="96"/>
      <c r="N137" s="96"/>
      <c r="O137" s="126"/>
      <c r="P137" s="97"/>
      <c r="Q137" s="97"/>
    </row>
    <row r="138" spans="1:17" ht="22.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51-1-1</v>
      </c>
      <c r="B138" s="196"/>
      <c r="C138" s="199"/>
      <c r="D138" s="196"/>
      <c r="E138" s="199" t="s">
        <v>227</v>
      </c>
      <c r="F138" s="94" t="s">
        <v>228</v>
      </c>
      <c r="G138" s="91"/>
      <c r="H138" s="96"/>
      <c r="I138" s="96"/>
      <c r="J138" s="97" t="s">
        <v>642</v>
      </c>
      <c r="K138" s="97"/>
      <c r="L138" s="96"/>
      <c r="M138" s="96"/>
      <c r="N138" s="96"/>
      <c r="O138" s="126"/>
      <c r="P138" s="97"/>
      <c r="Q138" s="97"/>
    </row>
    <row r="139" spans="1:17" ht="33.7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51-2-1</v>
      </c>
      <c r="B139" s="196"/>
      <c r="C139" s="199"/>
      <c r="D139" s="198"/>
      <c r="E139" s="198"/>
      <c r="F139" s="94" t="s">
        <v>229</v>
      </c>
      <c r="G139" s="91"/>
      <c r="H139" s="96"/>
      <c r="I139" s="96"/>
      <c r="J139" s="97" t="s">
        <v>642</v>
      </c>
      <c r="K139" s="97"/>
      <c r="L139" s="96"/>
      <c r="M139" s="96"/>
      <c r="N139" s="96"/>
      <c r="O139" s="126"/>
      <c r="P139" s="97"/>
      <c r="Q139" s="97"/>
    </row>
    <row r="140" spans="1:17" ht="33.7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52-1-1</v>
      </c>
      <c r="B140" s="196"/>
      <c r="C140" s="200"/>
      <c r="D140" s="198" t="s">
        <v>496</v>
      </c>
      <c r="E140" s="198" t="s">
        <v>499</v>
      </c>
      <c r="F140" s="94" t="s">
        <v>230</v>
      </c>
      <c r="G140" s="95"/>
      <c r="H140" s="96"/>
      <c r="I140" s="96"/>
      <c r="J140" s="97" t="s">
        <v>642</v>
      </c>
      <c r="K140" s="97"/>
      <c r="L140" s="96"/>
      <c r="M140" s="96"/>
      <c r="N140" s="96"/>
      <c r="O140" s="126"/>
      <c r="P140" s="97"/>
      <c r="Q140" s="97"/>
    </row>
    <row r="141" spans="1:17" ht="33.7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53-1-1</v>
      </c>
      <c r="B141" s="196"/>
      <c r="C141" s="199" t="s">
        <v>231</v>
      </c>
      <c r="D141" s="196" t="s">
        <v>214</v>
      </c>
      <c r="E141" s="126" t="s">
        <v>232</v>
      </c>
      <c r="F141" s="94" t="s">
        <v>233</v>
      </c>
      <c r="G141" s="95" t="s">
        <v>620</v>
      </c>
      <c r="H141" s="96"/>
      <c r="I141" s="96"/>
      <c r="J141" s="97"/>
      <c r="K141" s="97"/>
      <c r="L141" s="96"/>
      <c r="M141" s="96"/>
      <c r="N141" s="96"/>
      <c r="O141" s="126"/>
      <c r="P141" s="97"/>
      <c r="Q141" s="97"/>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54-1-1</v>
      </c>
      <c r="B142" s="196"/>
      <c r="C142" s="199"/>
      <c r="D142" s="196"/>
      <c r="E142" s="126" t="s">
        <v>234</v>
      </c>
      <c r="F142" s="94" t="s">
        <v>235</v>
      </c>
      <c r="G142" s="95" t="s">
        <v>620</v>
      </c>
      <c r="H142" s="96"/>
      <c r="I142" s="96"/>
      <c r="J142" s="97"/>
      <c r="K142" s="97"/>
      <c r="L142" s="96"/>
      <c r="M142" s="96"/>
      <c r="N142" s="96"/>
      <c r="O142" s="126"/>
      <c r="P142" s="97"/>
      <c r="Q142" s="97"/>
    </row>
    <row r="143" spans="1:17" ht="33.7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55-1-1</v>
      </c>
      <c r="B143" s="196"/>
      <c r="C143" s="199"/>
      <c r="D143" s="196"/>
      <c r="E143" s="126" t="s">
        <v>236</v>
      </c>
      <c r="F143" s="94" t="s">
        <v>237</v>
      </c>
      <c r="G143" s="95" t="s">
        <v>620</v>
      </c>
      <c r="H143" s="96"/>
      <c r="I143" s="96"/>
      <c r="J143" s="97"/>
      <c r="K143" s="97"/>
      <c r="L143" s="96"/>
      <c r="M143" s="96"/>
      <c r="N143" s="96"/>
      <c r="O143" s="126"/>
      <c r="P143" s="97"/>
      <c r="Q143" s="97"/>
    </row>
    <row r="144" spans="1:17" ht="33.7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56-1-1</v>
      </c>
      <c r="B144" s="196"/>
      <c r="C144" s="199"/>
      <c r="D144" s="196"/>
      <c r="E144" s="126" t="s">
        <v>215</v>
      </c>
      <c r="F144" s="94" t="s">
        <v>238</v>
      </c>
      <c r="G144" s="91" t="s">
        <v>602</v>
      </c>
      <c r="H144" s="96"/>
      <c r="I144" s="96"/>
      <c r="J144" s="97"/>
      <c r="K144" s="97"/>
      <c r="L144" s="96"/>
      <c r="M144" s="96"/>
      <c r="N144" s="96"/>
      <c r="O144" s="126"/>
      <c r="P144" s="97"/>
      <c r="Q144" s="97"/>
    </row>
    <row r="145" spans="1:17" ht="33.7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57-1-1</v>
      </c>
      <c r="B145" s="196"/>
      <c r="C145" s="199"/>
      <c r="D145" s="196"/>
      <c r="E145" s="126" t="s">
        <v>544</v>
      </c>
      <c r="F145" s="94" t="s">
        <v>240</v>
      </c>
      <c r="G145" s="95" t="s">
        <v>620</v>
      </c>
      <c r="H145" s="96"/>
      <c r="I145" s="96"/>
      <c r="J145" s="97"/>
      <c r="K145" s="97"/>
      <c r="L145" s="96"/>
      <c r="M145" s="96"/>
      <c r="N145" s="96"/>
      <c r="O145" s="126"/>
      <c r="P145" s="97"/>
      <c r="Q145" s="97"/>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58-1-1</v>
      </c>
      <c r="B146" s="196"/>
      <c r="C146" s="199"/>
      <c r="D146" s="196"/>
      <c r="E146" s="218" t="s">
        <v>545</v>
      </c>
      <c r="F146" s="94" t="s">
        <v>242</v>
      </c>
      <c r="G146" s="91" t="s">
        <v>603</v>
      </c>
      <c r="H146" s="96"/>
      <c r="I146" s="96"/>
      <c r="J146" s="97"/>
      <c r="K146" s="97"/>
      <c r="L146" s="96"/>
      <c r="M146" s="96"/>
      <c r="N146" s="96"/>
      <c r="O146" s="126"/>
      <c r="P146" s="97"/>
      <c r="Q146" s="97"/>
    </row>
    <row r="147" spans="1:17" ht="22.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58-2-1</v>
      </c>
      <c r="B147" s="196"/>
      <c r="C147" s="199"/>
      <c r="D147" s="196"/>
      <c r="E147" s="218"/>
      <c r="F147" s="94" t="s">
        <v>243</v>
      </c>
      <c r="G147" s="91" t="s">
        <v>603</v>
      </c>
      <c r="H147" s="96"/>
      <c r="I147" s="96"/>
      <c r="J147" s="97"/>
      <c r="K147" s="97"/>
      <c r="L147" s="96"/>
      <c r="M147" s="96"/>
      <c r="N147" s="96"/>
      <c r="O147" s="126"/>
      <c r="P147" s="97"/>
      <c r="Q147" s="97"/>
    </row>
    <row r="148" spans="1:17" ht="22.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58-3-1</v>
      </c>
      <c r="B148" s="196"/>
      <c r="C148" s="199"/>
      <c r="D148" s="196"/>
      <c r="E148" s="218"/>
      <c r="F148" s="94" t="s">
        <v>244</v>
      </c>
      <c r="G148" s="91" t="s">
        <v>603</v>
      </c>
      <c r="H148" s="96"/>
      <c r="I148" s="96"/>
      <c r="J148" s="97"/>
      <c r="K148" s="97"/>
      <c r="L148" s="96"/>
      <c r="M148" s="96"/>
      <c r="N148" s="96"/>
      <c r="O148" s="126"/>
      <c r="P148" s="97"/>
      <c r="Q148" s="97"/>
    </row>
    <row r="149" spans="1:17" ht="22.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58-4-1</v>
      </c>
      <c r="B149" s="196"/>
      <c r="C149" s="199"/>
      <c r="D149" s="196"/>
      <c r="E149" s="218"/>
      <c r="F149" s="94" t="s">
        <v>245</v>
      </c>
      <c r="G149" s="91" t="s">
        <v>603</v>
      </c>
      <c r="H149" s="96"/>
      <c r="I149" s="96"/>
      <c r="J149" s="97"/>
      <c r="K149" s="97"/>
      <c r="L149" s="96"/>
      <c r="M149" s="96"/>
      <c r="N149" s="96"/>
      <c r="O149" s="126"/>
      <c r="P149" s="97"/>
      <c r="Q149" s="97"/>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58-5-1</v>
      </c>
      <c r="B150" s="196"/>
      <c r="C150" s="199"/>
      <c r="D150" s="196"/>
      <c r="E150" s="218"/>
      <c r="F150" s="94" t="s">
        <v>246</v>
      </c>
      <c r="G150" s="91" t="s">
        <v>603</v>
      </c>
      <c r="H150" s="96"/>
      <c r="I150" s="96"/>
      <c r="J150" s="97"/>
      <c r="K150" s="97"/>
      <c r="L150" s="96"/>
      <c r="M150" s="96"/>
      <c r="N150" s="96"/>
      <c r="O150" s="126"/>
      <c r="P150" s="97"/>
      <c r="Q150" s="97"/>
    </row>
    <row r="151" spans="1:17" ht="22.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58-6-1</v>
      </c>
      <c r="B151" s="196"/>
      <c r="C151" s="199"/>
      <c r="D151" s="198"/>
      <c r="E151" s="198"/>
      <c r="F151" s="94" t="s">
        <v>247</v>
      </c>
      <c r="G151" s="91" t="s">
        <v>603</v>
      </c>
      <c r="H151" s="96"/>
      <c r="I151" s="96"/>
      <c r="J151" s="97"/>
      <c r="K151" s="97"/>
      <c r="L151" s="96"/>
      <c r="M151" s="96"/>
      <c r="N151" s="96"/>
      <c r="O151" s="126"/>
      <c r="P151" s="97"/>
      <c r="Q151" s="97"/>
    </row>
    <row r="152" spans="1:17" ht="22.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59-1-1</v>
      </c>
      <c r="B152" s="196"/>
      <c r="C152" s="199"/>
      <c r="D152" s="196" t="s">
        <v>248</v>
      </c>
      <c r="E152" s="195" t="s">
        <v>499</v>
      </c>
      <c r="F152" s="94" t="s">
        <v>249</v>
      </c>
      <c r="G152" s="95" t="s">
        <v>620</v>
      </c>
      <c r="H152" s="96"/>
      <c r="I152" s="96"/>
      <c r="J152" s="97"/>
      <c r="K152" s="97"/>
      <c r="L152" s="96"/>
      <c r="M152" s="96"/>
      <c r="N152" s="96"/>
      <c r="O152" s="126"/>
      <c r="P152" s="97"/>
      <c r="Q152" s="97"/>
    </row>
    <row r="153" spans="1:17" ht="22.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59-2-1</v>
      </c>
      <c r="B153" s="196"/>
      <c r="C153" s="199"/>
      <c r="D153" s="196"/>
      <c r="E153" s="198"/>
      <c r="F153" s="94" t="s">
        <v>250</v>
      </c>
      <c r="G153" s="95" t="s">
        <v>620</v>
      </c>
      <c r="H153" s="96"/>
      <c r="I153" s="96"/>
      <c r="J153" s="97"/>
      <c r="K153" s="97"/>
      <c r="L153" s="96"/>
      <c r="M153" s="96"/>
      <c r="N153" s="96"/>
      <c r="O153" s="126"/>
      <c r="P153" s="97"/>
      <c r="Q153" s="97"/>
    </row>
    <row r="154" spans="1:17" ht="33.7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60-1-1</v>
      </c>
      <c r="B154" s="196"/>
      <c r="C154" s="199"/>
      <c r="D154" s="196"/>
      <c r="E154" s="199" t="s">
        <v>127</v>
      </c>
      <c r="F154" s="94" t="s">
        <v>251</v>
      </c>
      <c r="G154" s="95" t="s">
        <v>620</v>
      </c>
      <c r="H154" s="96"/>
      <c r="I154" s="96"/>
      <c r="J154" s="97"/>
      <c r="K154" s="97"/>
      <c r="L154" s="96"/>
      <c r="M154" s="96"/>
      <c r="N154" s="96"/>
      <c r="O154" s="126"/>
      <c r="P154" s="97"/>
      <c r="Q154" s="97"/>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60-2-1</v>
      </c>
      <c r="B155" s="196"/>
      <c r="C155" s="199"/>
      <c r="D155" s="196"/>
      <c r="E155" s="218"/>
      <c r="F155" s="94" t="s">
        <v>252</v>
      </c>
      <c r="G155" s="95" t="s">
        <v>620</v>
      </c>
      <c r="H155" s="96"/>
      <c r="I155" s="96"/>
      <c r="J155" s="97"/>
      <c r="K155" s="97"/>
      <c r="L155" s="96"/>
      <c r="M155" s="96"/>
      <c r="N155" s="96"/>
      <c r="O155" s="126"/>
      <c r="P155" s="97"/>
      <c r="Q155" s="97"/>
    </row>
    <row r="156" spans="1:17" ht="33.7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60-3-1</v>
      </c>
      <c r="B156" s="196"/>
      <c r="C156" s="199"/>
      <c r="D156" s="196"/>
      <c r="E156" s="218"/>
      <c r="F156" s="94" t="s">
        <v>546</v>
      </c>
      <c r="G156" s="95" t="s">
        <v>620</v>
      </c>
      <c r="H156" s="96"/>
      <c r="I156" s="96"/>
      <c r="J156" s="97"/>
      <c r="K156" s="97"/>
      <c r="L156" s="96"/>
      <c r="M156" s="96"/>
      <c r="N156" s="96"/>
      <c r="O156" s="126"/>
      <c r="P156" s="97"/>
      <c r="Q156" s="97"/>
    </row>
    <row r="157" spans="1:17" ht="33.7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60-4-1</v>
      </c>
      <c r="B157" s="196"/>
      <c r="C157" s="199"/>
      <c r="D157" s="196"/>
      <c r="E157" s="218"/>
      <c r="F157" s="94" t="s">
        <v>547</v>
      </c>
      <c r="G157" s="95" t="s">
        <v>620</v>
      </c>
      <c r="H157" s="96"/>
      <c r="I157" s="96"/>
      <c r="J157" s="97"/>
      <c r="K157" s="97"/>
      <c r="L157" s="96"/>
      <c r="M157" s="96"/>
      <c r="N157" s="96"/>
      <c r="O157" s="126"/>
      <c r="P157" s="97"/>
      <c r="Q157" s="97"/>
    </row>
    <row r="158" spans="1:17" ht="33.7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60-5-1</v>
      </c>
      <c r="B158" s="196"/>
      <c r="C158" s="199"/>
      <c r="D158" s="196"/>
      <c r="E158" s="218"/>
      <c r="F158" s="94" t="s">
        <v>255</v>
      </c>
      <c r="G158" s="95" t="s">
        <v>620</v>
      </c>
      <c r="H158" s="96"/>
      <c r="I158" s="96"/>
      <c r="J158" s="97"/>
      <c r="K158" s="97"/>
      <c r="L158" s="96"/>
      <c r="M158" s="96"/>
      <c r="N158" s="96"/>
      <c r="O158" s="126"/>
      <c r="P158" s="97"/>
      <c r="Q158" s="97"/>
    </row>
    <row r="159" spans="1:17" ht="22.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60-6-1</v>
      </c>
      <c r="B159" s="196"/>
      <c r="C159" s="199"/>
      <c r="D159" s="196"/>
      <c r="E159" s="218"/>
      <c r="F159" s="94" t="s">
        <v>256</v>
      </c>
      <c r="G159" s="95" t="s">
        <v>620</v>
      </c>
      <c r="H159" s="96"/>
      <c r="I159" s="96"/>
      <c r="J159" s="97"/>
      <c r="K159" s="97"/>
      <c r="L159" s="96"/>
      <c r="M159" s="96"/>
      <c r="N159" s="96"/>
      <c r="O159" s="126"/>
      <c r="P159" s="97"/>
      <c r="Q159" s="97"/>
    </row>
    <row r="160" spans="1:17" ht="22.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60-7-1</v>
      </c>
      <c r="B160" s="196"/>
      <c r="C160" s="199"/>
      <c r="D160" s="196"/>
      <c r="E160" s="218"/>
      <c r="F160" s="94" t="s">
        <v>257</v>
      </c>
      <c r="G160" s="95" t="s">
        <v>620</v>
      </c>
      <c r="H160" s="96"/>
      <c r="I160" s="96"/>
      <c r="J160" s="97"/>
      <c r="K160" s="97"/>
      <c r="L160" s="96"/>
      <c r="M160" s="96"/>
      <c r="N160" s="96"/>
      <c r="O160" s="126"/>
      <c r="P160" s="97"/>
      <c r="Q160" s="97"/>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60-8-1</v>
      </c>
      <c r="B161" s="196"/>
      <c r="C161" s="199"/>
      <c r="D161" s="196"/>
      <c r="E161" s="218"/>
      <c r="F161" s="94" t="s">
        <v>258</v>
      </c>
      <c r="G161" s="95" t="s">
        <v>620</v>
      </c>
      <c r="H161" s="96"/>
      <c r="I161" s="96"/>
      <c r="J161" s="97"/>
      <c r="K161" s="97"/>
      <c r="L161" s="96"/>
      <c r="M161" s="96"/>
      <c r="N161" s="96"/>
      <c r="O161" s="126"/>
      <c r="P161" s="97"/>
      <c r="Q161" s="97"/>
    </row>
    <row r="162" spans="1:17" ht="33.75">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60-9-1</v>
      </c>
      <c r="B162" s="196"/>
      <c r="C162" s="199"/>
      <c r="D162" s="196"/>
      <c r="E162" s="218"/>
      <c r="F162" s="94" t="s">
        <v>259</v>
      </c>
      <c r="G162" s="95" t="s">
        <v>620</v>
      </c>
      <c r="H162" s="96"/>
      <c r="I162" s="96"/>
      <c r="J162" s="97"/>
      <c r="K162" s="97"/>
      <c r="L162" s="96"/>
      <c r="M162" s="96"/>
      <c r="N162" s="96"/>
      <c r="O162" s="126"/>
      <c r="P162" s="97"/>
      <c r="Q162" s="97"/>
    </row>
    <row r="163" spans="1:17" ht="33.75">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60-10-1</v>
      </c>
      <c r="B163" s="196"/>
      <c r="C163" s="199"/>
      <c r="D163" s="196"/>
      <c r="E163" s="218"/>
      <c r="F163" s="94" t="s">
        <v>260</v>
      </c>
      <c r="G163" s="95" t="s">
        <v>620</v>
      </c>
      <c r="H163" s="96"/>
      <c r="I163" s="96"/>
      <c r="J163" s="97"/>
      <c r="K163" s="97"/>
      <c r="L163" s="96"/>
      <c r="M163" s="96"/>
      <c r="N163" s="96"/>
      <c r="O163" s="126"/>
      <c r="P163" s="97"/>
      <c r="Q163" s="97"/>
    </row>
    <row r="164" spans="1:17" ht="33.7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60-11-1</v>
      </c>
      <c r="B164" s="196"/>
      <c r="C164" s="199"/>
      <c r="D164" s="196"/>
      <c r="E164" s="198"/>
      <c r="F164" s="94" t="s">
        <v>261</v>
      </c>
      <c r="G164" s="95" t="s">
        <v>620</v>
      </c>
      <c r="H164" s="96"/>
      <c r="I164" s="96"/>
      <c r="J164" s="97"/>
      <c r="K164" s="97"/>
      <c r="L164" s="96"/>
      <c r="M164" s="96"/>
      <c r="N164" s="96"/>
      <c r="O164" s="126"/>
      <c r="P164" s="97"/>
      <c r="Q164" s="97"/>
    </row>
    <row r="165" spans="1:17">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61-1-1</v>
      </c>
      <c r="B165" s="196"/>
      <c r="C165" s="199"/>
      <c r="D165" s="196"/>
      <c r="E165" s="199" t="s">
        <v>61</v>
      </c>
      <c r="F165" s="94" t="s">
        <v>262</v>
      </c>
      <c r="G165" s="95" t="s">
        <v>620</v>
      </c>
      <c r="H165" s="96"/>
      <c r="I165" s="96"/>
      <c r="J165" s="97"/>
      <c r="K165" s="97"/>
      <c r="L165" s="96"/>
      <c r="M165" s="96"/>
      <c r="N165" s="96"/>
      <c r="O165" s="126"/>
      <c r="P165" s="97"/>
      <c r="Q165" s="97"/>
    </row>
    <row r="166" spans="1:17">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61-2-1</v>
      </c>
      <c r="B166" s="196"/>
      <c r="C166" s="199"/>
      <c r="D166" s="196"/>
      <c r="E166" s="199"/>
      <c r="F166" s="94" t="s">
        <v>263</v>
      </c>
      <c r="G166" s="95" t="s">
        <v>620</v>
      </c>
      <c r="H166" s="96"/>
      <c r="I166" s="96"/>
      <c r="J166" s="97"/>
      <c r="K166" s="97"/>
      <c r="L166" s="96"/>
      <c r="M166" s="96"/>
      <c r="N166" s="96"/>
      <c r="O166" s="126"/>
      <c r="P166" s="97"/>
      <c r="Q166" s="97"/>
    </row>
    <row r="167" spans="1:17" ht="22.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61-3-1</v>
      </c>
      <c r="B167" s="196"/>
      <c r="C167" s="199"/>
      <c r="D167" s="196"/>
      <c r="E167" s="199"/>
      <c r="F167" s="94" t="s">
        <v>264</v>
      </c>
      <c r="G167" s="95" t="s">
        <v>620</v>
      </c>
      <c r="H167" s="96"/>
      <c r="I167" s="96"/>
      <c r="J167" s="97"/>
      <c r="K167" s="97"/>
      <c r="L167" s="96"/>
      <c r="M167" s="96"/>
      <c r="N167" s="96"/>
      <c r="O167" s="126"/>
      <c r="P167" s="97"/>
      <c r="Q167" s="97"/>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61-4-1</v>
      </c>
      <c r="B168" s="196"/>
      <c r="C168" s="199"/>
      <c r="D168" s="196"/>
      <c r="E168" s="199"/>
      <c r="F168" s="94" t="s">
        <v>265</v>
      </c>
      <c r="G168" s="95" t="s">
        <v>620</v>
      </c>
      <c r="H168" s="96"/>
      <c r="I168" s="96"/>
      <c r="J168" s="97"/>
      <c r="K168" s="97"/>
      <c r="L168" s="96"/>
      <c r="M168" s="96"/>
      <c r="N168" s="96"/>
      <c r="O168" s="126"/>
      <c r="P168" s="97"/>
      <c r="Q168" s="97"/>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61-5-1</v>
      </c>
      <c r="B169" s="196"/>
      <c r="C169" s="199"/>
      <c r="D169" s="196"/>
      <c r="E169" s="199"/>
      <c r="F169" s="94" t="s">
        <v>266</v>
      </c>
      <c r="G169" s="95" t="s">
        <v>620</v>
      </c>
      <c r="H169" s="96"/>
      <c r="I169" s="96"/>
      <c r="J169" s="97"/>
      <c r="K169" s="97"/>
      <c r="L169" s="96"/>
      <c r="M169" s="96"/>
      <c r="N169" s="96"/>
      <c r="O169" s="126"/>
      <c r="P169" s="97"/>
      <c r="Q169" s="97"/>
    </row>
    <row r="170" spans="1:17" ht="33.7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61-6-1</v>
      </c>
      <c r="B170" s="196"/>
      <c r="C170" s="199"/>
      <c r="D170" s="196"/>
      <c r="E170" s="199"/>
      <c r="F170" s="94" t="s">
        <v>267</v>
      </c>
      <c r="G170" s="95" t="s">
        <v>620</v>
      </c>
      <c r="H170" s="96"/>
      <c r="I170" s="96"/>
      <c r="J170" s="97"/>
      <c r="K170" s="97"/>
      <c r="L170" s="96"/>
      <c r="M170" s="96"/>
      <c r="N170" s="96"/>
      <c r="O170" s="126"/>
      <c r="P170" s="97"/>
      <c r="Q170" s="97"/>
    </row>
    <row r="171" spans="1:17" ht="22.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61-7-1</v>
      </c>
      <c r="B171" s="198"/>
      <c r="C171" s="200"/>
      <c r="D171" s="198"/>
      <c r="E171" s="200"/>
      <c r="F171" s="94" t="s">
        <v>268</v>
      </c>
      <c r="G171" s="91" t="s">
        <v>603</v>
      </c>
      <c r="H171" s="96"/>
      <c r="I171" s="96"/>
      <c r="J171" s="97"/>
      <c r="K171" s="97"/>
      <c r="L171" s="96"/>
      <c r="M171" s="96"/>
      <c r="N171" s="96"/>
      <c r="O171" s="126"/>
      <c r="P171" s="97"/>
      <c r="Q171" s="97"/>
    </row>
    <row r="172" spans="1:17" ht="22.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62-1-1</v>
      </c>
      <c r="B172" s="195"/>
      <c r="C172" s="242"/>
      <c r="D172" s="195"/>
      <c r="E172" s="242" t="s">
        <v>205</v>
      </c>
      <c r="F172" s="94" t="s">
        <v>269</v>
      </c>
      <c r="G172" s="95" t="s">
        <v>620</v>
      </c>
      <c r="H172" s="96"/>
      <c r="I172" s="96"/>
      <c r="J172" s="97"/>
      <c r="K172" s="97"/>
      <c r="L172" s="96"/>
      <c r="M172" s="96"/>
      <c r="N172" s="96"/>
      <c r="O172" s="126"/>
      <c r="P172" s="97"/>
      <c r="Q172" s="97"/>
    </row>
    <row r="173" spans="1:17" ht="33.7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62-2-1</v>
      </c>
      <c r="B173" s="196"/>
      <c r="C173" s="199"/>
      <c r="D173" s="196"/>
      <c r="E173" s="199"/>
      <c r="F173" s="94" t="s">
        <v>270</v>
      </c>
      <c r="G173" s="95" t="s">
        <v>620</v>
      </c>
      <c r="H173" s="96"/>
      <c r="I173" s="96"/>
      <c r="J173" s="97"/>
      <c r="K173" s="97"/>
      <c r="L173" s="96"/>
      <c r="M173" s="96"/>
      <c r="N173" s="96"/>
      <c r="O173" s="126"/>
      <c r="P173" s="97"/>
      <c r="Q173" s="97"/>
    </row>
    <row r="174" spans="1:17" ht="33.7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62-3-1</v>
      </c>
      <c r="B174" s="196"/>
      <c r="C174" s="199"/>
      <c r="D174" s="196"/>
      <c r="E174" s="199"/>
      <c r="F174" s="94" t="s">
        <v>271</v>
      </c>
      <c r="G174" s="95" t="s">
        <v>620</v>
      </c>
      <c r="H174" s="96"/>
      <c r="I174" s="96"/>
      <c r="J174" s="97"/>
      <c r="K174" s="97"/>
      <c r="L174" s="96"/>
      <c r="M174" s="96"/>
      <c r="N174" s="96"/>
      <c r="O174" s="126"/>
      <c r="P174" s="97"/>
      <c r="Q174" s="97"/>
    </row>
    <row r="175" spans="1:17" ht="4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62-4-1</v>
      </c>
      <c r="B175" s="196"/>
      <c r="C175" s="199"/>
      <c r="D175" s="196"/>
      <c r="E175" s="199"/>
      <c r="F175" s="94" t="s">
        <v>272</v>
      </c>
      <c r="G175" s="95" t="s">
        <v>620</v>
      </c>
      <c r="H175" s="96"/>
      <c r="I175" s="96"/>
      <c r="J175" s="97"/>
      <c r="K175" s="97"/>
      <c r="L175" s="96"/>
      <c r="M175" s="96"/>
      <c r="N175" s="96"/>
      <c r="O175" s="126"/>
      <c r="P175" s="97"/>
      <c r="Q175" s="97"/>
    </row>
    <row r="176" spans="1:17" ht="4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62-5-1</v>
      </c>
      <c r="B176" s="196"/>
      <c r="C176" s="199"/>
      <c r="D176" s="196"/>
      <c r="E176" s="199"/>
      <c r="F176" s="94" t="s">
        <v>273</v>
      </c>
      <c r="G176" s="95" t="s">
        <v>620</v>
      </c>
      <c r="H176" s="96"/>
      <c r="I176" s="96"/>
      <c r="J176" s="97"/>
      <c r="K176" s="97"/>
      <c r="L176" s="96"/>
      <c r="M176" s="96"/>
      <c r="N176" s="96"/>
      <c r="O176" s="126"/>
      <c r="P176" s="97"/>
      <c r="Q176" s="97"/>
    </row>
    <row r="177" spans="1:17" ht="33.7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62-6-1</v>
      </c>
      <c r="B177" s="196"/>
      <c r="C177" s="199"/>
      <c r="D177" s="196"/>
      <c r="E177" s="199"/>
      <c r="F177" s="94" t="s">
        <v>274</v>
      </c>
      <c r="G177" s="95"/>
      <c r="H177" s="96"/>
      <c r="I177" s="96"/>
      <c r="J177" s="97" t="s">
        <v>642</v>
      </c>
      <c r="K177" s="97"/>
      <c r="L177" s="96"/>
      <c r="M177" s="96"/>
      <c r="N177" s="96"/>
      <c r="O177" s="126"/>
      <c r="P177" s="97"/>
      <c r="Q177" s="97"/>
    </row>
    <row r="178" spans="1:17" ht="4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62-7-1</v>
      </c>
      <c r="B178" s="196"/>
      <c r="C178" s="199"/>
      <c r="D178" s="196"/>
      <c r="E178" s="199"/>
      <c r="F178" s="94" t="s">
        <v>275</v>
      </c>
      <c r="G178" s="91" t="s">
        <v>602</v>
      </c>
      <c r="H178" s="96"/>
      <c r="I178" s="96"/>
      <c r="J178" s="97"/>
      <c r="K178" s="97"/>
      <c r="L178" s="96"/>
      <c r="M178" s="96"/>
      <c r="N178" s="96"/>
      <c r="O178" s="126"/>
      <c r="P178" s="97"/>
      <c r="Q178" s="97"/>
    </row>
    <row r="179" spans="1:17" ht="4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62-8-1</v>
      </c>
      <c r="B179" s="196"/>
      <c r="C179" s="199"/>
      <c r="D179" s="196"/>
      <c r="E179" s="199"/>
      <c r="F179" s="94" t="s">
        <v>276</v>
      </c>
      <c r="G179" s="91" t="s">
        <v>602</v>
      </c>
      <c r="H179" s="96"/>
      <c r="I179" s="96"/>
      <c r="J179" s="97"/>
      <c r="K179" s="97"/>
      <c r="L179" s="96"/>
      <c r="M179" s="96"/>
      <c r="N179" s="96"/>
      <c r="O179" s="126"/>
      <c r="P179" s="97"/>
      <c r="Q179" s="97"/>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62-9-1</v>
      </c>
      <c r="B180" s="196"/>
      <c r="C180" s="199"/>
      <c r="D180" s="196"/>
      <c r="E180" s="198"/>
      <c r="F180" s="94" t="s">
        <v>277</v>
      </c>
      <c r="G180" s="91" t="s">
        <v>602</v>
      </c>
      <c r="H180" s="96"/>
      <c r="I180" s="96"/>
      <c r="J180" s="97"/>
      <c r="K180" s="97"/>
      <c r="L180" s="96"/>
      <c r="M180" s="96"/>
      <c r="N180" s="96"/>
      <c r="O180" s="126"/>
      <c r="P180" s="97"/>
      <c r="Q180" s="97"/>
    </row>
    <row r="181" spans="1:17" ht="33.7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63-1-1</v>
      </c>
      <c r="B181" s="196"/>
      <c r="C181" s="199"/>
      <c r="D181" s="196"/>
      <c r="E181" s="198" t="s">
        <v>239</v>
      </c>
      <c r="F181" s="94" t="s">
        <v>278</v>
      </c>
      <c r="G181" s="95" t="s">
        <v>620</v>
      </c>
      <c r="H181" s="96"/>
      <c r="I181" s="96"/>
      <c r="J181" s="97"/>
      <c r="K181" s="97"/>
      <c r="L181" s="96"/>
      <c r="M181" s="96"/>
      <c r="N181" s="96"/>
      <c r="O181" s="126"/>
      <c r="P181" s="97"/>
      <c r="Q181" s="97"/>
    </row>
    <row r="182" spans="1:17" ht="22.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64-1-1</v>
      </c>
      <c r="B182" s="198"/>
      <c r="C182" s="200"/>
      <c r="D182" s="198"/>
      <c r="E182" s="200" t="s">
        <v>279</v>
      </c>
      <c r="F182" s="94" t="s">
        <v>280</v>
      </c>
      <c r="G182" s="91" t="s">
        <v>604</v>
      </c>
      <c r="H182" s="96"/>
      <c r="I182" s="96"/>
      <c r="J182" s="97"/>
      <c r="K182" s="97"/>
      <c r="L182" s="96"/>
      <c r="M182" s="96"/>
      <c r="N182" s="96"/>
      <c r="O182" s="126"/>
      <c r="P182" s="97"/>
      <c r="Q182" s="97"/>
    </row>
    <row r="183" spans="1:17" ht="22.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65-1-1</v>
      </c>
      <c r="B183" s="195" t="s">
        <v>281</v>
      </c>
      <c r="C183" s="195" t="s">
        <v>194</v>
      </c>
      <c r="D183" s="126" t="s">
        <v>282</v>
      </c>
      <c r="E183" s="126" t="s">
        <v>495</v>
      </c>
      <c r="F183" s="94" t="s">
        <v>283</v>
      </c>
      <c r="G183" s="91" t="s">
        <v>494</v>
      </c>
      <c r="H183" s="96"/>
      <c r="I183" s="96"/>
      <c r="J183" s="97"/>
      <c r="K183" s="97"/>
      <c r="L183" s="96"/>
      <c r="M183" s="96"/>
      <c r="N183" s="96"/>
      <c r="O183" s="126"/>
      <c r="P183" s="97"/>
      <c r="Q183" s="97"/>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66-1-1</v>
      </c>
      <c r="B184" s="196"/>
      <c r="C184" s="199"/>
      <c r="D184" s="126" t="s">
        <v>284</v>
      </c>
      <c r="E184" s="198" t="s">
        <v>54</v>
      </c>
      <c r="F184" s="94" t="s">
        <v>285</v>
      </c>
      <c r="G184" s="91" t="s">
        <v>494</v>
      </c>
      <c r="H184" s="96"/>
      <c r="I184" s="96"/>
      <c r="J184" s="97"/>
      <c r="K184" s="97"/>
      <c r="L184" s="96"/>
      <c r="M184" s="96"/>
      <c r="N184" s="96"/>
      <c r="O184" s="126"/>
      <c r="P184" s="97"/>
      <c r="Q184" s="97"/>
    </row>
    <row r="185" spans="1:17" ht="22.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67-1-1</v>
      </c>
      <c r="B185" s="198"/>
      <c r="C185" s="200"/>
      <c r="D185" s="200" t="s">
        <v>548</v>
      </c>
      <c r="E185" s="200" t="s">
        <v>54</v>
      </c>
      <c r="F185" s="94" t="s">
        <v>287</v>
      </c>
      <c r="G185" s="91" t="s">
        <v>494</v>
      </c>
      <c r="H185" s="96"/>
      <c r="I185" s="96"/>
      <c r="J185" s="97"/>
      <c r="K185" s="97"/>
      <c r="L185" s="96"/>
      <c r="M185" s="96"/>
      <c r="N185" s="96"/>
      <c r="O185" s="126"/>
      <c r="P185" s="97"/>
      <c r="Q185" s="97"/>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68-1-1</v>
      </c>
      <c r="B186" s="202" t="s">
        <v>288</v>
      </c>
      <c r="C186" s="202" t="s">
        <v>194</v>
      </c>
      <c r="D186" s="202" t="s">
        <v>499</v>
      </c>
      <c r="E186" s="129" t="s">
        <v>289</v>
      </c>
      <c r="F186" s="66" t="s">
        <v>290</v>
      </c>
      <c r="G186" s="64" t="s">
        <v>563</v>
      </c>
      <c r="H186" s="49"/>
      <c r="I186" s="49"/>
      <c r="J186" s="97"/>
      <c r="K186" s="46"/>
      <c r="L186" s="49"/>
      <c r="M186" s="49"/>
      <c r="N186" s="49"/>
      <c r="O186" s="129"/>
      <c r="P186" s="46"/>
      <c r="Q186" s="46"/>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69-1-1</v>
      </c>
      <c r="B187" s="203"/>
      <c r="C187" s="219"/>
      <c r="D187" s="203"/>
      <c r="E187" s="204" t="s">
        <v>61</v>
      </c>
      <c r="F187" s="66" t="s">
        <v>291</v>
      </c>
      <c r="G187" s="64" t="s">
        <v>563</v>
      </c>
      <c r="H187" s="49"/>
      <c r="I187" s="49"/>
      <c r="J187" s="97"/>
      <c r="K187" s="46"/>
      <c r="L187" s="49"/>
      <c r="M187" s="49"/>
      <c r="N187" s="49"/>
      <c r="O187" s="129"/>
      <c r="P187" s="46"/>
      <c r="Q187" s="46"/>
    </row>
    <row r="188" spans="1:17" ht="22.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69-2-1</v>
      </c>
      <c r="B188" s="203"/>
      <c r="C188" s="220"/>
      <c r="D188" s="203"/>
      <c r="E188" s="206"/>
      <c r="F188" s="66" t="s">
        <v>292</v>
      </c>
      <c r="G188" s="64" t="s">
        <v>563</v>
      </c>
      <c r="H188" s="49"/>
      <c r="I188" s="49"/>
      <c r="J188" s="97"/>
      <c r="K188" s="46"/>
      <c r="L188" s="49"/>
      <c r="M188" s="49"/>
      <c r="N188" s="49"/>
      <c r="O188" s="129"/>
      <c r="P188" s="46"/>
      <c r="Q188" s="46"/>
    </row>
    <row r="189" spans="1:17" ht="22.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70-1-1</v>
      </c>
      <c r="B189" s="203"/>
      <c r="C189" s="204"/>
      <c r="D189" s="203"/>
      <c r="E189" s="204" t="s">
        <v>293</v>
      </c>
      <c r="F189" s="66" t="s">
        <v>294</v>
      </c>
      <c r="G189" s="64" t="s">
        <v>563</v>
      </c>
      <c r="H189" s="49"/>
      <c r="I189" s="49"/>
      <c r="J189" s="97"/>
      <c r="K189" s="46"/>
      <c r="L189" s="49"/>
      <c r="M189" s="49"/>
      <c r="N189" s="49"/>
      <c r="O189" s="129"/>
      <c r="P189" s="46"/>
      <c r="Q189" s="46"/>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70-2-1</v>
      </c>
      <c r="B190" s="203"/>
      <c r="C190" s="204"/>
      <c r="D190" s="221"/>
      <c r="E190" s="206"/>
      <c r="F190" s="66" t="s">
        <v>295</v>
      </c>
      <c r="G190" s="64" t="s">
        <v>563</v>
      </c>
      <c r="H190" s="49"/>
      <c r="I190" s="49"/>
      <c r="J190" s="46"/>
      <c r="K190" s="46"/>
      <c r="L190" s="49"/>
      <c r="M190" s="49"/>
      <c r="N190" s="49"/>
      <c r="O190" s="129"/>
      <c r="P190" s="46"/>
      <c r="Q190" s="46"/>
    </row>
    <row r="191" spans="1:17" ht="33.7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71-1-1</v>
      </c>
      <c r="B191" s="203"/>
      <c r="C191" s="206"/>
      <c r="D191" s="206" t="s">
        <v>496</v>
      </c>
      <c r="E191" s="206" t="s">
        <v>499</v>
      </c>
      <c r="F191" s="66" t="s">
        <v>296</v>
      </c>
      <c r="G191" s="64" t="s">
        <v>563</v>
      </c>
      <c r="H191" s="49"/>
      <c r="I191" s="49"/>
      <c r="J191" s="46"/>
      <c r="K191" s="46"/>
      <c r="L191" s="49"/>
      <c r="M191" s="49"/>
      <c r="N191" s="49"/>
      <c r="O191" s="129"/>
      <c r="P191" s="46"/>
      <c r="Q191" s="46"/>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72-1-1</v>
      </c>
      <c r="B192" s="203"/>
      <c r="C192" s="204" t="s">
        <v>297</v>
      </c>
      <c r="D192" s="203" t="s">
        <v>549</v>
      </c>
      <c r="E192" s="204" t="s">
        <v>299</v>
      </c>
      <c r="F192" s="66" t="s">
        <v>300</v>
      </c>
      <c r="G192" s="64" t="s">
        <v>563</v>
      </c>
      <c r="H192" s="49"/>
      <c r="I192" s="49"/>
      <c r="J192" s="46"/>
      <c r="K192" s="46"/>
      <c r="L192" s="49"/>
      <c r="M192" s="49"/>
      <c r="N192" s="49"/>
      <c r="O192" s="129"/>
      <c r="P192" s="46"/>
      <c r="Q192" s="46"/>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72-2-1</v>
      </c>
      <c r="B193" s="203"/>
      <c r="C193" s="220"/>
      <c r="D193" s="203"/>
      <c r="E193" s="204"/>
      <c r="F193" s="66" t="s">
        <v>301</v>
      </c>
      <c r="G193" s="64" t="s">
        <v>563</v>
      </c>
      <c r="H193" s="49"/>
      <c r="I193" s="49"/>
      <c r="J193" s="46"/>
      <c r="K193" s="46"/>
      <c r="L193" s="49"/>
      <c r="M193" s="49"/>
      <c r="N193" s="49"/>
      <c r="O193" s="129"/>
      <c r="P193" s="46"/>
      <c r="Q193" s="46"/>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72-3-1</v>
      </c>
      <c r="B194" s="203"/>
      <c r="C194" s="220"/>
      <c r="D194" s="203"/>
      <c r="E194" s="204"/>
      <c r="F194" s="66" t="s">
        <v>302</v>
      </c>
      <c r="G194" s="64" t="s">
        <v>563</v>
      </c>
      <c r="H194" s="49"/>
      <c r="I194" s="49"/>
      <c r="J194" s="46"/>
      <c r="K194" s="46"/>
      <c r="L194" s="49"/>
      <c r="M194" s="49"/>
      <c r="N194" s="49"/>
      <c r="O194" s="129"/>
      <c r="P194" s="46"/>
      <c r="Q194" s="46"/>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72-4-1</v>
      </c>
      <c r="B195" s="203"/>
      <c r="C195" s="220"/>
      <c r="D195" s="203"/>
      <c r="E195" s="204"/>
      <c r="F195" s="66" t="s">
        <v>303</v>
      </c>
      <c r="G195" s="64" t="s">
        <v>563</v>
      </c>
      <c r="H195" s="49"/>
      <c r="I195" s="49"/>
      <c r="J195" s="46"/>
      <c r="K195" s="46"/>
      <c r="L195" s="49"/>
      <c r="M195" s="49"/>
      <c r="N195" s="49"/>
      <c r="O195" s="129"/>
      <c r="P195" s="46"/>
      <c r="Q195" s="46"/>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72-5-1</v>
      </c>
      <c r="B196" s="203"/>
      <c r="C196" s="220"/>
      <c r="D196" s="203"/>
      <c r="E196" s="204"/>
      <c r="F196" s="66" t="s">
        <v>304</v>
      </c>
      <c r="G196" s="64" t="s">
        <v>563</v>
      </c>
      <c r="H196" s="49"/>
      <c r="I196" s="49"/>
      <c r="J196" s="46"/>
      <c r="K196" s="46"/>
      <c r="L196" s="49"/>
      <c r="M196" s="49"/>
      <c r="N196" s="49"/>
      <c r="O196" s="129"/>
      <c r="P196" s="46"/>
      <c r="Q196" s="46"/>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72-6-1</v>
      </c>
      <c r="B197" s="203"/>
      <c r="C197" s="220"/>
      <c r="D197" s="203"/>
      <c r="E197" s="204"/>
      <c r="F197" s="66" t="s">
        <v>305</v>
      </c>
      <c r="G197" s="64" t="s">
        <v>563</v>
      </c>
      <c r="H197" s="49"/>
      <c r="I197" s="49"/>
      <c r="J197" s="46"/>
      <c r="K197" s="46"/>
      <c r="L197" s="49"/>
      <c r="M197" s="49"/>
      <c r="N197" s="49"/>
      <c r="O197" s="129"/>
      <c r="P197" s="46"/>
      <c r="Q197" s="46"/>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72-7-1</v>
      </c>
      <c r="B198" s="203"/>
      <c r="C198" s="220"/>
      <c r="D198" s="203"/>
      <c r="E198" s="206"/>
      <c r="F198" s="66" t="s">
        <v>306</v>
      </c>
      <c r="G198" s="64" t="s">
        <v>563</v>
      </c>
      <c r="H198" s="49"/>
      <c r="I198" s="49"/>
      <c r="J198" s="46"/>
      <c r="K198" s="46"/>
      <c r="L198" s="49"/>
      <c r="M198" s="49"/>
      <c r="N198" s="49"/>
      <c r="O198" s="129"/>
      <c r="P198" s="46"/>
      <c r="Q198" s="46"/>
    </row>
    <row r="199" spans="1:17" ht="22.5">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73-1-1</v>
      </c>
      <c r="B199" s="203"/>
      <c r="C199" s="219"/>
      <c r="D199" s="206"/>
      <c r="E199" s="129" t="s">
        <v>307</v>
      </c>
      <c r="F199" s="66" t="s">
        <v>550</v>
      </c>
      <c r="G199" s="64" t="s">
        <v>563</v>
      </c>
      <c r="H199" s="49"/>
      <c r="I199" s="49"/>
      <c r="J199" s="46"/>
      <c r="K199" s="46"/>
      <c r="L199" s="49"/>
      <c r="M199" s="49"/>
      <c r="N199" s="49"/>
      <c r="O199" s="129"/>
      <c r="P199" s="46"/>
      <c r="Q199" s="46"/>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74-1-1</v>
      </c>
      <c r="B200" s="203"/>
      <c r="C200" s="219"/>
      <c r="D200" s="203" t="s">
        <v>309</v>
      </c>
      <c r="E200" s="204" t="s">
        <v>127</v>
      </c>
      <c r="F200" s="66" t="s">
        <v>310</v>
      </c>
      <c r="G200" s="64" t="s">
        <v>563</v>
      </c>
      <c r="H200" s="49"/>
      <c r="I200" s="49"/>
      <c r="J200" s="46"/>
      <c r="K200" s="46"/>
      <c r="L200" s="49"/>
      <c r="M200" s="49"/>
      <c r="N200" s="49"/>
      <c r="O200" s="129"/>
      <c r="P200" s="46"/>
      <c r="Q200" s="46"/>
    </row>
    <row r="201" spans="1:17" ht="22.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74-2-1</v>
      </c>
      <c r="B201" s="203"/>
      <c r="C201" s="219"/>
      <c r="D201" s="203"/>
      <c r="E201" s="204"/>
      <c r="F201" s="66" t="s">
        <v>311</v>
      </c>
      <c r="G201" s="64" t="s">
        <v>563</v>
      </c>
      <c r="H201" s="49"/>
      <c r="I201" s="49"/>
      <c r="J201" s="46"/>
      <c r="K201" s="46"/>
      <c r="L201" s="49"/>
      <c r="M201" s="49"/>
      <c r="N201" s="49"/>
      <c r="O201" s="129"/>
      <c r="P201" s="46"/>
      <c r="Q201" s="46"/>
    </row>
    <row r="202" spans="1:17">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74-3-1</v>
      </c>
      <c r="B202" s="203"/>
      <c r="C202" s="219"/>
      <c r="D202" s="203"/>
      <c r="E202" s="204"/>
      <c r="F202" s="66" t="s">
        <v>312</v>
      </c>
      <c r="G202" s="64" t="s">
        <v>563</v>
      </c>
      <c r="H202" s="49"/>
      <c r="I202" s="49"/>
      <c r="J202" s="46"/>
      <c r="K202" s="46"/>
      <c r="L202" s="49"/>
      <c r="M202" s="49"/>
      <c r="N202" s="49"/>
      <c r="O202" s="129"/>
      <c r="P202" s="46"/>
      <c r="Q202" s="46"/>
    </row>
    <row r="203" spans="1:17" ht="22.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74-4-1</v>
      </c>
      <c r="B203" s="203"/>
      <c r="C203" s="219"/>
      <c r="D203" s="203"/>
      <c r="E203" s="204"/>
      <c r="F203" s="66" t="s">
        <v>313</v>
      </c>
      <c r="G203" s="64" t="s">
        <v>563</v>
      </c>
      <c r="H203" s="49"/>
      <c r="I203" s="49"/>
      <c r="J203" s="46"/>
      <c r="K203" s="46"/>
      <c r="L203" s="49"/>
      <c r="M203" s="49"/>
      <c r="N203" s="49"/>
      <c r="O203" s="129"/>
      <c r="P203" s="46"/>
      <c r="Q203" s="46"/>
    </row>
    <row r="204" spans="1:17" ht="33.7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74-5-1</v>
      </c>
      <c r="B204" s="203"/>
      <c r="C204" s="219"/>
      <c r="D204" s="203"/>
      <c r="E204" s="204"/>
      <c r="F204" s="66" t="s">
        <v>314</v>
      </c>
      <c r="G204" s="64" t="s">
        <v>563</v>
      </c>
      <c r="H204" s="49"/>
      <c r="I204" s="49"/>
      <c r="J204" s="46"/>
      <c r="K204" s="46"/>
      <c r="L204" s="49"/>
      <c r="M204" s="49"/>
      <c r="N204" s="49"/>
      <c r="O204" s="129"/>
      <c r="P204" s="46"/>
      <c r="Q204" s="46"/>
    </row>
    <row r="205" spans="1:17" ht="33.7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74-6-1</v>
      </c>
      <c r="B205" s="203"/>
      <c r="C205" s="219"/>
      <c r="D205" s="203"/>
      <c r="E205" s="204"/>
      <c r="F205" s="66" t="s">
        <v>315</v>
      </c>
      <c r="G205" s="64" t="s">
        <v>563</v>
      </c>
      <c r="H205" s="49"/>
      <c r="I205" s="49"/>
      <c r="J205" s="46"/>
      <c r="K205" s="46"/>
      <c r="L205" s="49"/>
      <c r="M205" s="49"/>
      <c r="N205" s="49"/>
      <c r="O205" s="129"/>
      <c r="P205" s="46"/>
      <c r="Q205" s="46"/>
    </row>
    <row r="206" spans="1:17" ht="4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74-7-1</v>
      </c>
      <c r="B206" s="203"/>
      <c r="C206" s="219"/>
      <c r="D206" s="203"/>
      <c r="E206" s="204"/>
      <c r="F206" s="66" t="s">
        <v>551</v>
      </c>
      <c r="G206" s="64" t="s">
        <v>563</v>
      </c>
      <c r="H206" s="49"/>
      <c r="I206" s="49"/>
      <c r="J206" s="46"/>
      <c r="K206" s="46"/>
      <c r="L206" s="49"/>
      <c r="M206" s="49"/>
      <c r="N206" s="49"/>
      <c r="O206" s="129"/>
      <c r="P206" s="46"/>
      <c r="Q206" s="46"/>
    </row>
    <row r="207" spans="1:17" ht="33.7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74-8-1</v>
      </c>
      <c r="B207" s="203"/>
      <c r="C207" s="219"/>
      <c r="D207" s="203"/>
      <c r="E207" s="204"/>
      <c r="F207" s="66" t="s">
        <v>317</v>
      </c>
      <c r="G207" s="64" t="s">
        <v>563</v>
      </c>
      <c r="H207" s="49"/>
      <c r="I207" s="49"/>
      <c r="J207" s="46"/>
      <c r="K207" s="46"/>
      <c r="L207" s="49"/>
      <c r="M207" s="49"/>
      <c r="N207" s="49"/>
      <c r="O207" s="129"/>
      <c r="P207" s="46"/>
      <c r="Q207" s="46"/>
    </row>
    <row r="208" spans="1:17" ht="33.7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74-9-1</v>
      </c>
      <c r="B208" s="203"/>
      <c r="C208" s="219"/>
      <c r="D208" s="203"/>
      <c r="E208" s="204"/>
      <c r="F208" s="66" t="s">
        <v>318</v>
      </c>
      <c r="G208" s="64" t="s">
        <v>563</v>
      </c>
      <c r="H208" s="49"/>
      <c r="I208" s="49"/>
      <c r="J208" s="46"/>
      <c r="K208" s="46"/>
      <c r="L208" s="49"/>
      <c r="M208" s="49"/>
      <c r="N208" s="49"/>
      <c r="O208" s="129"/>
      <c r="P208" s="46"/>
      <c r="Q208" s="46"/>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74-10-1</v>
      </c>
      <c r="B209" s="203"/>
      <c r="C209" s="219"/>
      <c r="D209" s="203"/>
      <c r="E209" s="204"/>
      <c r="F209" s="66" t="s">
        <v>319</v>
      </c>
      <c r="G209" s="64" t="s">
        <v>563</v>
      </c>
      <c r="H209" s="49"/>
      <c r="I209" s="49"/>
      <c r="J209" s="46"/>
      <c r="K209" s="46"/>
      <c r="L209" s="49"/>
      <c r="M209" s="49"/>
      <c r="N209" s="49"/>
      <c r="O209" s="129"/>
      <c r="P209" s="46"/>
      <c r="Q209" s="46"/>
    </row>
    <row r="210" spans="1:17" ht="22.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74-11-1</v>
      </c>
      <c r="B210" s="203"/>
      <c r="C210" s="219"/>
      <c r="D210" s="203"/>
      <c r="E210" s="204"/>
      <c r="F210" s="66" t="s">
        <v>320</v>
      </c>
      <c r="G210" s="64" t="s">
        <v>563</v>
      </c>
      <c r="H210" s="49"/>
      <c r="I210" s="49"/>
      <c r="J210" s="46"/>
      <c r="K210" s="46"/>
      <c r="L210" s="49"/>
      <c r="M210" s="49"/>
      <c r="N210" s="49"/>
      <c r="O210" s="129"/>
      <c r="P210" s="46"/>
      <c r="Q210" s="46"/>
    </row>
    <row r="211" spans="1:17" ht="33.7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74-12-1</v>
      </c>
      <c r="B211" s="203"/>
      <c r="C211" s="219"/>
      <c r="D211" s="203"/>
      <c r="E211" s="204"/>
      <c r="F211" s="66" t="s">
        <v>321</v>
      </c>
      <c r="G211" s="64" t="s">
        <v>563</v>
      </c>
      <c r="H211" s="49"/>
      <c r="I211" s="49"/>
      <c r="J211" s="46"/>
      <c r="K211" s="46"/>
      <c r="L211" s="49"/>
      <c r="M211" s="49"/>
      <c r="N211" s="49"/>
      <c r="O211" s="129"/>
      <c r="P211" s="46"/>
      <c r="Q211" s="46"/>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74-13-1</v>
      </c>
      <c r="B212" s="203"/>
      <c r="C212" s="219"/>
      <c r="D212" s="206"/>
      <c r="E212" s="205"/>
      <c r="F212" s="66" t="s">
        <v>322</v>
      </c>
      <c r="G212" s="64" t="s">
        <v>563</v>
      </c>
      <c r="H212" s="49"/>
      <c r="I212" s="49"/>
      <c r="J212" s="46"/>
      <c r="K212" s="46"/>
      <c r="L212" s="49"/>
      <c r="M212" s="49"/>
      <c r="N212" s="49"/>
      <c r="O212" s="129"/>
      <c r="P212" s="46"/>
      <c r="Q212" s="46"/>
    </row>
    <row r="213" spans="1:17" ht="22.5">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75-1-1</v>
      </c>
      <c r="B213" s="203"/>
      <c r="C213" s="219"/>
      <c r="D213" s="202" t="s">
        <v>552</v>
      </c>
      <c r="E213" s="201" t="s">
        <v>127</v>
      </c>
      <c r="F213" s="66" t="s">
        <v>324</v>
      </c>
      <c r="G213" s="64" t="s">
        <v>563</v>
      </c>
      <c r="H213" s="49"/>
      <c r="I213" s="49"/>
      <c r="J213" s="46"/>
      <c r="K213" s="46"/>
      <c r="L213" s="49"/>
      <c r="M213" s="49"/>
      <c r="N213" s="49"/>
      <c r="O213" s="129"/>
      <c r="P213" s="46"/>
      <c r="Q213" s="46"/>
    </row>
    <row r="214" spans="1:17" ht="22.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75-2-1</v>
      </c>
      <c r="B214" s="203"/>
      <c r="C214" s="219"/>
      <c r="D214" s="203"/>
      <c r="E214" s="204"/>
      <c r="F214" s="66" t="s">
        <v>325</v>
      </c>
      <c r="G214" s="64" t="s">
        <v>563</v>
      </c>
      <c r="H214" s="49"/>
      <c r="I214" s="49"/>
      <c r="J214" s="46"/>
      <c r="K214" s="46"/>
      <c r="L214" s="49"/>
      <c r="M214" s="49"/>
      <c r="N214" s="49"/>
      <c r="O214" s="129"/>
      <c r="P214" s="46"/>
      <c r="Q214" s="46"/>
    </row>
    <row r="215" spans="1:17" ht="22.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75-3-1</v>
      </c>
      <c r="B215" s="203"/>
      <c r="C215" s="219"/>
      <c r="D215" s="203"/>
      <c r="E215" s="204"/>
      <c r="F215" s="66" t="s">
        <v>326</v>
      </c>
      <c r="G215" s="64" t="s">
        <v>563</v>
      </c>
      <c r="H215" s="49"/>
      <c r="I215" s="49"/>
      <c r="J215" s="46"/>
      <c r="K215" s="46"/>
      <c r="L215" s="49"/>
      <c r="M215" s="49"/>
      <c r="N215" s="49"/>
      <c r="O215" s="129"/>
      <c r="P215" s="46"/>
      <c r="Q215" s="46"/>
    </row>
    <row r="216" spans="1:17">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75-4-1</v>
      </c>
      <c r="B216" s="203"/>
      <c r="C216" s="219"/>
      <c r="D216" s="203"/>
      <c r="E216" s="204"/>
      <c r="F216" s="66" t="s">
        <v>312</v>
      </c>
      <c r="G216" s="64" t="s">
        <v>563</v>
      </c>
      <c r="H216" s="49"/>
      <c r="I216" s="49"/>
      <c r="J216" s="46"/>
      <c r="K216" s="46"/>
      <c r="L216" s="49"/>
      <c r="M216" s="49"/>
      <c r="N216" s="49"/>
      <c r="O216" s="129"/>
      <c r="P216" s="46"/>
      <c r="Q216" s="46"/>
    </row>
    <row r="217" spans="1:17" ht="22.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75-5-1</v>
      </c>
      <c r="B217" s="203"/>
      <c r="C217" s="219"/>
      <c r="D217" s="203"/>
      <c r="E217" s="204"/>
      <c r="F217" s="66" t="s">
        <v>313</v>
      </c>
      <c r="G217" s="64" t="s">
        <v>563</v>
      </c>
      <c r="H217" s="49"/>
      <c r="I217" s="49"/>
      <c r="J217" s="46"/>
      <c r="K217" s="46"/>
      <c r="L217" s="49"/>
      <c r="M217" s="49"/>
      <c r="N217" s="49"/>
      <c r="O217" s="129"/>
      <c r="P217" s="46"/>
      <c r="Q217" s="46"/>
    </row>
    <row r="218" spans="1:17" ht="4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75-6-1</v>
      </c>
      <c r="B218" s="203"/>
      <c r="C218" s="219"/>
      <c r="D218" s="203"/>
      <c r="E218" s="204"/>
      <c r="F218" s="66" t="s">
        <v>327</v>
      </c>
      <c r="G218" s="64" t="s">
        <v>563</v>
      </c>
      <c r="H218" s="49"/>
      <c r="I218" s="49"/>
      <c r="J218" s="46"/>
      <c r="K218" s="46"/>
      <c r="L218" s="49"/>
      <c r="M218" s="49"/>
      <c r="N218" s="49"/>
      <c r="O218" s="129"/>
      <c r="P218" s="46"/>
      <c r="Q218" s="46"/>
    </row>
    <row r="219" spans="1:17" ht="33.7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75-7-1</v>
      </c>
      <c r="B219" s="203"/>
      <c r="C219" s="219"/>
      <c r="D219" s="203"/>
      <c r="E219" s="204"/>
      <c r="F219" s="66" t="s">
        <v>328</v>
      </c>
      <c r="G219" s="64" t="s">
        <v>563</v>
      </c>
      <c r="H219" s="49"/>
      <c r="I219" s="49"/>
      <c r="J219" s="46"/>
      <c r="K219" s="46"/>
      <c r="L219" s="49"/>
      <c r="M219" s="49"/>
      <c r="N219" s="49"/>
      <c r="O219" s="129"/>
      <c r="P219" s="46"/>
      <c r="Q219" s="46"/>
    </row>
    <row r="220" spans="1:17" ht="33.7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75-8-1</v>
      </c>
      <c r="B220" s="203"/>
      <c r="C220" s="219"/>
      <c r="D220" s="203"/>
      <c r="E220" s="204"/>
      <c r="F220" s="66" t="s">
        <v>553</v>
      </c>
      <c r="G220" s="64" t="s">
        <v>563</v>
      </c>
      <c r="H220" s="49"/>
      <c r="I220" s="49"/>
      <c r="J220" s="46"/>
      <c r="K220" s="46"/>
      <c r="L220" s="49"/>
      <c r="M220" s="49"/>
      <c r="N220" s="49"/>
      <c r="O220" s="129"/>
      <c r="P220" s="46"/>
      <c r="Q220" s="46"/>
    </row>
    <row r="221" spans="1:17" ht="4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75-9-1</v>
      </c>
      <c r="B221" s="203"/>
      <c r="C221" s="219"/>
      <c r="D221" s="203"/>
      <c r="E221" s="204"/>
      <c r="F221" s="66" t="s">
        <v>554</v>
      </c>
      <c r="G221" s="64" t="s">
        <v>563</v>
      </c>
      <c r="H221" s="49"/>
      <c r="I221" s="49"/>
      <c r="J221" s="46"/>
      <c r="K221" s="46"/>
      <c r="L221" s="49"/>
      <c r="M221" s="49"/>
      <c r="N221" s="49"/>
      <c r="O221" s="129"/>
      <c r="P221" s="46"/>
      <c r="Q221" s="46"/>
    </row>
    <row r="222" spans="1:17" ht="33.7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75-10-1</v>
      </c>
      <c r="B222" s="203"/>
      <c r="C222" s="219"/>
      <c r="D222" s="203"/>
      <c r="E222" s="204"/>
      <c r="F222" s="66" t="s">
        <v>330</v>
      </c>
      <c r="G222" s="64" t="s">
        <v>563</v>
      </c>
      <c r="H222" s="49"/>
      <c r="I222" s="49"/>
      <c r="J222" s="46"/>
      <c r="K222" s="46"/>
      <c r="L222" s="49"/>
      <c r="M222" s="49"/>
      <c r="N222" s="49"/>
      <c r="O222" s="129"/>
      <c r="P222" s="46"/>
      <c r="Q222" s="46"/>
    </row>
    <row r="223" spans="1:17" ht="33.7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75-11-1</v>
      </c>
      <c r="B223" s="203"/>
      <c r="C223" s="219"/>
      <c r="D223" s="203"/>
      <c r="E223" s="204"/>
      <c r="F223" s="66" t="s">
        <v>331</v>
      </c>
      <c r="G223" s="64" t="s">
        <v>563</v>
      </c>
      <c r="H223" s="49"/>
      <c r="I223" s="49"/>
      <c r="J223" s="46"/>
      <c r="K223" s="46"/>
      <c r="L223" s="49"/>
      <c r="M223" s="49"/>
      <c r="N223" s="49"/>
      <c r="O223" s="129"/>
      <c r="P223" s="46"/>
      <c r="Q223" s="46"/>
    </row>
    <row r="224" spans="1:17" ht="22.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75-12-1</v>
      </c>
      <c r="B224" s="203"/>
      <c r="C224" s="219"/>
      <c r="D224" s="203"/>
      <c r="E224" s="204"/>
      <c r="F224" s="66" t="s">
        <v>332</v>
      </c>
      <c r="G224" s="64" t="s">
        <v>563</v>
      </c>
      <c r="H224" s="49"/>
      <c r="I224" s="49"/>
      <c r="J224" s="46"/>
      <c r="K224" s="46"/>
      <c r="L224" s="49"/>
      <c r="M224" s="49"/>
      <c r="N224" s="49"/>
      <c r="O224" s="129"/>
      <c r="P224" s="46"/>
      <c r="Q224" s="46"/>
    </row>
    <row r="225" spans="1:17" ht="22.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75-13-1</v>
      </c>
      <c r="B225" s="203"/>
      <c r="C225" s="219"/>
      <c r="D225" s="203"/>
      <c r="E225" s="204"/>
      <c r="F225" s="66" t="s">
        <v>333</v>
      </c>
      <c r="G225" s="64" t="s">
        <v>563</v>
      </c>
      <c r="H225" s="49"/>
      <c r="I225" s="49"/>
      <c r="J225" s="46"/>
      <c r="K225" s="46"/>
      <c r="L225" s="49"/>
      <c r="M225" s="49"/>
      <c r="N225" s="49"/>
      <c r="O225" s="129"/>
      <c r="P225" s="46"/>
      <c r="Q225" s="46"/>
    </row>
    <row r="226" spans="1:17" ht="33.7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75-14-1</v>
      </c>
      <c r="B226" s="203"/>
      <c r="C226" s="219"/>
      <c r="D226" s="203"/>
      <c r="E226" s="204"/>
      <c r="F226" s="66" t="s">
        <v>334</v>
      </c>
      <c r="G226" s="64" t="s">
        <v>563</v>
      </c>
      <c r="H226" s="49"/>
      <c r="I226" s="49"/>
      <c r="J226" s="46"/>
      <c r="K226" s="46"/>
      <c r="L226" s="49"/>
      <c r="M226" s="49"/>
      <c r="N226" s="49"/>
      <c r="O226" s="129"/>
      <c r="P226" s="46"/>
      <c r="Q226" s="46"/>
    </row>
    <row r="227" spans="1:17" ht="22.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75-15-1</v>
      </c>
      <c r="B227" s="203"/>
      <c r="C227" s="219"/>
      <c r="D227" s="203"/>
      <c r="E227" s="206"/>
      <c r="F227" s="66" t="s">
        <v>322</v>
      </c>
      <c r="G227" s="64" t="s">
        <v>563</v>
      </c>
      <c r="H227" s="49"/>
      <c r="I227" s="49"/>
      <c r="J227" s="46"/>
      <c r="K227" s="46"/>
      <c r="L227" s="49"/>
      <c r="M227" s="49"/>
      <c r="N227" s="49"/>
      <c r="O227" s="129"/>
      <c r="P227" s="46"/>
      <c r="Q227" s="46"/>
    </row>
    <row r="228" spans="1:17" ht="4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76-1-1</v>
      </c>
      <c r="B228" s="203"/>
      <c r="C228" s="219"/>
      <c r="D228" s="203"/>
      <c r="E228" s="204" t="s">
        <v>335</v>
      </c>
      <c r="F228" s="66" t="s">
        <v>336</v>
      </c>
      <c r="G228" s="64" t="s">
        <v>563</v>
      </c>
      <c r="H228" s="49"/>
      <c r="I228" s="49"/>
      <c r="J228" s="46"/>
      <c r="K228" s="46"/>
      <c r="L228" s="49"/>
      <c r="M228" s="49"/>
      <c r="N228" s="49"/>
      <c r="O228" s="129"/>
      <c r="P228" s="46"/>
      <c r="Q228" s="46"/>
    </row>
    <row r="229" spans="1:17" ht="4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76-2-1</v>
      </c>
      <c r="B229" s="203"/>
      <c r="C229" s="219"/>
      <c r="D229" s="203"/>
      <c r="E229" s="204"/>
      <c r="F229" s="66" t="s">
        <v>337</v>
      </c>
      <c r="G229" s="64" t="s">
        <v>563</v>
      </c>
      <c r="H229" s="49"/>
      <c r="I229" s="49"/>
      <c r="J229" s="46"/>
      <c r="K229" s="46"/>
      <c r="L229" s="49"/>
      <c r="M229" s="49"/>
      <c r="N229" s="49"/>
      <c r="O229" s="129"/>
      <c r="P229" s="46"/>
      <c r="Q229" s="46"/>
    </row>
    <row r="230" spans="1:17" ht="33.7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76-3-1</v>
      </c>
      <c r="B230" s="203"/>
      <c r="C230" s="219"/>
      <c r="D230" s="203"/>
      <c r="E230" s="206"/>
      <c r="F230" s="66" t="s">
        <v>338</v>
      </c>
      <c r="G230" s="64" t="s">
        <v>563</v>
      </c>
      <c r="H230" s="49"/>
      <c r="I230" s="49"/>
      <c r="J230" s="46"/>
      <c r="K230" s="46"/>
      <c r="L230" s="49"/>
      <c r="M230" s="49"/>
      <c r="N230" s="49"/>
      <c r="O230" s="129"/>
      <c r="P230" s="46"/>
      <c r="Q230" s="46"/>
    </row>
    <row r="231" spans="1:17" ht="33.7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77-1-1</v>
      </c>
      <c r="B231" s="203"/>
      <c r="C231" s="219"/>
      <c r="D231" s="203"/>
      <c r="E231" s="129" t="s">
        <v>152</v>
      </c>
      <c r="F231" s="66" t="s">
        <v>555</v>
      </c>
      <c r="G231" s="64" t="s">
        <v>563</v>
      </c>
      <c r="H231" s="49"/>
      <c r="I231" s="49"/>
      <c r="J231" s="46"/>
      <c r="K231" s="46"/>
      <c r="L231" s="49"/>
      <c r="M231" s="49"/>
      <c r="N231" s="49"/>
      <c r="O231" s="129"/>
      <c r="P231" s="46"/>
      <c r="Q231" s="46"/>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78-1-1</v>
      </c>
      <c r="B232" s="206"/>
      <c r="C232" s="206"/>
      <c r="D232" s="206"/>
      <c r="E232" s="222" t="s">
        <v>340</v>
      </c>
      <c r="F232" s="66" t="s">
        <v>341</v>
      </c>
      <c r="G232" s="64" t="s">
        <v>563</v>
      </c>
      <c r="H232" s="49"/>
      <c r="I232" s="49"/>
      <c r="J232" s="46"/>
      <c r="K232" s="46"/>
      <c r="L232" s="49"/>
      <c r="M232" s="49"/>
      <c r="N232" s="49"/>
      <c r="O232" s="129"/>
      <c r="P232" s="46"/>
      <c r="Q232" s="46"/>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79-1-1</v>
      </c>
      <c r="B233" s="202" t="s">
        <v>342</v>
      </c>
      <c r="C233" s="202" t="s">
        <v>194</v>
      </c>
      <c r="D233" s="202" t="s">
        <v>499</v>
      </c>
      <c r="E233" s="129" t="s">
        <v>499</v>
      </c>
      <c r="F233" s="66" t="s">
        <v>343</v>
      </c>
      <c r="G233" s="64" t="s">
        <v>605</v>
      </c>
      <c r="H233" s="49"/>
      <c r="I233" s="49"/>
      <c r="J233" s="46"/>
      <c r="K233" s="46"/>
      <c r="L233" s="49"/>
      <c r="M233" s="49"/>
      <c r="N233" s="49"/>
      <c r="O233" s="129"/>
      <c r="P233" s="46"/>
      <c r="Q233" s="46"/>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80-1-1</v>
      </c>
      <c r="B234" s="203"/>
      <c r="C234" s="203"/>
      <c r="D234" s="203"/>
      <c r="E234" s="204" t="s">
        <v>138</v>
      </c>
      <c r="F234" s="66" t="s">
        <v>344</v>
      </c>
      <c r="G234" s="64" t="s">
        <v>605</v>
      </c>
      <c r="H234" s="49"/>
      <c r="I234" s="49"/>
      <c r="J234" s="46"/>
      <c r="K234" s="46"/>
      <c r="L234" s="49"/>
      <c r="M234" s="49"/>
      <c r="N234" s="49"/>
      <c r="O234" s="129"/>
      <c r="P234" s="46"/>
      <c r="Q234" s="46"/>
    </row>
    <row r="235" spans="1:17" ht="22.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80-2-1</v>
      </c>
      <c r="B235" s="203"/>
      <c r="C235" s="203"/>
      <c r="D235" s="203"/>
      <c r="E235" s="204"/>
      <c r="F235" s="66" t="s">
        <v>345</v>
      </c>
      <c r="G235" s="64" t="s">
        <v>605</v>
      </c>
      <c r="H235" s="49"/>
      <c r="I235" s="49"/>
      <c r="J235" s="46"/>
      <c r="K235" s="46"/>
      <c r="L235" s="49"/>
      <c r="M235" s="49"/>
      <c r="N235" s="49"/>
      <c r="O235" s="129"/>
      <c r="P235" s="46"/>
      <c r="Q235" s="46"/>
    </row>
    <row r="236" spans="1:17" ht="22.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80-3-1</v>
      </c>
      <c r="B236" s="203"/>
      <c r="C236" s="203"/>
      <c r="D236" s="203"/>
      <c r="E236" s="204"/>
      <c r="F236" s="66" t="s">
        <v>346</v>
      </c>
      <c r="G236" s="64" t="s">
        <v>605</v>
      </c>
      <c r="H236" s="49"/>
      <c r="I236" s="49"/>
      <c r="J236" s="46"/>
      <c r="K236" s="46"/>
      <c r="L236" s="49"/>
      <c r="M236" s="49"/>
      <c r="N236" s="49"/>
      <c r="O236" s="129"/>
      <c r="P236" s="46"/>
      <c r="Q236" s="46"/>
    </row>
    <row r="237" spans="1:17" ht="22.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80-4-1</v>
      </c>
      <c r="B237" s="203"/>
      <c r="C237" s="203"/>
      <c r="D237" s="203"/>
      <c r="E237" s="204"/>
      <c r="F237" s="66" t="s">
        <v>347</v>
      </c>
      <c r="G237" s="64" t="s">
        <v>605</v>
      </c>
      <c r="H237" s="49"/>
      <c r="I237" s="49"/>
      <c r="J237" s="46"/>
      <c r="K237" s="46"/>
      <c r="L237" s="49"/>
      <c r="M237" s="49"/>
      <c r="N237" s="49"/>
      <c r="O237" s="129"/>
      <c r="P237" s="46"/>
      <c r="Q237" s="46"/>
    </row>
    <row r="238" spans="1:17" ht="33.7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80-5-1</v>
      </c>
      <c r="B238" s="203"/>
      <c r="C238" s="203"/>
      <c r="D238" s="203"/>
      <c r="E238" s="206"/>
      <c r="F238" s="66" t="s">
        <v>348</v>
      </c>
      <c r="G238" s="64" t="s">
        <v>605</v>
      </c>
      <c r="H238" s="49"/>
      <c r="I238" s="49"/>
      <c r="J238" s="46"/>
      <c r="K238" s="46"/>
      <c r="L238" s="49"/>
      <c r="M238" s="49"/>
      <c r="N238" s="49"/>
      <c r="O238" s="129"/>
      <c r="P238" s="46"/>
      <c r="Q238" s="46"/>
    </row>
    <row r="239" spans="1:17" ht="33.7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81-1-1</v>
      </c>
      <c r="B239" s="203"/>
      <c r="C239" s="203"/>
      <c r="D239" s="203"/>
      <c r="E239" s="204" t="s">
        <v>205</v>
      </c>
      <c r="F239" s="66" t="s">
        <v>349</v>
      </c>
      <c r="G239" s="64" t="s">
        <v>605</v>
      </c>
      <c r="H239" s="49"/>
      <c r="I239" s="49"/>
      <c r="J239" s="46"/>
      <c r="K239" s="46"/>
      <c r="L239" s="49"/>
      <c r="M239" s="49"/>
      <c r="N239" s="49"/>
      <c r="O239" s="129"/>
      <c r="P239" s="46"/>
      <c r="Q239" s="46"/>
    </row>
    <row r="240" spans="1:17" ht="33.7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81-2-1</v>
      </c>
      <c r="B240" s="203"/>
      <c r="C240" s="203"/>
      <c r="D240" s="203"/>
      <c r="E240" s="204"/>
      <c r="F240" s="66" t="s">
        <v>350</v>
      </c>
      <c r="G240" s="64" t="s">
        <v>605</v>
      </c>
      <c r="H240" s="49"/>
      <c r="I240" s="49"/>
      <c r="J240" s="46"/>
      <c r="K240" s="46"/>
      <c r="L240" s="49"/>
      <c r="M240" s="49"/>
      <c r="N240" s="49"/>
      <c r="O240" s="129"/>
      <c r="P240" s="46"/>
      <c r="Q240" s="46"/>
    </row>
    <row r="241" spans="1:17" ht="4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81-3-1</v>
      </c>
      <c r="B241" s="203"/>
      <c r="C241" s="203"/>
      <c r="D241" s="203"/>
      <c r="E241" s="204"/>
      <c r="F241" s="66" t="s">
        <v>351</v>
      </c>
      <c r="G241" s="64" t="s">
        <v>605</v>
      </c>
      <c r="H241" s="49"/>
      <c r="I241" s="49"/>
      <c r="J241" s="46"/>
      <c r="K241" s="46"/>
      <c r="L241" s="49"/>
      <c r="M241" s="49"/>
      <c r="N241" s="49"/>
      <c r="O241" s="129"/>
      <c r="P241" s="46"/>
      <c r="Q241" s="46"/>
    </row>
    <row r="242" spans="1:17" ht="4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81-4-1</v>
      </c>
      <c r="B242" s="203"/>
      <c r="C242" s="203"/>
      <c r="D242" s="203"/>
      <c r="E242" s="204"/>
      <c r="F242" s="66" t="s">
        <v>352</v>
      </c>
      <c r="G242" s="64" t="s">
        <v>605</v>
      </c>
      <c r="H242" s="49"/>
      <c r="I242" s="49"/>
      <c r="J242" s="46"/>
      <c r="K242" s="46"/>
      <c r="L242" s="49"/>
      <c r="M242" s="49"/>
      <c r="N242" s="49"/>
      <c r="O242" s="129"/>
      <c r="P242" s="46"/>
      <c r="Q242" s="46"/>
    </row>
    <row r="243" spans="1:17" ht="33.7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81-5-1</v>
      </c>
      <c r="B243" s="203"/>
      <c r="C243" s="203"/>
      <c r="D243" s="203"/>
      <c r="E243" s="206"/>
      <c r="F243" s="66" t="s">
        <v>353</v>
      </c>
      <c r="G243" s="64" t="s">
        <v>605</v>
      </c>
      <c r="H243" s="49"/>
      <c r="I243" s="49"/>
      <c r="J243" s="46"/>
      <c r="K243" s="46"/>
      <c r="L243" s="49"/>
      <c r="M243" s="49"/>
      <c r="N243" s="49"/>
      <c r="O243" s="129"/>
      <c r="P243" s="46"/>
      <c r="Q243" s="46"/>
    </row>
    <row r="244" spans="1:17" ht="33.7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82-1-1</v>
      </c>
      <c r="B244" s="203"/>
      <c r="C244" s="206"/>
      <c r="D244" s="206"/>
      <c r="E244" s="206" t="s">
        <v>542</v>
      </c>
      <c r="F244" s="66" t="s">
        <v>354</v>
      </c>
      <c r="G244" s="64" t="s">
        <v>605</v>
      </c>
      <c r="H244" s="49"/>
      <c r="I244" s="49"/>
      <c r="J244" s="46"/>
      <c r="K244" s="46"/>
      <c r="L244" s="49"/>
      <c r="M244" s="49"/>
      <c r="N244" s="49"/>
      <c r="O244" s="129"/>
      <c r="P244" s="46"/>
      <c r="Q244" s="46"/>
    </row>
    <row r="245" spans="1:17" ht="33.7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83-1-1</v>
      </c>
      <c r="B245" s="206"/>
      <c r="C245" s="206" t="s">
        <v>528</v>
      </c>
      <c r="D245" s="206" t="s">
        <v>214</v>
      </c>
      <c r="E245" s="205" t="s">
        <v>215</v>
      </c>
      <c r="F245" s="66" t="s">
        <v>355</v>
      </c>
      <c r="G245" s="64" t="s">
        <v>605</v>
      </c>
      <c r="H245" s="49"/>
      <c r="I245" s="49"/>
      <c r="J245" s="46"/>
      <c r="K245" s="46"/>
      <c r="L245" s="49"/>
      <c r="M245" s="49"/>
      <c r="N245" s="49"/>
      <c r="O245" s="129"/>
      <c r="P245" s="46"/>
      <c r="Q245" s="46"/>
    </row>
    <row r="246" spans="1:17" ht="22.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84-1-1</v>
      </c>
      <c r="B246" s="202" t="s">
        <v>356</v>
      </c>
      <c r="C246" s="202" t="s">
        <v>357</v>
      </c>
      <c r="D246" s="202" t="s">
        <v>499</v>
      </c>
      <c r="E246" s="201" t="s">
        <v>499</v>
      </c>
      <c r="F246" s="66" t="s">
        <v>358</v>
      </c>
      <c r="G246" s="64" t="s">
        <v>605</v>
      </c>
      <c r="H246" s="49"/>
      <c r="I246" s="49"/>
      <c r="J246" s="46"/>
      <c r="K246" s="46"/>
      <c r="L246" s="49"/>
      <c r="M246" s="49"/>
      <c r="N246" s="49"/>
      <c r="O246" s="129"/>
      <c r="P246" s="46"/>
      <c r="Q246" s="46"/>
    </row>
    <row r="247" spans="1:17" ht="22.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84-2-1</v>
      </c>
      <c r="B247" s="203"/>
      <c r="C247" s="203"/>
      <c r="D247" s="206"/>
      <c r="E247" s="206"/>
      <c r="F247" s="66" t="s">
        <v>359</v>
      </c>
      <c r="G247" s="64" t="s">
        <v>605</v>
      </c>
      <c r="H247" s="49"/>
      <c r="I247" s="49"/>
      <c r="J247" s="46"/>
      <c r="K247" s="46"/>
      <c r="L247" s="49"/>
      <c r="M247" s="49"/>
      <c r="N247" s="49"/>
      <c r="O247" s="129"/>
      <c r="P247" s="46"/>
      <c r="Q247" s="46"/>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85-1-1</v>
      </c>
      <c r="B248" s="203"/>
      <c r="C248" s="203"/>
      <c r="D248" s="203" t="s">
        <v>496</v>
      </c>
      <c r="E248" s="204" t="s">
        <v>499</v>
      </c>
      <c r="F248" s="66" t="s">
        <v>360</v>
      </c>
      <c r="G248" s="64" t="s">
        <v>605</v>
      </c>
      <c r="H248" s="49"/>
      <c r="I248" s="49"/>
      <c r="J248" s="46"/>
      <c r="K248" s="46"/>
      <c r="L248" s="49"/>
      <c r="M248" s="49"/>
      <c r="N248" s="49"/>
      <c r="O248" s="129"/>
      <c r="P248" s="46"/>
      <c r="Q248" s="46"/>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85-2-1</v>
      </c>
      <c r="B249" s="203"/>
      <c r="C249" s="206"/>
      <c r="D249" s="206"/>
      <c r="E249" s="206"/>
      <c r="F249" s="66" t="s">
        <v>361</v>
      </c>
      <c r="G249" s="64" t="s">
        <v>605</v>
      </c>
      <c r="H249" s="49"/>
      <c r="I249" s="49"/>
      <c r="J249" s="46"/>
      <c r="K249" s="46"/>
      <c r="L249" s="49"/>
      <c r="M249" s="49"/>
      <c r="N249" s="49"/>
      <c r="O249" s="129"/>
      <c r="P249" s="46"/>
      <c r="Q249" s="46"/>
    </row>
    <row r="250" spans="1:17" ht="33.7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86-1-1</v>
      </c>
      <c r="B250" s="203"/>
      <c r="C250" s="204" t="s">
        <v>362</v>
      </c>
      <c r="D250" s="203" t="s">
        <v>214</v>
      </c>
      <c r="E250" s="206" t="s">
        <v>232</v>
      </c>
      <c r="F250" s="66" t="s">
        <v>363</v>
      </c>
      <c r="G250" s="64" t="s">
        <v>605</v>
      </c>
      <c r="H250" s="49"/>
      <c r="I250" s="49"/>
      <c r="J250" s="46"/>
      <c r="K250" s="46"/>
      <c r="L250" s="49"/>
      <c r="M250" s="49"/>
      <c r="N250" s="49"/>
      <c r="O250" s="129"/>
      <c r="P250" s="46"/>
      <c r="Q250" s="46"/>
    </row>
    <row r="251" spans="1:17" ht="33.7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87-1-1</v>
      </c>
      <c r="B251" s="203"/>
      <c r="C251" s="204"/>
      <c r="D251" s="203"/>
      <c r="E251" s="206" t="s">
        <v>236</v>
      </c>
      <c r="F251" s="66" t="s">
        <v>364</v>
      </c>
      <c r="G251" s="64" t="s">
        <v>605</v>
      </c>
      <c r="H251" s="49"/>
      <c r="I251" s="49"/>
      <c r="J251" s="46"/>
      <c r="K251" s="46"/>
      <c r="L251" s="49"/>
      <c r="M251" s="49"/>
      <c r="N251" s="49"/>
      <c r="O251" s="129"/>
      <c r="P251" s="46"/>
      <c r="Q251" s="46"/>
    </row>
    <row r="252" spans="1:17" ht="33.7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88-1-1</v>
      </c>
      <c r="B252" s="203"/>
      <c r="C252" s="219"/>
      <c r="D252" s="204"/>
      <c r="E252" s="206" t="s">
        <v>215</v>
      </c>
      <c r="F252" s="66" t="s">
        <v>365</v>
      </c>
      <c r="G252" s="64" t="s">
        <v>605</v>
      </c>
      <c r="H252" s="49"/>
      <c r="I252" s="49"/>
      <c r="J252" s="46"/>
      <c r="K252" s="46"/>
      <c r="L252" s="49"/>
      <c r="M252" s="49"/>
      <c r="N252" s="49"/>
      <c r="O252" s="129"/>
      <c r="P252" s="46"/>
      <c r="Q252" s="46"/>
    </row>
    <row r="253" spans="1:17" ht="33.7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89-1-1</v>
      </c>
      <c r="B253" s="203"/>
      <c r="C253" s="204"/>
      <c r="D253" s="206"/>
      <c r="E253" s="206" t="s">
        <v>239</v>
      </c>
      <c r="F253" s="66" t="s">
        <v>366</v>
      </c>
      <c r="G253" s="64" t="s">
        <v>605</v>
      </c>
      <c r="H253" s="49"/>
      <c r="I253" s="49"/>
      <c r="J253" s="46"/>
      <c r="K253" s="46"/>
      <c r="L253" s="49"/>
      <c r="M253" s="49"/>
      <c r="N253" s="49"/>
      <c r="O253" s="129"/>
      <c r="P253" s="46"/>
      <c r="Q253" s="46"/>
    </row>
    <row r="254" spans="1:17" ht="22.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90-1-1</v>
      </c>
      <c r="B254" s="203"/>
      <c r="C254" s="219"/>
      <c r="D254" s="203" t="s">
        <v>248</v>
      </c>
      <c r="E254" s="220" t="s">
        <v>499</v>
      </c>
      <c r="F254" s="66" t="s">
        <v>367</v>
      </c>
      <c r="G254" s="64" t="s">
        <v>605</v>
      </c>
      <c r="H254" s="49"/>
      <c r="I254" s="49"/>
      <c r="J254" s="46"/>
      <c r="K254" s="46"/>
      <c r="L254" s="49"/>
      <c r="M254" s="49"/>
      <c r="N254" s="49"/>
      <c r="O254" s="129"/>
      <c r="P254" s="46"/>
      <c r="Q254" s="46"/>
    </row>
    <row r="255" spans="1:17" ht="22.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90-2-1</v>
      </c>
      <c r="B255" s="203"/>
      <c r="C255" s="219"/>
      <c r="D255" s="204"/>
      <c r="E255" s="206"/>
      <c r="F255" s="66" t="s">
        <v>368</v>
      </c>
      <c r="G255" s="64" t="s">
        <v>605</v>
      </c>
      <c r="H255" s="49"/>
      <c r="I255" s="49"/>
      <c r="J255" s="46"/>
      <c r="K255" s="46"/>
      <c r="L255" s="49"/>
      <c r="M255" s="49"/>
      <c r="N255" s="49"/>
      <c r="O255" s="129"/>
      <c r="P255" s="46"/>
      <c r="Q255" s="46"/>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91-1-1</v>
      </c>
      <c r="B256" s="203"/>
      <c r="C256" s="219"/>
      <c r="D256" s="204"/>
      <c r="E256" s="204" t="s">
        <v>127</v>
      </c>
      <c r="F256" s="66" t="s">
        <v>369</v>
      </c>
      <c r="G256" s="64" t="s">
        <v>605</v>
      </c>
      <c r="H256" s="49"/>
      <c r="I256" s="49"/>
      <c r="J256" s="46"/>
      <c r="K256" s="46"/>
      <c r="L256" s="49"/>
      <c r="M256" s="49"/>
      <c r="N256" s="49"/>
      <c r="O256" s="129"/>
      <c r="P256" s="46"/>
      <c r="Q256" s="46"/>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91-2-1</v>
      </c>
      <c r="B257" s="203"/>
      <c r="C257" s="219"/>
      <c r="D257" s="204"/>
      <c r="E257" s="204"/>
      <c r="F257" s="66" t="s">
        <v>370</v>
      </c>
      <c r="G257" s="64" t="s">
        <v>605</v>
      </c>
      <c r="H257" s="49"/>
      <c r="I257" s="49"/>
      <c r="J257" s="46"/>
      <c r="K257" s="46"/>
      <c r="L257" s="49"/>
      <c r="M257" s="49"/>
      <c r="N257" s="49"/>
      <c r="O257" s="129"/>
      <c r="P257" s="46"/>
      <c r="Q257" s="46"/>
    </row>
    <row r="258" spans="1:17" ht="33.7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91-3-1</v>
      </c>
      <c r="B258" s="203"/>
      <c r="C258" s="219"/>
      <c r="D258" s="204"/>
      <c r="E258" s="204"/>
      <c r="F258" s="66" t="s">
        <v>556</v>
      </c>
      <c r="G258" s="64" t="s">
        <v>605</v>
      </c>
      <c r="H258" s="49"/>
      <c r="I258" s="49"/>
      <c r="J258" s="46"/>
      <c r="K258" s="46"/>
      <c r="L258" s="49"/>
      <c r="M258" s="49"/>
      <c r="N258" s="49"/>
      <c r="O258" s="129"/>
      <c r="P258" s="46"/>
      <c r="Q258" s="46"/>
    </row>
    <row r="259" spans="1:17" ht="33.7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91-4-1</v>
      </c>
      <c r="B259" s="203"/>
      <c r="C259" s="219"/>
      <c r="D259" s="204"/>
      <c r="E259" s="204"/>
      <c r="F259" s="66" t="s">
        <v>372</v>
      </c>
      <c r="G259" s="64" t="s">
        <v>605</v>
      </c>
      <c r="H259" s="49"/>
      <c r="I259" s="49"/>
      <c r="J259" s="46"/>
      <c r="K259" s="46"/>
      <c r="L259" s="49"/>
      <c r="M259" s="49"/>
      <c r="N259" s="49"/>
      <c r="O259" s="129"/>
      <c r="P259" s="46"/>
      <c r="Q259" s="46"/>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91-5-1</v>
      </c>
      <c r="B260" s="203"/>
      <c r="C260" s="203"/>
      <c r="D260" s="203"/>
      <c r="E260" s="220"/>
      <c r="F260" s="66" t="s">
        <v>373</v>
      </c>
      <c r="G260" s="64" t="s">
        <v>605</v>
      </c>
      <c r="H260" s="49"/>
      <c r="I260" s="49"/>
      <c r="J260" s="46"/>
      <c r="K260" s="46"/>
      <c r="L260" s="49"/>
      <c r="M260" s="49"/>
      <c r="N260" s="49"/>
      <c r="O260" s="129"/>
      <c r="P260" s="46"/>
      <c r="Q260" s="46"/>
    </row>
    <row r="261" spans="1:17" ht="22.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91-6-1</v>
      </c>
      <c r="B261" s="203"/>
      <c r="C261" s="203"/>
      <c r="D261" s="203"/>
      <c r="E261" s="220"/>
      <c r="F261" s="66" t="s">
        <v>374</v>
      </c>
      <c r="G261" s="64" t="s">
        <v>605</v>
      </c>
      <c r="H261" s="49"/>
      <c r="I261" s="49"/>
      <c r="J261" s="46"/>
      <c r="K261" s="46"/>
      <c r="L261" s="49"/>
      <c r="M261" s="49"/>
      <c r="N261" s="49"/>
      <c r="O261" s="129"/>
      <c r="P261" s="46"/>
      <c r="Q261" s="46"/>
    </row>
    <row r="262" spans="1:17" ht="22.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91-7-1</v>
      </c>
      <c r="B262" s="203"/>
      <c r="C262" s="203"/>
      <c r="D262" s="203"/>
      <c r="E262" s="220"/>
      <c r="F262" s="66" t="s">
        <v>375</v>
      </c>
      <c r="G262" s="64" t="s">
        <v>605</v>
      </c>
      <c r="H262" s="49"/>
      <c r="I262" s="49"/>
      <c r="J262" s="46"/>
      <c r="K262" s="46"/>
      <c r="L262" s="49"/>
      <c r="M262" s="49"/>
      <c r="N262" s="49"/>
      <c r="O262" s="129"/>
      <c r="P262" s="46"/>
      <c r="Q262" s="46"/>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91-8-1</v>
      </c>
      <c r="B263" s="203"/>
      <c r="C263" s="203"/>
      <c r="D263" s="203"/>
      <c r="E263" s="220"/>
      <c r="F263" s="66" t="s">
        <v>376</v>
      </c>
      <c r="G263" s="64" t="s">
        <v>605</v>
      </c>
      <c r="H263" s="49"/>
      <c r="I263" s="49"/>
      <c r="J263" s="46"/>
      <c r="K263" s="46"/>
      <c r="L263" s="49"/>
      <c r="M263" s="49"/>
      <c r="N263" s="49"/>
      <c r="O263" s="129"/>
      <c r="P263" s="46"/>
      <c r="Q263" s="46"/>
    </row>
    <row r="264" spans="1:17" ht="33.75">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91-9-1</v>
      </c>
      <c r="B264" s="203"/>
      <c r="C264" s="203"/>
      <c r="D264" s="203"/>
      <c r="E264" s="220"/>
      <c r="F264" s="66" t="s">
        <v>377</v>
      </c>
      <c r="G264" s="64" t="s">
        <v>605</v>
      </c>
      <c r="H264" s="49"/>
      <c r="I264" s="49"/>
      <c r="J264" s="46"/>
      <c r="K264" s="46"/>
      <c r="L264" s="49"/>
      <c r="M264" s="49"/>
      <c r="N264" s="49"/>
      <c r="O264" s="129"/>
      <c r="P264" s="46"/>
      <c r="Q264" s="46"/>
    </row>
    <row r="265" spans="1:17" ht="33.75">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91-10-1</v>
      </c>
      <c r="B265" s="203"/>
      <c r="C265" s="203"/>
      <c r="D265" s="203"/>
      <c r="E265" s="204"/>
      <c r="F265" s="66" t="s">
        <v>378</v>
      </c>
      <c r="G265" s="64" t="s">
        <v>605</v>
      </c>
      <c r="H265" s="49"/>
      <c r="I265" s="49"/>
      <c r="J265" s="46"/>
      <c r="K265" s="46"/>
      <c r="L265" s="49"/>
      <c r="M265" s="49"/>
      <c r="N265" s="49"/>
      <c r="O265" s="129"/>
      <c r="P265" s="46"/>
      <c r="Q265" s="46"/>
    </row>
    <row r="266" spans="1:17" ht="33.7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91-11-1</v>
      </c>
      <c r="B266" s="203"/>
      <c r="C266" s="203"/>
      <c r="D266" s="203"/>
      <c r="E266" s="206"/>
      <c r="F266" s="66" t="s">
        <v>379</v>
      </c>
      <c r="G266" s="64" t="s">
        <v>605</v>
      </c>
      <c r="H266" s="49"/>
      <c r="I266" s="49"/>
      <c r="J266" s="46"/>
      <c r="K266" s="46"/>
      <c r="L266" s="49"/>
      <c r="M266" s="49"/>
      <c r="N266" s="49"/>
      <c r="O266" s="129"/>
      <c r="P266" s="46"/>
      <c r="Q266" s="46"/>
    </row>
    <row r="267" spans="1:17">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92-1-1</v>
      </c>
      <c r="B267" s="203"/>
      <c r="C267" s="203"/>
      <c r="D267" s="203"/>
      <c r="E267" s="204" t="s">
        <v>61</v>
      </c>
      <c r="F267" s="66" t="s">
        <v>380</v>
      </c>
      <c r="G267" s="64" t="s">
        <v>605</v>
      </c>
      <c r="H267" s="49"/>
      <c r="I267" s="49"/>
      <c r="J267" s="46"/>
      <c r="K267" s="46"/>
      <c r="L267" s="49"/>
      <c r="M267" s="49"/>
      <c r="N267" s="49"/>
      <c r="O267" s="129"/>
      <c r="P267" s="46"/>
      <c r="Q267" s="46"/>
    </row>
    <row r="268" spans="1:17">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92-2-1</v>
      </c>
      <c r="B268" s="203"/>
      <c r="C268" s="203"/>
      <c r="D268" s="203"/>
      <c r="E268" s="204"/>
      <c r="F268" s="66" t="s">
        <v>381</v>
      </c>
      <c r="G268" s="64" t="s">
        <v>605</v>
      </c>
      <c r="H268" s="49"/>
      <c r="I268" s="49"/>
      <c r="J268" s="46"/>
      <c r="K268" s="46"/>
      <c r="L268" s="49"/>
      <c r="M268" s="49"/>
      <c r="N268" s="49"/>
      <c r="O268" s="129"/>
      <c r="P268" s="46"/>
      <c r="Q268" s="46"/>
    </row>
    <row r="269" spans="1:17" ht="22.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92-3-1</v>
      </c>
      <c r="B269" s="203"/>
      <c r="C269" s="219"/>
      <c r="D269" s="203"/>
      <c r="E269" s="204"/>
      <c r="F269" s="66" t="s">
        <v>382</v>
      </c>
      <c r="G269" s="64" t="s">
        <v>605</v>
      </c>
      <c r="H269" s="49"/>
      <c r="I269" s="49"/>
      <c r="J269" s="46"/>
      <c r="K269" s="46"/>
      <c r="L269" s="49"/>
      <c r="M269" s="49"/>
      <c r="N269" s="49"/>
      <c r="O269" s="129"/>
      <c r="P269" s="46"/>
      <c r="Q269" s="46"/>
    </row>
    <row r="270" spans="1:17" ht="22.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92-4-1</v>
      </c>
      <c r="B270" s="203"/>
      <c r="C270" s="219"/>
      <c r="D270" s="204"/>
      <c r="E270" s="204"/>
      <c r="F270" s="66" t="s">
        <v>383</v>
      </c>
      <c r="G270" s="64" t="s">
        <v>605</v>
      </c>
      <c r="H270" s="49"/>
      <c r="I270" s="49"/>
      <c r="J270" s="46"/>
      <c r="K270" s="46"/>
      <c r="L270" s="49"/>
      <c r="M270" s="49"/>
      <c r="N270" s="49"/>
      <c r="O270" s="129"/>
      <c r="P270" s="46"/>
      <c r="Q270" s="46"/>
    </row>
    <row r="271" spans="1:17" ht="22.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92-5-1</v>
      </c>
      <c r="B271" s="203"/>
      <c r="C271" s="219"/>
      <c r="D271" s="204"/>
      <c r="E271" s="204"/>
      <c r="F271" s="66" t="s">
        <v>384</v>
      </c>
      <c r="G271" s="64" t="s">
        <v>605</v>
      </c>
      <c r="H271" s="49"/>
      <c r="I271" s="49"/>
      <c r="J271" s="46"/>
      <c r="K271" s="46"/>
      <c r="L271" s="49"/>
      <c r="M271" s="49"/>
      <c r="N271" s="49"/>
      <c r="O271" s="129"/>
      <c r="P271" s="46"/>
      <c r="Q271" s="46"/>
    </row>
    <row r="272" spans="1:17" ht="33.7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92-6-1</v>
      </c>
      <c r="B272" s="203"/>
      <c r="C272" s="219"/>
      <c r="D272" s="204"/>
      <c r="E272" s="206"/>
      <c r="F272" s="66" t="s">
        <v>385</v>
      </c>
      <c r="G272" s="64" t="s">
        <v>605</v>
      </c>
      <c r="H272" s="49"/>
      <c r="I272" s="49"/>
      <c r="J272" s="46"/>
      <c r="K272" s="46"/>
      <c r="L272" s="49"/>
      <c r="M272" s="49"/>
      <c r="N272" s="49"/>
      <c r="O272" s="129"/>
      <c r="P272" s="46"/>
      <c r="Q272" s="46"/>
    </row>
    <row r="273" spans="1:17" ht="22.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93-1-1</v>
      </c>
      <c r="B273" s="203"/>
      <c r="C273" s="219"/>
      <c r="D273" s="204"/>
      <c r="E273" s="204" t="s">
        <v>205</v>
      </c>
      <c r="F273" s="66" t="s">
        <v>386</v>
      </c>
      <c r="G273" s="64" t="s">
        <v>605</v>
      </c>
      <c r="H273" s="49"/>
      <c r="I273" s="49"/>
      <c r="J273" s="46"/>
      <c r="K273" s="46"/>
      <c r="L273" s="49"/>
      <c r="M273" s="49"/>
      <c r="N273" s="49"/>
      <c r="O273" s="129"/>
      <c r="P273" s="46"/>
      <c r="Q273" s="46"/>
    </row>
    <row r="274" spans="1:17" ht="33.7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93-2-1</v>
      </c>
      <c r="B274" s="203"/>
      <c r="C274" s="219"/>
      <c r="D274" s="204"/>
      <c r="E274" s="204"/>
      <c r="F274" s="66" t="s">
        <v>387</v>
      </c>
      <c r="G274" s="64" t="s">
        <v>605</v>
      </c>
      <c r="H274" s="49"/>
      <c r="I274" s="49"/>
      <c r="J274" s="46"/>
      <c r="K274" s="46"/>
      <c r="L274" s="49"/>
      <c r="M274" s="49"/>
      <c r="N274" s="49"/>
      <c r="O274" s="129"/>
      <c r="P274" s="46"/>
      <c r="Q274" s="46"/>
    </row>
    <row r="275" spans="1:17" ht="4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93-3-1</v>
      </c>
      <c r="B275" s="203"/>
      <c r="C275" s="219"/>
      <c r="D275" s="204"/>
      <c r="E275" s="204"/>
      <c r="F275" s="66" t="s">
        <v>388</v>
      </c>
      <c r="G275" s="64" t="s">
        <v>605</v>
      </c>
      <c r="H275" s="49"/>
      <c r="I275" s="49"/>
      <c r="J275" s="46"/>
      <c r="K275" s="46"/>
      <c r="L275" s="49"/>
      <c r="M275" s="49"/>
      <c r="N275" s="49"/>
      <c r="O275" s="129"/>
      <c r="P275" s="46"/>
      <c r="Q275" s="46"/>
    </row>
    <row r="276" spans="1:17" ht="4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93-4-1</v>
      </c>
      <c r="B276" s="203"/>
      <c r="C276" s="219"/>
      <c r="D276" s="204"/>
      <c r="E276" s="204"/>
      <c r="F276" s="66" t="s">
        <v>389</v>
      </c>
      <c r="G276" s="64" t="s">
        <v>605</v>
      </c>
      <c r="H276" s="49"/>
      <c r="I276" s="49"/>
      <c r="J276" s="46"/>
      <c r="K276" s="46"/>
      <c r="L276" s="49"/>
      <c r="M276" s="49"/>
      <c r="N276" s="49"/>
      <c r="O276" s="129"/>
      <c r="P276" s="46"/>
      <c r="Q276" s="46"/>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93-5-1</v>
      </c>
      <c r="B277" s="203"/>
      <c r="C277" s="219"/>
      <c r="D277" s="204"/>
      <c r="E277" s="204"/>
      <c r="F277" s="66" t="s">
        <v>390</v>
      </c>
      <c r="G277" s="64" t="s">
        <v>605</v>
      </c>
      <c r="H277" s="49"/>
      <c r="I277" s="49"/>
      <c r="J277" s="46"/>
      <c r="K277" s="46"/>
      <c r="L277" s="49"/>
      <c r="M277" s="49"/>
      <c r="N277" s="49"/>
      <c r="O277" s="129"/>
      <c r="P277" s="46"/>
      <c r="Q277" s="46"/>
    </row>
    <row r="278" spans="1:17" ht="4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93-6-1</v>
      </c>
      <c r="B278" s="203"/>
      <c r="C278" s="219"/>
      <c r="D278" s="204"/>
      <c r="E278" s="204"/>
      <c r="F278" s="66" t="s">
        <v>391</v>
      </c>
      <c r="G278" s="64" t="s">
        <v>605</v>
      </c>
      <c r="H278" s="49"/>
      <c r="I278" s="49"/>
      <c r="J278" s="46"/>
      <c r="K278" s="46"/>
      <c r="L278" s="49"/>
      <c r="M278" s="49"/>
      <c r="N278" s="49"/>
      <c r="O278" s="129"/>
      <c r="P278" s="46"/>
      <c r="Q278" s="46"/>
    </row>
    <row r="279" spans="1:17" ht="4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93-7-1</v>
      </c>
      <c r="B279" s="203"/>
      <c r="C279" s="219"/>
      <c r="D279" s="204"/>
      <c r="E279" s="204"/>
      <c r="F279" s="66" t="s">
        <v>392</v>
      </c>
      <c r="G279" s="64" t="s">
        <v>605</v>
      </c>
      <c r="H279" s="49"/>
      <c r="I279" s="49"/>
      <c r="J279" s="46"/>
      <c r="K279" s="46"/>
      <c r="L279" s="49"/>
      <c r="M279" s="49"/>
      <c r="N279" s="49"/>
      <c r="O279" s="129"/>
      <c r="P279" s="46"/>
      <c r="Q279" s="46"/>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93-8-1</v>
      </c>
      <c r="B280" s="203"/>
      <c r="C280" s="219"/>
      <c r="D280" s="204"/>
      <c r="E280" s="206"/>
      <c r="F280" s="66" t="s">
        <v>393</v>
      </c>
      <c r="G280" s="64" t="s">
        <v>605</v>
      </c>
      <c r="H280" s="49"/>
      <c r="I280" s="49"/>
      <c r="J280" s="46"/>
      <c r="K280" s="46"/>
      <c r="L280" s="49"/>
      <c r="M280" s="49"/>
      <c r="N280" s="49"/>
      <c r="O280" s="129"/>
      <c r="P280" s="46"/>
      <c r="Q280" s="46"/>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94-1-1</v>
      </c>
      <c r="B281" s="206"/>
      <c r="C281" s="223"/>
      <c r="D281" s="205"/>
      <c r="E281" s="205" t="s">
        <v>239</v>
      </c>
      <c r="F281" s="66" t="s">
        <v>394</v>
      </c>
      <c r="G281" s="64" t="s">
        <v>605</v>
      </c>
      <c r="H281" s="49"/>
      <c r="I281" s="49"/>
      <c r="J281" s="46"/>
      <c r="K281" s="46"/>
      <c r="L281" s="49"/>
      <c r="M281" s="49"/>
      <c r="N281" s="49"/>
      <c r="O281" s="129"/>
      <c r="P281" s="46"/>
      <c r="Q281" s="46"/>
    </row>
    <row r="282" spans="1:17" ht="22.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95-1-1</v>
      </c>
      <c r="B282" s="195" t="s">
        <v>395</v>
      </c>
      <c r="C282" s="195" t="s">
        <v>396</v>
      </c>
      <c r="D282" s="195" t="s">
        <v>499</v>
      </c>
      <c r="E282" s="242" t="s">
        <v>499</v>
      </c>
      <c r="F282" s="94" t="s">
        <v>397</v>
      </c>
      <c r="G282" s="95"/>
      <c r="H282" s="96"/>
      <c r="I282" s="96"/>
      <c r="J282" s="235" t="s">
        <v>643</v>
      </c>
      <c r="K282" s="97"/>
      <c r="L282" s="96"/>
      <c r="M282" s="96"/>
      <c r="N282" s="96"/>
      <c r="O282" s="126"/>
      <c r="P282" s="97"/>
      <c r="Q282" s="97"/>
    </row>
    <row r="283" spans="1:17" ht="22.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95-2-1</v>
      </c>
      <c r="B283" s="196"/>
      <c r="C283" s="196"/>
      <c r="D283" s="196"/>
      <c r="E283" s="199"/>
      <c r="F283" s="94" t="s">
        <v>398</v>
      </c>
      <c r="G283" s="95"/>
      <c r="H283" s="96"/>
      <c r="I283" s="96"/>
      <c r="J283" s="235" t="s">
        <v>643</v>
      </c>
      <c r="K283" s="97"/>
      <c r="L283" s="96"/>
      <c r="M283" s="96"/>
      <c r="N283" s="96"/>
      <c r="O283" s="126"/>
      <c r="P283" s="97"/>
      <c r="Q283" s="97"/>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95-3-1</v>
      </c>
      <c r="B284" s="196"/>
      <c r="C284" s="196"/>
      <c r="D284" s="196"/>
      <c r="E284" s="199"/>
      <c r="F284" s="94" t="s">
        <v>399</v>
      </c>
      <c r="G284" s="95"/>
      <c r="H284" s="96"/>
      <c r="I284" s="96"/>
      <c r="J284" s="235" t="s">
        <v>643</v>
      </c>
      <c r="K284" s="97"/>
      <c r="L284" s="96"/>
      <c r="M284" s="96"/>
      <c r="N284" s="96"/>
      <c r="O284" s="126"/>
      <c r="P284" s="97"/>
      <c r="Q284" s="97"/>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95-4-1</v>
      </c>
      <c r="B285" s="196"/>
      <c r="C285" s="198"/>
      <c r="D285" s="198"/>
      <c r="E285" s="198"/>
      <c r="F285" s="94" t="s">
        <v>400</v>
      </c>
      <c r="G285" s="95"/>
      <c r="H285" s="96"/>
      <c r="I285" s="96"/>
      <c r="J285" s="235" t="s">
        <v>643</v>
      </c>
      <c r="K285" s="97"/>
      <c r="L285" s="96"/>
      <c r="M285" s="96"/>
      <c r="N285" s="96"/>
      <c r="O285" s="126"/>
      <c r="P285" s="97"/>
      <c r="Q285" s="97"/>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96-1-1</v>
      </c>
      <c r="B286" s="196"/>
      <c r="C286" s="196" t="s">
        <v>401</v>
      </c>
      <c r="D286" s="196" t="s">
        <v>214</v>
      </c>
      <c r="E286" s="198" t="s">
        <v>232</v>
      </c>
      <c r="F286" s="94" t="s">
        <v>402</v>
      </c>
      <c r="G286" s="95"/>
      <c r="H286" s="96"/>
      <c r="I286" s="96"/>
      <c r="J286" s="235" t="s">
        <v>643</v>
      </c>
      <c r="K286" s="97"/>
      <c r="L286" s="96"/>
      <c r="M286" s="96"/>
      <c r="N286" s="96"/>
      <c r="O286" s="126"/>
      <c r="P286" s="97"/>
      <c r="Q286" s="97"/>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97-1-1</v>
      </c>
      <c r="B287" s="196"/>
      <c r="C287" s="196"/>
      <c r="D287" s="196"/>
      <c r="E287" s="198" t="s">
        <v>234</v>
      </c>
      <c r="F287" s="94" t="s">
        <v>403</v>
      </c>
      <c r="G287" s="95"/>
      <c r="H287" s="96"/>
      <c r="I287" s="96"/>
      <c r="J287" s="235" t="s">
        <v>643</v>
      </c>
      <c r="K287" s="97"/>
      <c r="L287" s="96"/>
      <c r="M287" s="96"/>
      <c r="N287" s="96"/>
      <c r="O287" s="126"/>
      <c r="P287" s="97"/>
      <c r="Q287" s="97"/>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98-1-1</v>
      </c>
      <c r="B288" s="196"/>
      <c r="C288" s="196"/>
      <c r="D288" s="196"/>
      <c r="E288" s="198" t="s">
        <v>236</v>
      </c>
      <c r="F288" s="94" t="s">
        <v>404</v>
      </c>
      <c r="G288" s="95"/>
      <c r="H288" s="96"/>
      <c r="I288" s="96"/>
      <c r="J288" s="235" t="s">
        <v>643</v>
      </c>
      <c r="K288" s="97"/>
      <c r="L288" s="96"/>
      <c r="M288" s="96"/>
      <c r="N288" s="96"/>
      <c r="O288" s="126"/>
      <c r="P288" s="97"/>
      <c r="Q288" s="97"/>
    </row>
    <row r="289" spans="1:17" ht="22.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99-1-1</v>
      </c>
      <c r="B289" s="196"/>
      <c r="C289" s="196"/>
      <c r="D289" s="198"/>
      <c r="E289" s="198" t="s">
        <v>152</v>
      </c>
      <c r="F289" s="94" t="s">
        <v>405</v>
      </c>
      <c r="G289" s="95"/>
      <c r="H289" s="96"/>
      <c r="I289" s="96"/>
      <c r="J289" s="235" t="s">
        <v>643</v>
      </c>
      <c r="K289" s="97"/>
      <c r="L289" s="96"/>
      <c r="M289" s="96"/>
      <c r="N289" s="96"/>
      <c r="O289" s="126"/>
      <c r="P289" s="97"/>
      <c r="Q289" s="97"/>
    </row>
    <row r="290" spans="1:17" ht="22.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100-1-1</v>
      </c>
      <c r="B290" s="196"/>
      <c r="C290" s="197"/>
      <c r="D290" s="196" t="s">
        <v>406</v>
      </c>
      <c r="E290" s="199" t="s">
        <v>407</v>
      </c>
      <c r="F290" s="94" t="s">
        <v>408</v>
      </c>
      <c r="G290" s="95"/>
      <c r="H290" s="96"/>
      <c r="I290" s="96"/>
      <c r="J290" s="235" t="s">
        <v>643</v>
      </c>
      <c r="K290" s="97"/>
      <c r="L290" s="96"/>
      <c r="M290" s="96"/>
      <c r="N290" s="96"/>
      <c r="O290" s="126"/>
      <c r="P290" s="97"/>
      <c r="Q290" s="97"/>
    </row>
    <row r="291" spans="1:17" ht="22.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100-2-1</v>
      </c>
      <c r="B291" s="196"/>
      <c r="C291" s="197"/>
      <c r="D291" s="199"/>
      <c r="E291" s="199"/>
      <c r="F291" s="94" t="s">
        <v>409</v>
      </c>
      <c r="G291" s="95"/>
      <c r="H291" s="96"/>
      <c r="I291" s="96"/>
      <c r="J291" s="235" t="s">
        <v>643</v>
      </c>
      <c r="K291" s="97"/>
      <c r="L291" s="96"/>
      <c r="M291" s="96"/>
      <c r="N291" s="96"/>
      <c r="O291" s="126"/>
      <c r="P291" s="97"/>
      <c r="Q291" s="97"/>
    </row>
    <row r="292" spans="1:17" ht="33.7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100-3-1</v>
      </c>
      <c r="B292" s="196"/>
      <c r="C292" s="197"/>
      <c r="D292" s="199"/>
      <c r="E292" s="199"/>
      <c r="F292" s="94" t="s">
        <v>410</v>
      </c>
      <c r="G292" s="95"/>
      <c r="H292" s="96"/>
      <c r="I292" s="96"/>
      <c r="J292" s="235" t="s">
        <v>643</v>
      </c>
      <c r="K292" s="97"/>
      <c r="L292" s="96"/>
      <c r="M292" s="96"/>
      <c r="N292" s="96"/>
      <c r="O292" s="126"/>
      <c r="P292" s="97"/>
      <c r="Q292" s="97"/>
    </row>
    <row r="293" spans="1:17" ht="33.7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100-4-1</v>
      </c>
      <c r="B293" s="196"/>
      <c r="C293" s="197"/>
      <c r="D293" s="199"/>
      <c r="E293" s="199"/>
      <c r="F293" s="94" t="s">
        <v>557</v>
      </c>
      <c r="G293" s="95"/>
      <c r="H293" s="96"/>
      <c r="I293" s="96"/>
      <c r="J293" s="235" t="s">
        <v>643</v>
      </c>
      <c r="K293" s="97"/>
      <c r="L293" s="96"/>
      <c r="M293" s="96"/>
      <c r="N293" s="96"/>
      <c r="O293" s="126"/>
      <c r="P293" s="97"/>
      <c r="Q293" s="97"/>
    </row>
    <row r="294" spans="1:17" ht="33.7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100-5-1</v>
      </c>
      <c r="B294" s="196"/>
      <c r="C294" s="197"/>
      <c r="D294" s="199"/>
      <c r="E294" s="199"/>
      <c r="F294" s="94" t="s">
        <v>546</v>
      </c>
      <c r="G294" s="95"/>
      <c r="H294" s="96"/>
      <c r="I294" s="96"/>
      <c r="J294" s="235" t="s">
        <v>643</v>
      </c>
      <c r="K294" s="97"/>
      <c r="L294" s="96"/>
      <c r="M294" s="96"/>
      <c r="N294" s="96"/>
      <c r="O294" s="126"/>
      <c r="P294" s="97"/>
      <c r="Q294" s="97"/>
    </row>
    <row r="295" spans="1:17" ht="33.7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100-6-1</v>
      </c>
      <c r="B295" s="196"/>
      <c r="C295" s="197"/>
      <c r="D295" s="199"/>
      <c r="E295" s="199"/>
      <c r="F295" s="94" t="s">
        <v>547</v>
      </c>
      <c r="G295" s="95"/>
      <c r="H295" s="96"/>
      <c r="I295" s="96"/>
      <c r="J295" s="235" t="s">
        <v>643</v>
      </c>
      <c r="K295" s="97"/>
      <c r="L295" s="96"/>
      <c r="M295" s="96"/>
      <c r="N295" s="96"/>
      <c r="O295" s="126"/>
      <c r="P295" s="97"/>
      <c r="Q295" s="97"/>
    </row>
    <row r="296" spans="1:17" ht="33.75">
      <c r="A296" s="4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100-7-1</v>
      </c>
      <c r="B296" s="196"/>
      <c r="C296" s="197"/>
      <c r="D296" s="199"/>
      <c r="E296" s="199"/>
      <c r="F296" s="94" t="s">
        <v>558</v>
      </c>
      <c r="G296" s="95"/>
      <c r="H296" s="96"/>
      <c r="I296" s="96"/>
      <c r="J296" s="235" t="s">
        <v>643</v>
      </c>
      <c r="K296" s="97"/>
      <c r="L296" s="96"/>
      <c r="M296" s="96"/>
      <c r="N296" s="96"/>
      <c r="O296" s="126"/>
      <c r="P296" s="97"/>
      <c r="Q296" s="97"/>
    </row>
    <row r="297" spans="1:17" ht="22.5">
      <c r="A297" s="43"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100-8-1</v>
      </c>
      <c r="B297" s="196"/>
      <c r="C297" s="197"/>
      <c r="D297" s="199"/>
      <c r="E297" s="199"/>
      <c r="F297" s="94" t="s">
        <v>412</v>
      </c>
      <c r="G297" s="95"/>
      <c r="H297" s="96"/>
      <c r="I297" s="96"/>
      <c r="J297" s="235" t="s">
        <v>643</v>
      </c>
      <c r="K297" s="97"/>
      <c r="L297" s="96"/>
      <c r="M297" s="96"/>
      <c r="N297" s="96"/>
      <c r="O297" s="126"/>
      <c r="P297" s="97"/>
      <c r="Q297" s="97"/>
    </row>
    <row r="298" spans="1:17" ht="22.5">
      <c r="A298" s="43"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100-9-1</v>
      </c>
      <c r="B298" s="198"/>
      <c r="C298" s="243"/>
      <c r="D298" s="200"/>
      <c r="E298" s="200"/>
      <c r="F298" s="94" t="s">
        <v>413</v>
      </c>
      <c r="G298" s="95"/>
      <c r="H298" s="96"/>
      <c r="I298" s="96"/>
      <c r="J298" s="235" t="s">
        <v>643</v>
      </c>
      <c r="K298" s="97"/>
      <c r="L298" s="96"/>
      <c r="M298" s="96"/>
      <c r="N298" s="96"/>
      <c r="O298" s="126"/>
      <c r="P298" s="97"/>
      <c r="Q298" s="97"/>
    </row>
    <row r="299" spans="1:17" s="30" customFormat="1" ht="22.5">
      <c r="A299" s="43"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101-1-1</v>
      </c>
      <c r="B299" s="225" t="s">
        <v>414</v>
      </c>
      <c r="C299" s="217" t="s">
        <v>415</v>
      </c>
      <c r="D299" s="207" t="s">
        <v>416</v>
      </c>
      <c r="E299" s="212" t="s">
        <v>495</v>
      </c>
      <c r="F299" s="94" t="s">
        <v>417</v>
      </c>
      <c r="G299" s="80" t="s">
        <v>628</v>
      </c>
      <c r="H299" s="80"/>
      <c r="I299" s="80"/>
      <c r="J299" s="80"/>
      <c r="K299" s="123"/>
      <c r="L299" s="96"/>
      <c r="M299" s="96"/>
      <c r="N299" s="96"/>
      <c r="O299" s="126"/>
      <c r="P299" s="80"/>
      <c r="Q299" s="80"/>
    </row>
    <row r="300" spans="1:17" s="30" customFormat="1">
      <c r="A300" s="43"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101-2-1</v>
      </c>
      <c r="B300" s="214"/>
      <c r="C300" s="210"/>
      <c r="D300" s="207"/>
      <c r="E300" s="207"/>
      <c r="F300" s="94" t="s">
        <v>418</v>
      </c>
      <c r="G300" s="80" t="s">
        <v>628</v>
      </c>
      <c r="H300" s="80"/>
      <c r="I300" s="80"/>
      <c r="J300" s="80"/>
      <c r="K300" s="123"/>
      <c r="L300" s="96"/>
      <c r="M300" s="96"/>
      <c r="N300" s="96"/>
      <c r="O300" s="126"/>
      <c r="P300" s="80"/>
      <c r="Q300" s="80"/>
    </row>
    <row r="301" spans="1:17" s="30" customFormat="1" ht="22.5">
      <c r="A301" s="43"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101-3-1</v>
      </c>
      <c r="B301" s="214"/>
      <c r="C301" s="210"/>
      <c r="D301" s="207"/>
      <c r="E301" s="207"/>
      <c r="F301" s="61" t="s">
        <v>419</v>
      </c>
      <c r="G301" s="32"/>
      <c r="H301" s="122" t="s">
        <v>660</v>
      </c>
      <c r="I301" s="122" t="s">
        <v>661</v>
      </c>
      <c r="J301" s="122" t="s">
        <v>935</v>
      </c>
      <c r="K301" s="32" t="s">
        <v>662</v>
      </c>
      <c r="L301" s="116"/>
      <c r="M301" s="116"/>
      <c r="N301" s="54"/>
      <c r="O301" s="130"/>
      <c r="P301" s="32"/>
      <c r="Q301" s="32"/>
    </row>
    <row r="302" spans="1:17" s="30" customFormat="1" ht="22.5">
      <c r="A302" s="43"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101-4-1</v>
      </c>
      <c r="B302" s="214"/>
      <c r="C302" s="210"/>
      <c r="D302" s="207"/>
      <c r="E302" s="207"/>
      <c r="F302" s="61" t="s">
        <v>420</v>
      </c>
      <c r="G302" s="32"/>
      <c r="H302" s="122" t="s">
        <v>660</v>
      </c>
      <c r="I302" s="122" t="s">
        <v>661</v>
      </c>
      <c r="J302" s="122" t="s">
        <v>935</v>
      </c>
      <c r="K302" s="32" t="s">
        <v>663</v>
      </c>
      <c r="L302" s="116"/>
      <c r="M302" s="116"/>
      <c r="N302" s="54"/>
      <c r="O302" s="130"/>
      <c r="P302" s="32"/>
      <c r="Q302" s="32"/>
    </row>
    <row r="303" spans="1:17" s="30" customFormat="1" ht="22.5">
      <c r="A303" s="43"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101-5-1</v>
      </c>
      <c r="B303" s="214"/>
      <c r="C303" s="210"/>
      <c r="D303" s="207"/>
      <c r="E303" s="207"/>
      <c r="F303" s="61" t="s">
        <v>421</v>
      </c>
      <c r="G303" s="32"/>
      <c r="H303" s="122" t="s">
        <v>660</v>
      </c>
      <c r="I303" s="122" t="s">
        <v>661</v>
      </c>
      <c r="J303" s="122" t="s">
        <v>935</v>
      </c>
      <c r="K303" s="32" t="s">
        <v>664</v>
      </c>
      <c r="L303" s="116"/>
      <c r="M303" s="116"/>
      <c r="N303" s="54"/>
      <c r="O303" s="130"/>
      <c r="P303" s="32"/>
      <c r="Q303" s="32"/>
    </row>
    <row r="304" spans="1:17" ht="22.5">
      <c r="A304" s="43"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101-6-1</v>
      </c>
      <c r="B304" s="226"/>
      <c r="C304" s="227"/>
      <c r="D304" s="193"/>
      <c r="E304" s="193"/>
      <c r="F304" s="51" t="s">
        <v>593</v>
      </c>
      <c r="G304" s="51"/>
      <c r="H304" s="122" t="s">
        <v>660</v>
      </c>
      <c r="I304" s="122" t="s">
        <v>661</v>
      </c>
      <c r="J304" s="122" t="s">
        <v>935</v>
      </c>
      <c r="K304" s="32" t="s">
        <v>665</v>
      </c>
      <c r="L304" s="78"/>
      <c r="M304" s="116"/>
      <c r="N304" s="54"/>
      <c r="O304" s="130"/>
      <c r="P304" s="116"/>
      <c r="Q304" s="116"/>
    </row>
    <row r="305" spans="1:17" s="30" customFormat="1" ht="33.75">
      <c r="A305" s="43"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101-7-1</v>
      </c>
      <c r="B305" s="214"/>
      <c r="C305" s="210"/>
      <c r="D305" s="207"/>
      <c r="E305" s="207"/>
      <c r="F305" s="61" t="s">
        <v>422</v>
      </c>
      <c r="G305" s="32"/>
      <c r="H305" s="122" t="s">
        <v>660</v>
      </c>
      <c r="I305" s="122" t="s">
        <v>666</v>
      </c>
      <c r="J305" s="122" t="s">
        <v>1015</v>
      </c>
      <c r="K305" s="32" t="s">
        <v>667</v>
      </c>
      <c r="L305" s="116"/>
      <c r="M305" s="116"/>
      <c r="N305" s="54"/>
      <c r="O305" s="130"/>
      <c r="P305" s="32"/>
      <c r="Q305" s="32"/>
    </row>
    <row r="306" spans="1:17" s="30" customFormat="1" ht="33.75">
      <c r="A306" s="43"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101-8-1</v>
      </c>
      <c r="B306" s="214"/>
      <c r="C306" s="210"/>
      <c r="D306" s="207"/>
      <c r="E306" s="207"/>
      <c r="F306" s="61" t="s">
        <v>423</v>
      </c>
      <c r="G306" s="32"/>
      <c r="H306" s="122" t="s">
        <v>660</v>
      </c>
      <c r="I306" s="122" t="s">
        <v>666</v>
      </c>
      <c r="J306" s="122" t="s">
        <v>1015</v>
      </c>
      <c r="K306" s="32" t="s">
        <v>668</v>
      </c>
      <c r="L306" s="116"/>
      <c r="M306" s="116"/>
      <c r="N306" s="54"/>
      <c r="O306" s="130"/>
      <c r="P306" s="32"/>
      <c r="Q306" s="32"/>
    </row>
    <row r="307" spans="1:17" s="30" customFormat="1" ht="22.5">
      <c r="A307" s="43"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101-9-1</v>
      </c>
      <c r="B307" s="214"/>
      <c r="C307" s="210"/>
      <c r="D307" s="207"/>
      <c r="E307" s="207"/>
      <c r="F307" s="61" t="s">
        <v>424</v>
      </c>
      <c r="G307" s="32"/>
      <c r="H307" s="122" t="s">
        <v>660</v>
      </c>
      <c r="I307" s="122" t="s">
        <v>669</v>
      </c>
      <c r="J307" s="122" t="s">
        <v>935</v>
      </c>
      <c r="K307" s="32" t="s">
        <v>670</v>
      </c>
      <c r="L307" s="116"/>
      <c r="M307" s="116"/>
      <c r="N307" s="54"/>
      <c r="O307" s="130"/>
      <c r="P307" s="32"/>
      <c r="Q307" s="32"/>
    </row>
    <row r="308" spans="1:17" s="30" customFormat="1" ht="22.5">
      <c r="A308" s="43"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101-10-1</v>
      </c>
      <c r="B308" s="214"/>
      <c r="C308" s="210"/>
      <c r="D308" s="207"/>
      <c r="E308" s="207"/>
      <c r="F308" s="61" t="s">
        <v>425</v>
      </c>
      <c r="G308" s="32"/>
      <c r="H308" s="122" t="s">
        <v>660</v>
      </c>
      <c r="I308" s="122" t="s">
        <v>669</v>
      </c>
      <c r="J308" s="122" t="s">
        <v>935</v>
      </c>
      <c r="K308" s="32" t="s">
        <v>671</v>
      </c>
      <c r="L308" s="116"/>
      <c r="M308" s="116"/>
      <c r="N308" s="54"/>
      <c r="O308" s="130"/>
      <c r="P308" s="32"/>
      <c r="Q308" s="32"/>
    </row>
    <row r="309" spans="1:17" s="30" customFormat="1" ht="22.5">
      <c r="A309" s="43"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101-11-1</v>
      </c>
      <c r="B309" s="214"/>
      <c r="C309" s="210"/>
      <c r="D309" s="207"/>
      <c r="E309" s="207"/>
      <c r="F309" s="61" t="s">
        <v>426</v>
      </c>
      <c r="G309" s="32"/>
      <c r="H309" s="122" t="s">
        <v>660</v>
      </c>
      <c r="I309" s="122" t="s">
        <v>669</v>
      </c>
      <c r="J309" s="122" t="s">
        <v>935</v>
      </c>
      <c r="K309" s="32" t="s">
        <v>672</v>
      </c>
      <c r="L309" s="116"/>
      <c r="M309" s="116"/>
      <c r="N309" s="54"/>
      <c r="O309" s="130"/>
      <c r="P309" s="32"/>
      <c r="Q309" s="32"/>
    </row>
    <row r="310" spans="1:17" s="30" customFormat="1" ht="22.5">
      <c r="A310" s="43"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101-12-1</v>
      </c>
      <c r="B310" s="214"/>
      <c r="C310" s="210"/>
      <c r="D310" s="207"/>
      <c r="E310" s="207"/>
      <c r="F310" s="61" t="s">
        <v>427</v>
      </c>
      <c r="G310" s="32"/>
      <c r="H310" s="122" t="s">
        <v>660</v>
      </c>
      <c r="I310" s="122" t="s">
        <v>673</v>
      </c>
      <c r="J310" s="122" t="s">
        <v>935</v>
      </c>
      <c r="K310" s="32" t="s">
        <v>674</v>
      </c>
      <c r="L310" s="116"/>
      <c r="M310" s="116"/>
      <c r="N310" s="54"/>
      <c r="O310" s="130"/>
      <c r="P310" s="32"/>
      <c r="Q310" s="32"/>
    </row>
    <row r="311" spans="1:17" s="30" customFormat="1" ht="22.5">
      <c r="A311" s="43"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101-13-1</v>
      </c>
      <c r="B311" s="214"/>
      <c r="C311" s="210"/>
      <c r="D311" s="207"/>
      <c r="E311" s="207"/>
      <c r="F311" s="61" t="s">
        <v>428</v>
      </c>
      <c r="G311" s="32"/>
      <c r="H311" s="122" t="s">
        <v>660</v>
      </c>
      <c r="I311" s="122" t="s">
        <v>673</v>
      </c>
      <c r="J311" s="122" t="s">
        <v>935</v>
      </c>
      <c r="K311" s="32" t="s">
        <v>675</v>
      </c>
      <c r="L311" s="116"/>
      <c r="M311" s="116"/>
      <c r="N311" s="54"/>
      <c r="O311" s="130"/>
      <c r="P311" s="32"/>
      <c r="Q311" s="32"/>
    </row>
    <row r="312" spans="1:17" s="30" customFormat="1" ht="22.5">
      <c r="A312" s="43"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101-14-1</v>
      </c>
      <c r="B312" s="214"/>
      <c r="C312" s="210"/>
      <c r="D312" s="207"/>
      <c r="E312" s="207"/>
      <c r="F312" s="60" t="s">
        <v>429</v>
      </c>
      <c r="G312" s="32"/>
      <c r="H312" s="122" t="s">
        <v>648</v>
      </c>
      <c r="I312" s="122" t="s">
        <v>676</v>
      </c>
      <c r="J312" s="122" t="s">
        <v>935</v>
      </c>
      <c r="K312" s="32" t="s">
        <v>677</v>
      </c>
      <c r="L312" s="116"/>
      <c r="M312" s="116"/>
      <c r="N312" s="54"/>
      <c r="O312" s="130"/>
      <c r="P312" s="32"/>
      <c r="Q312" s="32"/>
    </row>
    <row r="313" spans="1:17" s="30" customFormat="1" ht="22.5">
      <c r="A313" s="43"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101-14-2</v>
      </c>
      <c r="B313" s="214"/>
      <c r="C313" s="210"/>
      <c r="D313" s="207"/>
      <c r="E313" s="207"/>
      <c r="F313" s="244"/>
      <c r="G313" s="32"/>
      <c r="H313" s="122" t="s">
        <v>648</v>
      </c>
      <c r="I313" s="122" t="s">
        <v>676</v>
      </c>
      <c r="J313" s="122" t="s">
        <v>935</v>
      </c>
      <c r="K313" s="32" t="s">
        <v>678</v>
      </c>
      <c r="L313" s="116"/>
      <c r="M313" s="116"/>
      <c r="N313" s="54"/>
      <c r="O313" s="130"/>
      <c r="P313" s="32"/>
      <c r="Q313" s="32"/>
    </row>
    <row r="314" spans="1:17" s="30" customFormat="1" ht="22.5">
      <c r="A314" s="43"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101-14-3</v>
      </c>
      <c r="B314" s="214"/>
      <c r="C314" s="210"/>
      <c r="D314" s="207"/>
      <c r="E314" s="207"/>
      <c r="F314" s="244"/>
      <c r="G314" s="32"/>
      <c r="H314" s="122" t="s">
        <v>648</v>
      </c>
      <c r="I314" s="122" t="s">
        <v>676</v>
      </c>
      <c r="J314" s="122" t="s">
        <v>935</v>
      </c>
      <c r="K314" s="32" t="s">
        <v>679</v>
      </c>
      <c r="L314" s="116"/>
      <c r="M314" s="116"/>
      <c r="N314" s="54"/>
      <c r="O314" s="130"/>
      <c r="P314" s="32"/>
      <c r="Q314" s="32"/>
    </row>
    <row r="315" spans="1:17" s="30" customFormat="1" ht="22.5">
      <c r="A315" s="43"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101-14-4</v>
      </c>
      <c r="B315" s="214"/>
      <c r="C315" s="210"/>
      <c r="D315" s="207"/>
      <c r="E315" s="207"/>
      <c r="F315" s="244"/>
      <c r="G315" s="32"/>
      <c r="H315" s="122" t="s">
        <v>648</v>
      </c>
      <c r="I315" s="122" t="s">
        <v>676</v>
      </c>
      <c r="J315" s="122" t="s">
        <v>935</v>
      </c>
      <c r="K315" s="32" t="s">
        <v>680</v>
      </c>
      <c r="L315" s="116"/>
      <c r="M315" s="116"/>
      <c r="N315" s="54"/>
      <c r="O315" s="130"/>
      <c r="P315" s="32"/>
      <c r="Q315" s="32"/>
    </row>
    <row r="316" spans="1:17" s="30" customFormat="1" ht="22.5">
      <c r="A316" s="43"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101-14-5</v>
      </c>
      <c r="B316" s="214"/>
      <c r="C316" s="210"/>
      <c r="D316" s="207"/>
      <c r="E316" s="207"/>
      <c r="F316" s="244"/>
      <c r="G316" s="32"/>
      <c r="H316" s="122" t="s">
        <v>648</v>
      </c>
      <c r="I316" s="122" t="s">
        <v>676</v>
      </c>
      <c r="J316" s="122" t="s">
        <v>935</v>
      </c>
      <c r="K316" s="32" t="s">
        <v>681</v>
      </c>
      <c r="L316" s="116"/>
      <c r="M316" s="116"/>
      <c r="N316" s="54"/>
      <c r="O316" s="130"/>
      <c r="P316" s="32"/>
      <c r="Q316" s="32"/>
    </row>
    <row r="317" spans="1:17" s="30" customFormat="1" ht="22.5">
      <c r="A317" s="43"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101-14-6</v>
      </c>
      <c r="B317" s="214"/>
      <c r="C317" s="210"/>
      <c r="D317" s="207"/>
      <c r="E317" s="207"/>
      <c r="F317" s="244"/>
      <c r="G317" s="32"/>
      <c r="H317" s="122" t="s">
        <v>648</v>
      </c>
      <c r="I317" s="122" t="s">
        <v>676</v>
      </c>
      <c r="J317" s="122" t="s">
        <v>935</v>
      </c>
      <c r="K317" s="32" t="s">
        <v>682</v>
      </c>
      <c r="L317" s="116"/>
      <c r="M317" s="116"/>
      <c r="N317" s="54"/>
      <c r="O317" s="130"/>
      <c r="P317" s="32"/>
      <c r="Q317" s="32"/>
    </row>
    <row r="318" spans="1:17" s="30" customFormat="1" ht="22.5">
      <c r="A318" s="43"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101-14-7</v>
      </c>
      <c r="B318" s="214"/>
      <c r="C318" s="210"/>
      <c r="D318" s="207"/>
      <c r="E318" s="207"/>
      <c r="F318" s="244"/>
      <c r="G318" s="32"/>
      <c r="H318" s="122" t="s">
        <v>648</v>
      </c>
      <c r="I318" s="122" t="s">
        <v>676</v>
      </c>
      <c r="J318" s="122" t="s">
        <v>935</v>
      </c>
      <c r="K318" s="32" t="s">
        <v>683</v>
      </c>
      <c r="L318" s="116"/>
      <c r="M318" s="116"/>
      <c r="N318" s="54"/>
      <c r="O318" s="130"/>
      <c r="P318" s="32"/>
      <c r="Q318" s="32"/>
    </row>
    <row r="319" spans="1:17" s="30" customFormat="1" ht="22.5">
      <c r="A319" s="43"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101-14-8</v>
      </c>
      <c r="B319" s="214"/>
      <c r="C319" s="210"/>
      <c r="D319" s="207"/>
      <c r="E319" s="207"/>
      <c r="F319" s="244"/>
      <c r="G319" s="32"/>
      <c r="H319" s="122" t="s">
        <v>648</v>
      </c>
      <c r="I319" s="122" t="s">
        <v>676</v>
      </c>
      <c r="J319" s="122" t="s">
        <v>935</v>
      </c>
      <c r="K319" s="32" t="s">
        <v>684</v>
      </c>
      <c r="L319" s="116"/>
      <c r="M319" s="116"/>
      <c r="N319" s="54"/>
      <c r="O319" s="130"/>
      <c r="P319" s="32"/>
      <c r="Q319" s="32"/>
    </row>
    <row r="320" spans="1:17" s="30" customFormat="1" ht="22.5">
      <c r="A320" s="43"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101-14-9</v>
      </c>
      <c r="B320" s="214"/>
      <c r="C320" s="210"/>
      <c r="D320" s="207"/>
      <c r="E320" s="207"/>
      <c r="F320" s="244"/>
      <c r="G320" s="32"/>
      <c r="H320" s="122" t="s">
        <v>648</v>
      </c>
      <c r="I320" s="122" t="s">
        <v>676</v>
      </c>
      <c r="J320" s="122" t="s">
        <v>935</v>
      </c>
      <c r="K320" s="32" t="s">
        <v>685</v>
      </c>
      <c r="L320" s="116"/>
      <c r="M320" s="116"/>
      <c r="N320" s="54"/>
      <c r="O320" s="130"/>
      <c r="P320" s="32"/>
      <c r="Q320" s="32"/>
    </row>
    <row r="321" spans="1:17" s="30" customFormat="1" ht="22.5">
      <c r="A321" s="43"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101-14-10</v>
      </c>
      <c r="B321" s="214"/>
      <c r="C321" s="210"/>
      <c r="D321" s="207"/>
      <c r="E321" s="207"/>
      <c r="F321" s="244"/>
      <c r="G321" s="32"/>
      <c r="H321" s="122" t="s">
        <v>648</v>
      </c>
      <c r="I321" s="122" t="s">
        <v>676</v>
      </c>
      <c r="J321" s="122" t="s">
        <v>935</v>
      </c>
      <c r="K321" s="32" t="s">
        <v>686</v>
      </c>
      <c r="L321" s="116"/>
      <c r="M321" s="116"/>
      <c r="N321" s="54"/>
      <c r="O321" s="130"/>
      <c r="P321" s="32"/>
      <c r="Q321" s="32"/>
    </row>
    <row r="322" spans="1:17" s="30" customFormat="1" ht="22.5">
      <c r="A322" s="43"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101-14-11</v>
      </c>
      <c r="B322" s="214"/>
      <c r="C322" s="210"/>
      <c r="D322" s="207"/>
      <c r="E322" s="207"/>
      <c r="F322" s="239"/>
      <c r="G322" s="32"/>
      <c r="H322" s="122" t="s">
        <v>648</v>
      </c>
      <c r="I322" s="122" t="s">
        <v>676</v>
      </c>
      <c r="J322" s="122" t="s">
        <v>935</v>
      </c>
      <c r="K322" s="32" t="s">
        <v>687</v>
      </c>
      <c r="L322" s="116"/>
      <c r="M322" s="116"/>
      <c r="N322" s="54"/>
      <c r="O322" s="130"/>
      <c r="P322" s="32"/>
      <c r="Q322" s="32"/>
    </row>
    <row r="323" spans="1:17" s="30" customFormat="1" ht="22.5">
      <c r="A323" s="43"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101-15-1</v>
      </c>
      <c r="B323" s="214"/>
      <c r="C323" s="210"/>
      <c r="D323" s="207"/>
      <c r="E323" s="207"/>
      <c r="F323" s="61" t="s">
        <v>430</v>
      </c>
      <c r="G323" s="32"/>
      <c r="H323" s="122" t="s">
        <v>648</v>
      </c>
      <c r="I323" s="122" t="s">
        <v>676</v>
      </c>
      <c r="J323" s="122" t="s">
        <v>935</v>
      </c>
      <c r="K323" s="32" t="s">
        <v>688</v>
      </c>
      <c r="L323" s="116"/>
      <c r="M323" s="116"/>
      <c r="N323" s="54"/>
      <c r="O323" s="130"/>
      <c r="P323" s="32"/>
      <c r="Q323" s="32"/>
    </row>
    <row r="324" spans="1:17" s="30" customFormat="1" ht="22.5">
      <c r="A324" s="43"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101-16-1</v>
      </c>
      <c r="B324" s="214"/>
      <c r="C324" s="210"/>
      <c r="D324" s="207"/>
      <c r="E324" s="207"/>
      <c r="F324" s="94" t="s">
        <v>431</v>
      </c>
      <c r="G324" s="80"/>
      <c r="H324" s="127"/>
      <c r="I324" s="127"/>
      <c r="J324" s="80" t="s">
        <v>689</v>
      </c>
      <c r="K324" s="80"/>
      <c r="L324" s="96"/>
      <c r="M324" s="96"/>
      <c r="N324" s="96"/>
      <c r="O324" s="126"/>
      <c r="P324" s="80"/>
      <c r="Q324" s="80"/>
    </row>
    <row r="325" spans="1:17" s="30" customFormat="1" ht="22.5">
      <c r="A325" s="43"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101-17-1</v>
      </c>
      <c r="B325" s="214"/>
      <c r="C325" s="210"/>
      <c r="D325" s="207"/>
      <c r="E325" s="207"/>
      <c r="F325" s="60" t="s">
        <v>432</v>
      </c>
      <c r="G325" s="32"/>
      <c r="H325" s="122" t="s">
        <v>648</v>
      </c>
      <c r="I325" s="122" t="s">
        <v>676</v>
      </c>
      <c r="J325" s="122" t="s">
        <v>935</v>
      </c>
      <c r="K325" s="32" t="s">
        <v>690</v>
      </c>
      <c r="L325" s="116"/>
      <c r="M325" s="116"/>
      <c r="N325" s="54"/>
      <c r="O325" s="130"/>
      <c r="P325" s="32"/>
      <c r="Q325" s="32"/>
    </row>
    <row r="326" spans="1:17" s="30" customFormat="1" ht="22.5">
      <c r="A326" s="43"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101-17-2</v>
      </c>
      <c r="B326" s="214"/>
      <c r="C326" s="210"/>
      <c r="D326" s="207"/>
      <c r="E326" s="207"/>
      <c r="F326" s="244"/>
      <c r="G326" s="32"/>
      <c r="H326" s="122" t="s">
        <v>648</v>
      </c>
      <c r="I326" s="122" t="s">
        <v>676</v>
      </c>
      <c r="J326" s="122" t="s">
        <v>935</v>
      </c>
      <c r="K326" s="32" t="s">
        <v>691</v>
      </c>
      <c r="L326" s="116"/>
      <c r="M326" s="116"/>
      <c r="N326" s="54"/>
      <c r="O326" s="130"/>
      <c r="P326" s="32"/>
      <c r="Q326" s="32"/>
    </row>
    <row r="327" spans="1:17" s="30" customFormat="1" ht="22.5">
      <c r="A327" s="43"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101-17-3</v>
      </c>
      <c r="B327" s="214"/>
      <c r="C327" s="210"/>
      <c r="D327" s="207"/>
      <c r="E327" s="207"/>
      <c r="F327" s="244"/>
      <c r="G327" s="32"/>
      <c r="H327" s="122" t="s">
        <v>648</v>
      </c>
      <c r="I327" s="122" t="s">
        <v>676</v>
      </c>
      <c r="J327" s="122" t="s">
        <v>935</v>
      </c>
      <c r="K327" s="32" t="s">
        <v>692</v>
      </c>
      <c r="L327" s="116"/>
      <c r="M327" s="116"/>
      <c r="N327" s="54"/>
      <c r="O327" s="130"/>
      <c r="P327" s="32"/>
      <c r="Q327" s="32"/>
    </row>
    <row r="328" spans="1:17" s="30" customFormat="1" ht="22.5">
      <c r="A328" s="43"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101-17-4</v>
      </c>
      <c r="B328" s="214"/>
      <c r="C328" s="210"/>
      <c r="D328" s="207"/>
      <c r="E328" s="207"/>
      <c r="F328" s="244"/>
      <c r="G328" s="32"/>
      <c r="H328" s="122" t="s">
        <v>648</v>
      </c>
      <c r="I328" s="122" t="s">
        <v>676</v>
      </c>
      <c r="J328" s="122" t="s">
        <v>935</v>
      </c>
      <c r="K328" s="32" t="s">
        <v>693</v>
      </c>
      <c r="L328" s="116"/>
      <c r="M328" s="116"/>
      <c r="N328" s="54"/>
      <c r="O328" s="130"/>
      <c r="P328" s="32"/>
      <c r="Q328" s="32"/>
    </row>
    <row r="329" spans="1:17" s="30" customFormat="1" ht="22.5">
      <c r="A329" s="43"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101-17-5</v>
      </c>
      <c r="B329" s="214"/>
      <c r="C329" s="210"/>
      <c r="D329" s="207"/>
      <c r="E329" s="207"/>
      <c r="F329" s="244"/>
      <c r="G329" s="32"/>
      <c r="H329" s="122" t="s">
        <v>648</v>
      </c>
      <c r="I329" s="122" t="s">
        <v>676</v>
      </c>
      <c r="J329" s="122" t="s">
        <v>935</v>
      </c>
      <c r="K329" s="32" t="s">
        <v>694</v>
      </c>
      <c r="L329" s="116"/>
      <c r="M329" s="116"/>
      <c r="N329" s="54"/>
      <c r="O329" s="130"/>
      <c r="P329" s="32"/>
      <c r="Q329" s="32"/>
    </row>
    <row r="330" spans="1:17" s="30" customFormat="1" ht="22.5">
      <c r="A330" s="43"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101-17-6</v>
      </c>
      <c r="B330" s="214"/>
      <c r="C330" s="210"/>
      <c r="D330" s="207"/>
      <c r="E330" s="207"/>
      <c r="F330" s="244"/>
      <c r="G330" s="32"/>
      <c r="H330" s="122" t="s">
        <v>648</v>
      </c>
      <c r="I330" s="122" t="s">
        <v>676</v>
      </c>
      <c r="J330" s="122" t="s">
        <v>935</v>
      </c>
      <c r="K330" s="32" t="s">
        <v>695</v>
      </c>
      <c r="L330" s="116"/>
      <c r="M330" s="116"/>
      <c r="N330" s="54"/>
      <c r="O330" s="130"/>
      <c r="P330" s="32"/>
      <c r="Q330" s="32"/>
    </row>
    <row r="331" spans="1:17" s="30" customFormat="1" ht="22.5">
      <c r="A331" s="43"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101-17-7</v>
      </c>
      <c r="B331" s="214"/>
      <c r="C331" s="210"/>
      <c r="D331" s="207"/>
      <c r="E331" s="207"/>
      <c r="F331" s="244"/>
      <c r="G331" s="32"/>
      <c r="H331" s="122" t="s">
        <v>648</v>
      </c>
      <c r="I331" s="122" t="s">
        <v>676</v>
      </c>
      <c r="J331" s="122" t="s">
        <v>935</v>
      </c>
      <c r="K331" s="32" t="s">
        <v>696</v>
      </c>
      <c r="L331" s="116"/>
      <c r="M331" s="116"/>
      <c r="N331" s="54"/>
      <c r="O331" s="130"/>
      <c r="P331" s="32"/>
      <c r="Q331" s="32"/>
    </row>
    <row r="332" spans="1:17" s="30" customFormat="1" ht="22.5">
      <c r="A332" s="43"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101-17-8</v>
      </c>
      <c r="B332" s="214"/>
      <c r="C332" s="210"/>
      <c r="D332" s="207"/>
      <c r="E332" s="207"/>
      <c r="F332" s="244"/>
      <c r="G332" s="32"/>
      <c r="H332" s="122" t="s">
        <v>648</v>
      </c>
      <c r="I332" s="122" t="s">
        <v>676</v>
      </c>
      <c r="J332" s="122" t="s">
        <v>935</v>
      </c>
      <c r="K332" s="32" t="s">
        <v>697</v>
      </c>
      <c r="L332" s="116"/>
      <c r="M332" s="116"/>
      <c r="N332" s="54"/>
      <c r="O332" s="130"/>
      <c r="P332" s="32"/>
      <c r="Q332" s="32"/>
    </row>
    <row r="333" spans="1:17" s="30" customFormat="1" ht="22.5">
      <c r="A333" s="43"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101-17-9</v>
      </c>
      <c r="B333" s="214"/>
      <c r="C333" s="210"/>
      <c r="D333" s="207"/>
      <c r="E333" s="207"/>
      <c r="F333" s="244"/>
      <c r="G333" s="32"/>
      <c r="H333" s="122" t="s">
        <v>648</v>
      </c>
      <c r="I333" s="122" t="s">
        <v>676</v>
      </c>
      <c r="J333" s="122" t="s">
        <v>935</v>
      </c>
      <c r="K333" s="32" t="s">
        <v>698</v>
      </c>
      <c r="L333" s="116"/>
      <c r="M333" s="116"/>
      <c r="N333" s="54"/>
      <c r="O333" s="130"/>
      <c r="P333" s="32"/>
      <c r="Q333" s="32"/>
    </row>
    <row r="334" spans="1:17" s="30" customFormat="1" ht="22.5">
      <c r="A334" s="43"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101-17-10</v>
      </c>
      <c r="B334" s="214"/>
      <c r="C334" s="210"/>
      <c r="D334" s="207"/>
      <c r="E334" s="207"/>
      <c r="F334" s="244"/>
      <c r="G334" s="32"/>
      <c r="H334" s="122" t="s">
        <v>648</v>
      </c>
      <c r="I334" s="122" t="s">
        <v>676</v>
      </c>
      <c r="J334" s="122" t="s">
        <v>935</v>
      </c>
      <c r="K334" s="32" t="s">
        <v>699</v>
      </c>
      <c r="L334" s="116"/>
      <c r="M334" s="116"/>
      <c r="N334" s="54"/>
      <c r="O334" s="130"/>
      <c r="P334" s="32"/>
      <c r="Q334" s="32"/>
    </row>
    <row r="335" spans="1:17" s="30" customFormat="1" ht="22.5">
      <c r="A335" s="43"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101-17-11</v>
      </c>
      <c r="B335" s="214"/>
      <c r="C335" s="210"/>
      <c r="D335" s="207"/>
      <c r="E335" s="207"/>
      <c r="F335" s="244"/>
      <c r="G335" s="32"/>
      <c r="H335" s="122" t="s">
        <v>648</v>
      </c>
      <c r="I335" s="122" t="s">
        <v>676</v>
      </c>
      <c r="J335" s="122" t="s">
        <v>935</v>
      </c>
      <c r="K335" s="32" t="s">
        <v>700</v>
      </c>
      <c r="L335" s="116"/>
      <c r="M335" s="116"/>
      <c r="N335" s="54"/>
      <c r="O335" s="130"/>
      <c r="P335" s="32"/>
      <c r="Q335" s="32"/>
    </row>
    <row r="336" spans="1:17" s="30" customFormat="1" ht="22.5">
      <c r="A336" s="43"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101-17-12</v>
      </c>
      <c r="B336" s="214"/>
      <c r="C336" s="210"/>
      <c r="D336" s="207"/>
      <c r="E336" s="207"/>
      <c r="F336" s="239"/>
      <c r="G336" s="32"/>
      <c r="H336" s="122" t="s">
        <v>648</v>
      </c>
      <c r="I336" s="122" t="s">
        <v>676</v>
      </c>
      <c r="J336" s="122" t="s">
        <v>935</v>
      </c>
      <c r="K336" s="32" t="s">
        <v>701</v>
      </c>
      <c r="L336" s="116"/>
      <c r="M336" s="116"/>
      <c r="N336" s="54"/>
      <c r="O336" s="130"/>
      <c r="P336" s="32"/>
      <c r="Q336" s="32"/>
    </row>
    <row r="337" spans="1:17" s="30" customFormat="1" ht="33.75">
      <c r="A337" s="43"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101-18-1</v>
      </c>
      <c r="B337" s="214"/>
      <c r="C337" s="210"/>
      <c r="D337" s="207"/>
      <c r="E337" s="207"/>
      <c r="F337" s="60" t="s">
        <v>433</v>
      </c>
      <c r="G337" s="32"/>
      <c r="H337" s="122" t="s">
        <v>648</v>
      </c>
      <c r="I337" s="122" t="s">
        <v>676</v>
      </c>
      <c r="J337" s="122" t="s">
        <v>935</v>
      </c>
      <c r="K337" s="32" t="s">
        <v>702</v>
      </c>
      <c r="L337" s="116"/>
      <c r="M337" s="116"/>
      <c r="N337" s="54"/>
      <c r="O337" s="130"/>
      <c r="P337" s="32"/>
      <c r="Q337" s="32"/>
    </row>
    <row r="338" spans="1:17" s="30" customFormat="1" ht="33.75">
      <c r="A338" s="43"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101-18-2</v>
      </c>
      <c r="B338" s="214"/>
      <c r="C338" s="210"/>
      <c r="D338" s="207"/>
      <c r="E338" s="207"/>
      <c r="F338" s="244"/>
      <c r="G338" s="32"/>
      <c r="H338" s="122" t="s">
        <v>648</v>
      </c>
      <c r="I338" s="122" t="s">
        <v>676</v>
      </c>
      <c r="J338" s="122" t="s">
        <v>935</v>
      </c>
      <c r="K338" s="32" t="s">
        <v>703</v>
      </c>
      <c r="L338" s="116"/>
      <c r="M338" s="116"/>
      <c r="N338" s="54"/>
      <c r="O338" s="130"/>
      <c r="P338" s="32"/>
      <c r="Q338" s="32"/>
    </row>
    <row r="339" spans="1:17" s="30" customFormat="1" ht="33.75">
      <c r="A339" s="43"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101-18-3</v>
      </c>
      <c r="B339" s="214"/>
      <c r="C339" s="210"/>
      <c r="D339" s="207"/>
      <c r="E339" s="207"/>
      <c r="F339" s="244"/>
      <c r="G339" s="32"/>
      <c r="H339" s="122" t="s">
        <v>648</v>
      </c>
      <c r="I339" s="122" t="s">
        <v>676</v>
      </c>
      <c r="J339" s="122" t="s">
        <v>935</v>
      </c>
      <c r="K339" s="32" t="s">
        <v>704</v>
      </c>
      <c r="L339" s="116"/>
      <c r="M339" s="116"/>
      <c r="N339" s="54"/>
      <c r="O339" s="130"/>
      <c r="P339" s="32"/>
      <c r="Q339" s="32"/>
    </row>
    <row r="340" spans="1:17" s="30" customFormat="1" ht="33.75">
      <c r="A340" s="43"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101-18-4</v>
      </c>
      <c r="B340" s="214"/>
      <c r="C340" s="210"/>
      <c r="D340" s="207"/>
      <c r="E340" s="207"/>
      <c r="F340" s="244"/>
      <c r="G340" s="32"/>
      <c r="H340" s="122" t="s">
        <v>648</v>
      </c>
      <c r="I340" s="122" t="s">
        <v>676</v>
      </c>
      <c r="J340" s="122" t="s">
        <v>935</v>
      </c>
      <c r="K340" s="32" t="s">
        <v>705</v>
      </c>
      <c r="L340" s="116"/>
      <c r="M340" s="116"/>
      <c r="N340" s="54"/>
      <c r="O340" s="130"/>
      <c r="P340" s="32"/>
      <c r="Q340" s="32"/>
    </row>
    <row r="341" spans="1:17" s="30" customFormat="1" ht="33.75">
      <c r="A341" s="43"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101-18-5</v>
      </c>
      <c r="B341" s="214"/>
      <c r="C341" s="210"/>
      <c r="D341" s="207"/>
      <c r="E341" s="207"/>
      <c r="F341" s="244"/>
      <c r="G341" s="32"/>
      <c r="H341" s="122" t="s">
        <v>648</v>
      </c>
      <c r="I341" s="122" t="s">
        <v>676</v>
      </c>
      <c r="J341" s="122" t="s">
        <v>935</v>
      </c>
      <c r="K341" s="32" t="s">
        <v>706</v>
      </c>
      <c r="L341" s="116"/>
      <c r="M341" s="116"/>
      <c r="N341" s="54"/>
      <c r="O341" s="130"/>
      <c r="P341" s="32"/>
      <c r="Q341" s="32"/>
    </row>
    <row r="342" spans="1:17" s="30" customFormat="1" ht="33.75">
      <c r="A342" s="43"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101-18-6</v>
      </c>
      <c r="B342" s="214"/>
      <c r="C342" s="210"/>
      <c r="D342" s="207"/>
      <c r="E342" s="207"/>
      <c r="F342" s="244"/>
      <c r="G342" s="32"/>
      <c r="H342" s="122" t="s">
        <v>648</v>
      </c>
      <c r="I342" s="122" t="s">
        <v>676</v>
      </c>
      <c r="J342" s="122" t="s">
        <v>935</v>
      </c>
      <c r="K342" s="32" t="s">
        <v>707</v>
      </c>
      <c r="L342" s="116"/>
      <c r="M342" s="116"/>
      <c r="N342" s="54"/>
      <c r="O342" s="130"/>
      <c r="P342" s="32"/>
      <c r="Q342" s="32"/>
    </row>
    <row r="343" spans="1:17" s="30" customFormat="1" ht="33.75">
      <c r="A343" s="43"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101-18-7</v>
      </c>
      <c r="B343" s="214"/>
      <c r="C343" s="210"/>
      <c r="D343" s="207"/>
      <c r="E343" s="207"/>
      <c r="F343" s="244"/>
      <c r="G343" s="32"/>
      <c r="H343" s="122" t="s">
        <v>648</v>
      </c>
      <c r="I343" s="122" t="s">
        <v>676</v>
      </c>
      <c r="J343" s="122" t="s">
        <v>935</v>
      </c>
      <c r="K343" s="32" t="s">
        <v>708</v>
      </c>
      <c r="L343" s="116"/>
      <c r="M343" s="116"/>
      <c r="N343" s="54"/>
      <c r="O343" s="130"/>
      <c r="P343" s="32"/>
      <c r="Q343" s="32"/>
    </row>
    <row r="344" spans="1:17" s="30" customFormat="1" ht="33.75">
      <c r="A344" s="43"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101-18-8</v>
      </c>
      <c r="B344" s="214"/>
      <c r="C344" s="210"/>
      <c r="D344" s="207"/>
      <c r="E344" s="207"/>
      <c r="F344" s="244"/>
      <c r="G344" s="32"/>
      <c r="H344" s="122" t="s">
        <v>648</v>
      </c>
      <c r="I344" s="122" t="s">
        <v>676</v>
      </c>
      <c r="J344" s="122" t="s">
        <v>935</v>
      </c>
      <c r="K344" s="32" t="s">
        <v>709</v>
      </c>
      <c r="L344" s="116"/>
      <c r="M344" s="116"/>
      <c r="N344" s="54"/>
      <c r="O344" s="130"/>
      <c r="P344" s="32"/>
      <c r="Q344" s="32"/>
    </row>
    <row r="345" spans="1:17" s="30" customFormat="1" ht="33.75">
      <c r="A345" s="43"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101-18-9</v>
      </c>
      <c r="B345" s="214"/>
      <c r="C345" s="210"/>
      <c r="D345" s="207"/>
      <c r="E345" s="207"/>
      <c r="F345" s="244"/>
      <c r="G345" s="32"/>
      <c r="H345" s="122" t="s">
        <v>648</v>
      </c>
      <c r="I345" s="122" t="s">
        <v>676</v>
      </c>
      <c r="J345" s="122" t="s">
        <v>935</v>
      </c>
      <c r="K345" s="32" t="s">
        <v>710</v>
      </c>
      <c r="L345" s="116"/>
      <c r="M345" s="116"/>
      <c r="N345" s="54"/>
      <c r="O345" s="130"/>
      <c r="P345" s="32"/>
      <c r="Q345" s="32"/>
    </row>
    <row r="346" spans="1:17" s="30" customFormat="1" ht="33.75">
      <c r="A346" s="43"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101-18-10</v>
      </c>
      <c r="B346" s="214"/>
      <c r="C346" s="210"/>
      <c r="D346" s="207"/>
      <c r="E346" s="207"/>
      <c r="F346" s="244"/>
      <c r="G346" s="32"/>
      <c r="H346" s="122" t="s">
        <v>648</v>
      </c>
      <c r="I346" s="122" t="s">
        <v>676</v>
      </c>
      <c r="J346" s="122" t="s">
        <v>935</v>
      </c>
      <c r="K346" s="32" t="s">
        <v>711</v>
      </c>
      <c r="L346" s="116"/>
      <c r="M346" s="116"/>
      <c r="N346" s="54"/>
      <c r="O346" s="130"/>
      <c r="P346" s="32"/>
      <c r="Q346" s="32"/>
    </row>
    <row r="347" spans="1:17" s="30" customFormat="1" ht="33.75">
      <c r="A347" s="43"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101-18-11</v>
      </c>
      <c r="B347" s="214"/>
      <c r="C347" s="210"/>
      <c r="D347" s="207"/>
      <c r="E347" s="207"/>
      <c r="F347" s="244"/>
      <c r="G347" s="32"/>
      <c r="H347" s="122" t="s">
        <v>648</v>
      </c>
      <c r="I347" s="122" t="s">
        <v>676</v>
      </c>
      <c r="J347" s="122" t="s">
        <v>935</v>
      </c>
      <c r="K347" s="32" t="s">
        <v>712</v>
      </c>
      <c r="L347" s="116"/>
      <c r="M347" s="116"/>
      <c r="N347" s="54"/>
      <c r="O347" s="130"/>
      <c r="P347" s="32"/>
      <c r="Q347" s="32"/>
    </row>
    <row r="348" spans="1:17" s="30" customFormat="1" ht="33.75">
      <c r="A348" s="43"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101-18-12</v>
      </c>
      <c r="B348" s="214"/>
      <c r="C348" s="210"/>
      <c r="D348" s="207"/>
      <c r="E348" s="207"/>
      <c r="F348" s="239"/>
      <c r="G348" s="32"/>
      <c r="H348" s="122" t="s">
        <v>648</v>
      </c>
      <c r="I348" s="122" t="s">
        <v>676</v>
      </c>
      <c r="J348" s="122" t="s">
        <v>935</v>
      </c>
      <c r="K348" s="32" t="s">
        <v>713</v>
      </c>
      <c r="L348" s="116"/>
      <c r="M348" s="116"/>
      <c r="N348" s="54"/>
      <c r="O348" s="130"/>
      <c r="P348" s="32"/>
      <c r="Q348" s="32"/>
    </row>
    <row r="349" spans="1:17" s="30" customFormat="1" ht="22.5">
      <c r="A349" s="43"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101-19-1</v>
      </c>
      <c r="B349" s="214"/>
      <c r="C349" s="210"/>
      <c r="D349" s="207"/>
      <c r="E349" s="207"/>
      <c r="F349" s="60" t="s">
        <v>434</v>
      </c>
      <c r="G349" s="32"/>
      <c r="H349" s="122" t="s">
        <v>648</v>
      </c>
      <c r="I349" s="122" t="s">
        <v>714</v>
      </c>
      <c r="J349" s="122" t="s">
        <v>935</v>
      </c>
      <c r="K349" s="32" t="s">
        <v>715</v>
      </c>
      <c r="L349" s="116"/>
      <c r="M349" s="116"/>
      <c r="N349" s="54"/>
      <c r="O349" s="130"/>
      <c r="P349" s="32"/>
      <c r="Q349" s="32"/>
    </row>
    <row r="350" spans="1:17" s="30" customFormat="1" ht="22.5">
      <c r="A350" s="43"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101-19-2</v>
      </c>
      <c r="B350" s="214"/>
      <c r="C350" s="210"/>
      <c r="D350" s="207"/>
      <c r="E350" s="207"/>
      <c r="F350" s="244"/>
      <c r="G350" s="32"/>
      <c r="H350" s="122" t="s">
        <v>648</v>
      </c>
      <c r="I350" s="122" t="s">
        <v>714</v>
      </c>
      <c r="J350" s="122" t="s">
        <v>935</v>
      </c>
      <c r="K350" s="32" t="s">
        <v>716</v>
      </c>
      <c r="L350" s="116"/>
      <c r="M350" s="116"/>
      <c r="N350" s="54"/>
      <c r="O350" s="130"/>
      <c r="P350" s="32"/>
      <c r="Q350" s="32"/>
    </row>
    <row r="351" spans="1:17" s="30" customFormat="1" ht="22.5">
      <c r="A351" s="43"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101-19-3</v>
      </c>
      <c r="B351" s="214"/>
      <c r="C351" s="210"/>
      <c r="D351" s="207"/>
      <c r="E351" s="207"/>
      <c r="F351" s="244"/>
      <c r="G351" s="32"/>
      <c r="H351" s="122" t="s">
        <v>648</v>
      </c>
      <c r="I351" s="122" t="s">
        <v>714</v>
      </c>
      <c r="J351" s="122" t="s">
        <v>935</v>
      </c>
      <c r="K351" s="32" t="s">
        <v>717</v>
      </c>
      <c r="L351" s="116"/>
      <c r="M351" s="116"/>
      <c r="N351" s="54"/>
      <c r="O351" s="130"/>
      <c r="P351" s="32"/>
      <c r="Q351" s="32"/>
    </row>
    <row r="352" spans="1:17" s="30" customFormat="1" ht="22.5">
      <c r="A352" s="43"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101-19-4</v>
      </c>
      <c r="B352" s="214"/>
      <c r="C352" s="210"/>
      <c r="D352" s="207"/>
      <c r="E352" s="207"/>
      <c r="F352" s="244"/>
      <c r="G352" s="32"/>
      <c r="H352" s="122" t="s">
        <v>648</v>
      </c>
      <c r="I352" s="122" t="s">
        <v>714</v>
      </c>
      <c r="J352" s="122" t="s">
        <v>935</v>
      </c>
      <c r="K352" s="32" t="s">
        <v>718</v>
      </c>
      <c r="L352" s="116"/>
      <c r="M352" s="116"/>
      <c r="N352" s="54"/>
      <c r="O352" s="130"/>
      <c r="P352" s="32"/>
      <c r="Q352" s="32"/>
    </row>
    <row r="353" spans="1:17" s="30" customFormat="1" ht="22.5">
      <c r="A353" s="43"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101-19-5</v>
      </c>
      <c r="B353" s="214"/>
      <c r="C353" s="210"/>
      <c r="D353" s="207"/>
      <c r="E353" s="207"/>
      <c r="F353" s="244"/>
      <c r="G353" s="32"/>
      <c r="H353" s="122" t="s">
        <v>648</v>
      </c>
      <c r="I353" s="122" t="s">
        <v>714</v>
      </c>
      <c r="J353" s="122" t="s">
        <v>935</v>
      </c>
      <c r="K353" s="32" t="s">
        <v>719</v>
      </c>
      <c r="L353" s="116"/>
      <c r="M353" s="116"/>
      <c r="N353" s="54"/>
      <c r="O353" s="130"/>
      <c r="P353" s="32"/>
      <c r="Q353" s="32"/>
    </row>
    <row r="354" spans="1:17" s="30" customFormat="1" ht="22.5">
      <c r="A354" s="43"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101-19-6</v>
      </c>
      <c r="B354" s="214"/>
      <c r="C354" s="210"/>
      <c r="D354" s="207"/>
      <c r="E354" s="207"/>
      <c r="F354" s="244"/>
      <c r="G354" s="32"/>
      <c r="H354" s="122" t="s">
        <v>648</v>
      </c>
      <c r="I354" s="122" t="s">
        <v>714</v>
      </c>
      <c r="J354" s="122" t="s">
        <v>935</v>
      </c>
      <c r="K354" s="32" t="s">
        <v>720</v>
      </c>
      <c r="L354" s="116"/>
      <c r="M354" s="116"/>
      <c r="N354" s="54"/>
      <c r="O354" s="130"/>
      <c r="P354" s="32"/>
      <c r="Q354" s="32"/>
    </row>
    <row r="355" spans="1:17" s="30" customFormat="1" ht="22.5">
      <c r="A355" s="43"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101-19-7</v>
      </c>
      <c r="B355" s="214"/>
      <c r="C355" s="210"/>
      <c r="D355" s="207"/>
      <c r="E355" s="207"/>
      <c r="F355" s="244"/>
      <c r="G355" s="32"/>
      <c r="H355" s="122" t="s">
        <v>648</v>
      </c>
      <c r="I355" s="122" t="s">
        <v>714</v>
      </c>
      <c r="J355" s="122" t="s">
        <v>935</v>
      </c>
      <c r="K355" s="32" t="s">
        <v>721</v>
      </c>
      <c r="L355" s="116"/>
      <c r="M355" s="116"/>
      <c r="N355" s="54"/>
      <c r="O355" s="130"/>
      <c r="P355" s="32"/>
      <c r="Q355" s="32"/>
    </row>
    <row r="356" spans="1:17" s="30" customFormat="1" ht="22.5">
      <c r="A356" s="43"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101-19-8</v>
      </c>
      <c r="B356" s="214"/>
      <c r="C356" s="210"/>
      <c r="D356" s="207"/>
      <c r="E356" s="207"/>
      <c r="F356" s="244"/>
      <c r="G356" s="32"/>
      <c r="H356" s="122" t="s">
        <v>648</v>
      </c>
      <c r="I356" s="122" t="s">
        <v>714</v>
      </c>
      <c r="J356" s="122" t="s">
        <v>935</v>
      </c>
      <c r="K356" s="32" t="s">
        <v>722</v>
      </c>
      <c r="L356" s="116"/>
      <c r="M356" s="116"/>
      <c r="N356" s="54"/>
      <c r="O356" s="130"/>
      <c r="P356" s="32"/>
      <c r="Q356" s="32"/>
    </row>
    <row r="357" spans="1:17" s="30" customFormat="1" ht="22.5">
      <c r="A357" s="43"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101-19-9</v>
      </c>
      <c r="B357" s="214"/>
      <c r="C357" s="210"/>
      <c r="D357" s="207"/>
      <c r="E357" s="207"/>
      <c r="F357" s="244"/>
      <c r="G357" s="32"/>
      <c r="H357" s="122" t="s">
        <v>648</v>
      </c>
      <c r="I357" s="122" t="s">
        <v>714</v>
      </c>
      <c r="J357" s="122" t="s">
        <v>935</v>
      </c>
      <c r="K357" s="32" t="s">
        <v>723</v>
      </c>
      <c r="L357" s="116"/>
      <c r="M357" s="116"/>
      <c r="N357" s="54"/>
      <c r="O357" s="130"/>
      <c r="P357" s="32"/>
      <c r="Q357" s="32"/>
    </row>
    <row r="358" spans="1:17" s="30" customFormat="1" ht="22.5">
      <c r="A358" s="43"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101-19-10</v>
      </c>
      <c r="B358" s="214"/>
      <c r="C358" s="210"/>
      <c r="D358" s="207"/>
      <c r="E358" s="207"/>
      <c r="F358" s="244"/>
      <c r="G358" s="32"/>
      <c r="H358" s="122" t="s">
        <v>648</v>
      </c>
      <c r="I358" s="122" t="s">
        <v>714</v>
      </c>
      <c r="J358" s="122" t="s">
        <v>935</v>
      </c>
      <c r="K358" s="32" t="s">
        <v>724</v>
      </c>
      <c r="L358" s="116"/>
      <c r="M358" s="116"/>
      <c r="N358" s="54"/>
      <c r="O358" s="130"/>
      <c r="P358" s="32"/>
      <c r="Q358" s="32"/>
    </row>
    <row r="359" spans="1:17" s="30" customFormat="1" ht="22.5">
      <c r="A359" s="43"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101-19-11</v>
      </c>
      <c r="B359" s="214"/>
      <c r="C359" s="210"/>
      <c r="D359" s="207"/>
      <c r="E359" s="207"/>
      <c r="F359" s="239"/>
      <c r="G359" s="32"/>
      <c r="H359" s="122" t="s">
        <v>648</v>
      </c>
      <c r="I359" s="122" t="s">
        <v>714</v>
      </c>
      <c r="J359" s="122" t="s">
        <v>935</v>
      </c>
      <c r="K359" s="32" t="s">
        <v>725</v>
      </c>
      <c r="L359" s="116"/>
      <c r="M359" s="116"/>
      <c r="N359" s="54"/>
      <c r="O359" s="130"/>
      <c r="P359" s="32"/>
      <c r="Q359" s="32"/>
    </row>
    <row r="360" spans="1:17" s="30" customFormat="1" ht="22.5">
      <c r="A360" s="43"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101-20-1</v>
      </c>
      <c r="B360" s="214"/>
      <c r="C360" s="210"/>
      <c r="D360" s="207"/>
      <c r="E360" s="207"/>
      <c r="F360" s="94" t="s">
        <v>435</v>
      </c>
      <c r="G360" s="80"/>
      <c r="H360" s="127"/>
      <c r="I360" s="127"/>
      <c r="J360" s="80" t="s">
        <v>726</v>
      </c>
      <c r="K360" s="123"/>
      <c r="L360" s="96"/>
      <c r="M360" s="96"/>
      <c r="N360" s="96"/>
      <c r="O360" s="126"/>
      <c r="P360" s="80"/>
      <c r="Q360" s="80"/>
    </row>
    <row r="361" spans="1:17" s="30" customFormat="1" ht="22.5">
      <c r="A361" s="43"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101-21-1</v>
      </c>
      <c r="B361" s="214"/>
      <c r="C361" s="210"/>
      <c r="D361" s="207"/>
      <c r="E361" s="207"/>
      <c r="F361" s="94" t="s">
        <v>436</v>
      </c>
      <c r="G361" s="80" t="s">
        <v>618</v>
      </c>
      <c r="H361" s="127"/>
      <c r="I361" s="80"/>
      <c r="J361" s="80"/>
      <c r="K361" s="123"/>
      <c r="L361" s="96"/>
      <c r="M361" s="96"/>
      <c r="N361" s="96"/>
      <c r="O361" s="126"/>
      <c r="P361" s="80"/>
      <c r="Q361" s="80"/>
    </row>
    <row r="362" spans="1:17" s="30" customFormat="1" ht="22.5">
      <c r="A362" s="43"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102-1-1</v>
      </c>
      <c r="B362" s="214"/>
      <c r="C362" s="207"/>
      <c r="D362" s="207"/>
      <c r="E362" s="195" t="s">
        <v>437</v>
      </c>
      <c r="F362" s="94" t="s">
        <v>438</v>
      </c>
      <c r="G362" s="80"/>
      <c r="H362" s="127"/>
      <c r="I362" s="80"/>
      <c r="J362" s="80" t="s">
        <v>727</v>
      </c>
      <c r="K362" s="123"/>
      <c r="L362" s="96"/>
      <c r="M362" s="96"/>
      <c r="N362" s="96"/>
      <c r="O362" s="126"/>
      <c r="P362" s="80"/>
      <c r="Q362" s="80"/>
    </row>
    <row r="363" spans="1:17" s="30" customFormat="1" ht="22.5">
      <c r="A363" s="43"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102-2-1</v>
      </c>
      <c r="B363" s="214"/>
      <c r="C363" s="210"/>
      <c r="D363" s="207"/>
      <c r="E363" s="198"/>
      <c r="F363" s="94" t="s">
        <v>439</v>
      </c>
      <c r="G363" s="80"/>
      <c r="H363" s="127"/>
      <c r="I363" s="80"/>
      <c r="J363" s="80" t="s">
        <v>727</v>
      </c>
      <c r="K363" s="123"/>
      <c r="L363" s="96"/>
      <c r="M363" s="96"/>
      <c r="N363" s="96"/>
      <c r="O363" s="126"/>
      <c r="P363" s="80"/>
      <c r="Q363" s="80"/>
    </row>
    <row r="364" spans="1:17" ht="22.5">
      <c r="A364" s="43"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103-1-1</v>
      </c>
      <c r="B364" s="214"/>
      <c r="C364" s="210"/>
      <c r="D364" s="207"/>
      <c r="E364" s="196" t="s">
        <v>440</v>
      </c>
      <c r="F364" s="94" t="s">
        <v>441</v>
      </c>
      <c r="G364" s="94"/>
      <c r="H364" s="127"/>
      <c r="I364" s="127"/>
      <c r="J364" s="96" t="s">
        <v>728</v>
      </c>
      <c r="K364" s="245"/>
      <c r="L364" s="127"/>
      <c r="M364" s="96"/>
      <c r="N364" s="97"/>
      <c r="O364" s="126"/>
      <c r="P364" s="126"/>
      <c r="Q364" s="126"/>
    </row>
    <row r="365" spans="1:17" ht="22.5">
      <c r="A365" s="43"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103-2-1</v>
      </c>
      <c r="B365" s="214"/>
      <c r="C365" s="210"/>
      <c r="D365" s="207"/>
      <c r="E365" s="196"/>
      <c r="F365" s="94" t="s">
        <v>442</v>
      </c>
      <c r="G365" s="94"/>
      <c r="H365" s="127"/>
      <c r="I365" s="127"/>
      <c r="J365" s="96" t="s">
        <v>728</v>
      </c>
      <c r="K365" s="245"/>
      <c r="L365" s="127"/>
      <c r="M365" s="96"/>
      <c r="N365" s="97"/>
      <c r="O365" s="126"/>
      <c r="P365" s="126"/>
      <c r="Q365" s="126"/>
    </row>
    <row r="366" spans="1:17" s="30" customFormat="1" ht="22.5">
      <c r="A366" s="43"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104-1-1</v>
      </c>
      <c r="B366" s="214"/>
      <c r="C366" s="210"/>
      <c r="D366" s="207"/>
      <c r="E366" s="126" t="s">
        <v>443</v>
      </c>
      <c r="F366" s="94" t="s">
        <v>444</v>
      </c>
      <c r="G366" s="80"/>
      <c r="H366" s="127"/>
      <c r="I366" s="80"/>
      <c r="J366" s="96" t="s">
        <v>729</v>
      </c>
      <c r="K366" s="123"/>
      <c r="L366" s="96"/>
      <c r="M366" s="96"/>
      <c r="N366" s="96"/>
      <c r="O366" s="126"/>
      <c r="P366" s="80"/>
      <c r="Q366" s="80"/>
    </row>
    <row r="367" spans="1:17" s="30" customFormat="1" ht="67.5">
      <c r="A367" s="43"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105-1-1</v>
      </c>
      <c r="B367" s="214"/>
      <c r="C367" s="210"/>
      <c r="D367" s="207"/>
      <c r="E367" s="207" t="s">
        <v>496</v>
      </c>
      <c r="F367" s="60" t="s">
        <v>445</v>
      </c>
      <c r="G367" s="32"/>
      <c r="H367" s="122" t="s">
        <v>731</v>
      </c>
      <c r="I367" s="122" t="s">
        <v>732</v>
      </c>
      <c r="J367" s="122" t="s">
        <v>936</v>
      </c>
      <c r="K367" s="32" t="s">
        <v>733</v>
      </c>
      <c r="L367" s="116"/>
      <c r="M367" s="116"/>
      <c r="N367" s="54"/>
      <c r="O367" s="130"/>
      <c r="P367" s="32"/>
      <c r="Q367" s="32"/>
    </row>
    <row r="368" spans="1:17" s="30" customFormat="1" ht="67.5">
      <c r="A368" s="43"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105-1-2</v>
      </c>
      <c r="B368" s="214"/>
      <c r="C368" s="210"/>
      <c r="D368" s="207"/>
      <c r="E368" s="207"/>
      <c r="F368" s="244"/>
      <c r="G368" s="32"/>
      <c r="H368" s="122" t="s">
        <v>731</v>
      </c>
      <c r="I368" s="122" t="s">
        <v>732</v>
      </c>
      <c r="J368" s="122" t="s">
        <v>937</v>
      </c>
      <c r="K368" s="32" t="s">
        <v>733</v>
      </c>
      <c r="L368" s="116"/>
      <c r="M368" s="116"/>
      <c r="N368" s="54"/>
      <c r="O368" s="130"/>
      <c r="P368" s="32"/>
      <c r="Q368" s="32"/>
    </row>
    <row r="369" spans="1:17" s="30" customFormat="1" ht="67.5">
      <c r="A369" s="43"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105-1-3</v>
      </c>
      <c r="B369" s="214"/>
      <c r="C369" s="210"/>
      <c r="D369" s="207"/>
      <c r="E369" s="207"/>
      <c r="F369" s="244"/>
      <c r="G369" s="32"/>
      <c r="H369" s="122" t="s">
        <v>731</v>
      </c>
      <c r="I369" s="122" t="s">
        <v>732</v>
      </c>
      <c r="J369" s="122" t="s">
        <v>938</v>
      </c>
      <c r="K369" s="32" t="s">
        <v>1031</v>
      </c>
      <c r="L369" s="116"/>
      <c r="M369" s="116"/>
      <c r="N369" s="54"/>
      <c r="O369" s="130"/>
      <c r="P369" s="32"/>
      <c r="Q369" s="32"/>
    </row>
    <row r="370" spans="1:17" s="30" customFormat="1" ht="67.5">
      <c r="A370" s="43"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105-1-4</v>
      </c>
      <c r="B370" s="214"/>
      <c r="C370" s="210"/>
      <c r="D370" s="207"/>
      <c r="E370" s="207"/>
      <c r="F370" s="244"/>
      <c r="G370" s="32"/>
      <c r="H370" s="122" t="s">
        <v>731</v>
      </c>
      <c r="I370" s="122" t="s">
        <v>732</v>
      </c>
      <c r="J370" s="122" t="s">
        <v>939</v>
      </c>
      <c r="K370" s="32" t="s">
        <v>733</v>
      </c>
      <c r="L370" s="116"/>
      <c r="M370" s="116"/>
      <c r="N370" s="54"/>
      <c r="O370" s="130"/>
      <c r="P370" s="32"/>
      <c r="Q370" s="32"/>
    </row>
    <row r="371" spans="1:17" s="30" customFormat="1" ht="67.5">
      <c r="A371" s="43"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105-1-5</v>
      </c>
      <c r="B371" s="214"/>
      <c r="C371" s="210"/>
      <c r="D371" s="207"/>
      <c r="E371" s="207"/>
      <c r="F371" s="244"/>
      <c r="G371" s="32"/>
      <c r="H371" s="122" t="s">
        <v>731</v>
      </c>
      <c r="I371" s="122" t="s">
        <v>732</v>
      </c>
      <c r="J371" s="122" t="s">
        <v>940</v>
      </c>
      <c r="K371" s="32" t="s">
        <v>733</v>
      </c>
      <c r="L371" s="116"/>
      <c r="M371" s="116"/>
      <c r="N371" s="54"/>
      <c r="O371" s="130"/>
      <c r="P371" s="32"/>
      <c r="Q371" s="32"/>
    </row>
    <row r="372" spans="1:17" s="30" customFormat="1" ht="67.5">
      <c r="A372" s="43"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105-1-6</v>
      </c>
      <c r="B372" s="214"/>
      <c r="C372" s="210"/>
      <c r="D372" s="207"/>
      <c r="E372" s="207"/>
      <c r="F372" s="244"/>
      <c r="G372" s="32"/>
      <c r="H372" s="122" t="s">
        <v>731</v>
      </c>
      <c r="I372" s="122" t="s">
        <v>732</v>
      </c>
      <c r="J372" s="122" t="s">
        <v>941</v>
      </c>
      <c r="K372" s="32" t="s">
        <v>1038</v>
      </c>
      <c r="L372" s="116"/>
      <c r="M372" s="116"/>
      <c r="N372" s="54"/>
      <c r="O372" s="130"/>
      <c r="P372" s="32"/>
      <c r="Q372" s="32"/>
    </row>
    <row r="373" spans="1:17" s="30" customFormat="1" ht="67.5">
      <c r="A373" s="43"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105-1-7</v>
      </c>
      <c r="B373" s="214"/>
      <c r="C373" s="210"/>
      <c r="D373" s="207"/>
      <c r="E373" s="207"/>
      <c r="F373" s="244"/>
      <c r="G373" s="32"/>
      <c r="H373" s="122" t="s">
        <v>731</v>
      </c>
      <c r="I373" s="122" t="s">
        <v>732</v>
      </c>
      <c r="J373" s="122" t="s">
        <v>942</v>
      </c>
      <c r="K373" s="32" t="s">
        <v>734</v>
      </c>
      <c r="L373" s="116"/>
      <c r="M373" s="116"/>
      <c r="N373" s="54"/>
      <c r="O373" s="130"/>
      <c r="P373" s="32"/>
      <c r="Q373" s="32"/>
    </row>
    <row r="374" spans="1:17" s="30" customFormat="1" ht="67.5">
      <c r="A374" s="43"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105-1-8</v>
      </c>
      <c r="B374" s="214"/>
      <c r="C374" s="210"/>
      <c r="D374" s="207"/>
      <c r="E374" s="207"/>
      <c r="F374" s="244"/>
      <c r="G374" s="32"/>
      <c r="H374" s="122" t="s">
        <v>731</v>
      </c>
      <c r="I374" s="122" t="s">
        <v>732</v>
      </c>
      <c r="J374" s="122" t="s">
        <v>943</v>
      </c>
      <c r="K374" s="32" t="s">
        <v>734</v>
      </c>
      <c r="L374" s="116"/>
      <c r="M374" s="116"/>
      <c r="N374" s="54"/>
      <c r="O374" s="130"/>
      <c r="P374" s="32"/>
      <c r="Q374" s="32"/>
    </row>
    <row r="375" spans="1:17" s="30" customFormat="1" ht="67.5">
      <c r="A375" s="43"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105-1-9</v>
      </c>
      <c r="B375" s="214"/>
      <c r="C375" s="210"/>
      <c r="D375" s="207"/>
      <c r="E375" s="207"/>
      <c r="F375" s="244"/>
      <c r="G375" s="32"/>
      <c r="H375" s="122" t="s">
        <v>731</v>
      </c>
      <c r="I375" s="122" t="s">
        <v>732</v>
      </c>
      <c r="J375" s="122" t="s">
        <v>944</v>
      </c>
      <c r="K375" s="32" t="s">
        <v>735</v>
      </c>
      <c r="L375" s="116"/>
      <c r="M375" s="116"/>
      <c r="N375" s="54"/>
      <c r="O375" s="130"/>
      <c r="P375" s="32"/>
      <c r="Q375" s="32"/>
    </row>
    <row r="376" spans="1:17" s="30" customFormat="1" ht="67.5">
      <c r="A376" s="43"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105-1-10</v>
      </c>
      <c r="B376" s="214"/>
      <c r="C376" s="210"/>
      <c r="D376" s="207"/>
      <c r="E376" s="207"/>
      <c r="F376" s="244"/>
      <c r="G376" s="32"/>
      <c r="H376" s="122" t="s">
        <v>731</v>
      </c>
      <c r="I376" s="122" t="s">
        <v>732</v>
      </c>
      <c r="J376" s="122" t="s">
        <v>945</v>
      </c>
      <c r="K376" s="32" t="s">
        <v>733</v>
      </c>
      <c r="L376" s="116"/>
      <c r="M376" s="116"/>
      <c r="N376" s="54"/>
      <c r="O376" s="130"/>
      <c r="P376" s="32"/>
      <c r="Q376" s="32"/>
    </row>
    <row r="377" spans="1:17" s="30" customFormat="1" ht="67.5">
      <c r="A377" s="43"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105-1-11</v>
      </c>
      <c r="B377" s="214"/>
      <c r="C377" s="210"/>
      <c r="D377" s="207"/>
      <c r="E377" s="207"/>
      <c r="F377" s="244"/>
      <c r="G377" s="32"/>
      <c r="H377" s="122" t="s">
        <v>731</v>
      </c>
      <c r="I377" s="122" t="s">
        <v>732</v>
      </c>
      <c r="J377" s="122" t="s">
        <v>946</v>
      </c>
      <c r="K377" s="32" t="s">
        <v>733</v>
      </c>
      <c r="L377" s="116"/>
      <c r="M377" s="116"/>
      <c r="N377" s="54"/>
      <c r="O377" s="130"/>
      <c r="P377" s="32"/>
      <c r="Q377" s="32"/>
    </row>
    <row r="378" spans="1:17" s="30" customFormat="1" ht="67.5">
      <c r="A378" s="43"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105-1-12</v>
      </c>
      <c r="B378" s="214"/>
      <c r="C378" s="210"/>
      <c r="D378" s="207"/>
      <c r="E378" s="207"/>
      <c r="F378" s="239"/>
      <c r="G378" s="32"/>
      <c r="H378" s="122" t="s">
        <v>731</v>
      </c>
      <c r="I378" s="122" t="s">
        <v>732</v>
      </c>
      <c r="J378" s="122" t="s">
        <v>947</v>
      </c>
      <c r="K378" s="32" t="s">
        <v>736</v>
      </c>
      <c r="L378" s="116"/>
      <c r="M378" s="116"/>
      <c r="N378" s="54"/>
      <c r="O378" s="130"/>
      <c r="P378" s="32"/>
      <c r="Q378" s="32"/>
    </row>
    <row r="379" spans="1:17" ht="22.5">
      <c r="A379" s="43"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105-2-1</v>
      </c>
      <c r="B379" s="214"/>
      <c r="C379" s="210"/>
      <c r="D379" s="207"/>
      <c r="E379" s="207"/>
      <c r="F379" s="94" t="s">
        <v>446</v>
      </c>
      <c r="G379" s="95"/>
      <c r="H379" s="127"/>
      <c r="I379" s="127"/>
      <c r="J379" s="127" t="s">
        <v>737</v>
      </c>
      <c r="K379" s="80"/>
      <c r="L379" s="96"/>
      <c r="M379" s="96"/>
      <c r="N379" s="96"/>
      <c r="O379" s="126"/>
      <c r="P379" s="97"/>
      <c r="Q379" s="97"/>
    </row>
    <row r="380" spans="1:17" ht="67.5">
      <c r="A380" s="43"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105-3-1</v>
      </c>
      <c r="B380" s="214"/>
      <c r="C380" s="210"/>
      <c r="D380" s="207"/>
      <c r="E380" s="207"/>
      <c r="F380" s="61" t="s">
        <v>447</v>
      </c>
      <c r="G380" s="71"/>
      <c r="H380" s="116" t="s">
        <v>731</v>
      </c>
      <c r="I380" s="116" t="s">
        <v>732</v>
      </c>
      <c r="J380" s="78" t="s">
        <v>970</v>
      </c>
      <c r="K380" s="78" t="s">
        <v>738</v>
      </c>
      <c r="L380" s="116"/>
      <c r="M380" s="116"/>
      <c r="N380" s="54"/>
      <c r="O380" s="130"/>
      <c r="P380" s="78"/>
      <c r="Q380" s="78"/>
    </row>
    <row r="381" spans="1:17" ht="45">
      <c r="A381" s="43"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105-4-1</v>
      </c>
      <c r="B381" s="214"/>
      <c r="C381" s="210"/>
      <c r="D381" s="207"/>
      <c r="E381" s="207"/>
      <c r="F381" s="94" t="s">
        <v>448</v>
      </c>
      <c r="G381" s="95"/>
      <c r="H381" s="96"/>
      <c r="I381" s="96"/>
      <c r="J381" s="97" t="s">
        <v>757</v>
      </c>
      <c r="K381" s="97"/>
      <c r="L381" s="96"/>
      <c r="M381" s="96"/>
      <c r="N381" s="96"/>
      <c r="O381" s="126"/>
      <c r="P381" s="97"/>
      <c r="Q381" s="97"/>
    </row>
    <row r="382" spans="1:17" ht="33.75">
      <c r="A382" s="43"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105-5-1</v>
      </c>
      <c r="B382" s="214"/>
      <c r="C382" s="210"/>
      <c r="D382" s="207"/>
      <c r="E382" s="207"/>
      <c r="F382" s="94" t="s">
        <v>449</v>
      </c>
      <c r="G382" s="95"/>
      <c r="H382" s="96"/>
      <c r="I382" s="96"/>
      <c r="J382" s="97" t="s">
        <v>758</v>
      </c>
      <c r="K382" s="97"/>
      <c r="L382" s="96"/>
      <c r="M382" s="96"/>
      <c r="N382" s="96"/>
      <c r="O382" s="126"/>
      <c r="P382" s="97"/>
      <c r="Q382" s="97"/>
    </row>
    <row r="383" spans="1:17" ht="45">
      <c r="A383" s="43" t="str" cm="1">
        <f t="array" aca="1" ref="A383" ca="1">_xlfn.LET(
_xlpm.詳細項目数, COUNTA($E$11:E383),
_xlpm.直近で詳細項目が空でないセルの行番号, MAX(INDEX((LEN($E$11:E383)&gt;0)*ROW($E$11:E383),0)),
_xlpm.観点数, COUNTA(INDIRECT("F"&amp;_xlpm.直近で詳細項目が空でないセルの行番号):F383),
_xlpm.直近で観点が空でないセルの行番号, MAX(INDEX((LEN($F$11:F383)&gt;0)*ROW($F$11:F383),0)),
_xlpm.テスト内容数, COUNTA(INDIRECT("J"&amp;_xlpm.直近で観点が空でないセルの行番号):J383),
_xlpm.テスト内容数_空なら1, IF(_xlpm.テスト内容数=0,1,_xlpm.テスト内容数),
_xlpm.詳細項目数&amp;"-"&amp;_xlpm.観点数&amp;"-"&amp;_xlpm.テスト内容数_空なら1
)</f>
        <v>105-6-1</v>
      </c>
      <c r="B383" s="214"/>
      <c r="C383" s="210"/>
      <c r="D383" s="207"/>
      <c r="E383" s="207"/>
      <c r="F383" s="94" t="s">
        <v>450</v>
      </c>
      <c r="G383" s="95"/>
      <c r="H383" s="96"/>
      <c r="I383" s="96"/>
      <c r="J383" s="97" t="s">
        <v>758</v>
      </c>
      <c r="K383" s="97"/>
      <c r="L383" s="96"/>
      <c r="M383" s="96"/>
      <c r="N383" s="96"/>
      <c r="O383" s="126"/>
      <c r="P383" s="97"/>
      <c r="Q383" s="97"/>
    </row>
    <row r="384" spans="1:17" ht="33.75">
      <c r="A384" s="43" t="str" cm="1">
        <f t="array" aca="1" ref="A384" ca="1">_xlfn.LET(
_xlpm.詳細項目数, COUNTA($E$11:E384),
_xlpm.直近で詳細項目が空でないセルの行番号, MAX(INDEX((LEN($E$11:E384)&gt;0)*ROW($E$11:E384),0)),
_xlpm.観点数, COUNTA(INDIRECT("F"&amp;_xlpm.直近で詳細項目が空でないセルの行番号):F384),
_xlpm.直近で観点が空でないセルの行番号, MAX(INDEX((LEN($F$11:F384)&gt;0)*ROW($F$11:F384),0)),
_xlpm.テスト内容数, COUNTA(INDIRECT("J"&amp;_xlpm.直近で観点が空でないセルの行番号):J384),
_xlpm.テスト内容数_空なら1, IF(_xlpm.テスト内容数=0,1,_xlpm.テスト内容数),
_xlpm.詳細項目数&amp;"-"&amp;_xlpm.観点数&amp;"-"&amp;_xlpm.テスト内容数_空なら1
)</f>
        <v>105-7-1</v>
      </c>
      <c r="B384" s="214"/>
      <c r="C384" s="210"/>
      <c r="D384" s="207"/>
      <c r="E384" s="207"/>
      <c r="F384" s="94" t="s">
        <v>451</v>
      </c>
      <c r="G384" s="95"/>
      <c r="H384" s="96"/>
      <c r="I384" s="96"/>
      <c r="J384" s="97" t="s">
        <v>759</v>
      </c>
      <c r="K384" s="97"/>
      <c r="L384" s="96"/>
      <c r="M384" s="96"/>
      <c r="N384" s="96"/>
      <c r="O384" s="126"/>
      <c r="P384" s="97"/>
      <c r="Q384" s="97"/>
    </row>
    <row r="385" spans="1:17" ht="45">
      <c r="A385" s="43" t="str" cm="1">
        <f t="array" aca="1" ref="A385" ca="1">_xlfn.LET(
_xlpm.詳細項目数, COUNTA($E$11:E385),
_xlpm.直近で詳細項目が空でないセルの行番号, MAX(INDEX((LEN($E$11:E385)&gt;0)*ROW($E$11:E385),0)),
_xlpm.観点数, COUNTA(INDIRECT("F"&amp;_xlpm.直近で詳細項目が空でないセルの行番号):F385),
_xlpm.直近で観点が空でないセルの行番号, MAX(INDEX((LEN($F$11:F385)&gt;0)*ROW($F$11:F385),0)),
_xlpm.テスト内容数, COUNTA(INDIRECT("J"&amp;_xlpm.直近で観点が空でないセルの行番号):J385),
_xlpm.テスト内容数_空なら1, IF(_xlpm.テスト内容数=0,1,_xlpm.テスト内容数),
_xlpm.詳細項目数&amp;"-"&amp;_xlpm.観点数&amp;"-"&amp;_xlpm.テスト内容数_空なら1
)</f>
        <v>105-8-1</v>
      </c>
      <c r="B385" s="214"/>
      <c r="C385" s="210"/>
      <c r="D385" s="207"/>
      <c r="E385" s="207"/>
      <c r="F385" s="94" t="s">
        <v>452</v>
      </c>
      <c r="G385" s="95"/>
      <c r="H385" s="96"/>
      <c r="I385" s="96"/>
      <c r="J385" s="97" t="s">
        <v>759</v>
      </c>
      <c r="K385" s="97"/>
      <c r="L385" s="96"/>
      <c r="M385" s="96"/>
      <c r="N385" s="96"/>
      <c r="O385" s="126"/>
      <c r="P385" s="97"/>
      <c r="Q385" s="97"/>
    </row>
    <row r="386" spans="1:17" ht="33.75">
      <c r="A386" s="43" t="str" cm="1">
        <f t="array" aca="1" ref="A386" ca="1">_xlfn.LET(
_xlpm.詳細項目数, COUNTA($E$11:E386),
_xlpm.直近で詳細項目が空でないセルの行番号, MAX(INDEX((LEN($E$11:E386)&gt;0)*ROW($E$11:E386),0)),
_xlpm.観点数, COUNTA(INDIRECT("F"&amp;_xlpm.直近で詳細項目が空でないセルの行番号):F386),
_xlpm.直近で観点が空でないセルの行番号, MAX(INDEX((LEN($F$11:F386)&gt;0)*ROW($F$11:F386),0)),
_xlpm.テスト内容数, COUNTA(INDIRECT("J"&amp;_xlpm.直近で観点が空でないセルの行番号):J386),
_xlpm.テスト内容数_空なら1, IF(_xlpm.テスト内容数=0,1,_xlpm.テスト内容数),
_xlpm.詳細項目数&amp;"-"&amp;_xlpm.観点数&amp;"-"&amp;_xlpm.テスト内容数_空なら1
)</f>
        <v>105-9-1</v>
      </c>
      <c r="B386" s="214"/>
      <c r="C386" s="210"/>
      <c r="D386" s="207"/>
      <c r="E386" s="207"/>
      <c r="F386" s="61" t="s">
        <v>453</v>
      </c>
      <c r="G386" s="71"/>
      <c r="H386" s="116" t="s">
        <v>660</v>
      </c>
      <c r="I386" s="116" t="s">
        <v>730</v>
      </c>
      <c r="J386" s="117" t="s">
        <v>1017</v>
      </c>
      <c r="K386" s="78" t="s">
        <v>739</v>
      </c>
      <c r="L386" s="116"/>
      <c r="M386" s="116"/>
      <c r="N386" s="54"/>
      <c r="O386" s="130"/>
      <c r="P386" s="78"/>
      <c r="Q386" s="78"/>
    </row>
    <row r="387" spans="1:17" ht="33.75">
      <c r="A387" s="43" t="str" cm="1">
        <f t="array" aca="1" ref="A387" ca="1">_xlfn.LET(
_xlpm.詳細項目数, COUNTA($E$11:E387),
_xlpm.直近で詳細項目が空でないセルの行番号, MAX(INDEX((LEN($E$11:E387)&gt;0)*ROW($E$11:E387),0)),
_xlpm.観点数, COUNTA(INDIRECT("F"&amp;_xlpm.直近で詳細項目が空でないセルの行番号):F387),
_xlpm.直近で観点が空でないセルの行番号, MAX(INDEX((LEN($F$11:F387)&gt;0)*ROW($F$11:F387),0)),
_xlpm.テスト内容数, COUNTA(INDIRECT("J"&amp;_xlpm.直近で観点が空でないセルの行番号):J387),
_xlpm.テスト内容数_空なら1, IF(_xlpm.テスト内容数=0,1,_xlpm.テスト内容数),
_xlpm.詳細項目数&amp;"-"&amp;_xlpm.観点数&amp;"-"&amp;_xlpm.テスト内容数_空なら1
)</f>
        <v>106-1-1</v>
      </c>
      <c r="B387" s="213"/>
      <c r="C387" s="210"/>
      <c r="D387" s="207"/>
      <c r="E387" s="130" t="s">
        <v>497</v>
      </c>
      <c r="F387" s="61" t="s">
        <v>454</v>
      </c>
      <c r="G387" s="71"/>
      <c r="H387" s="122" t="s">
        <v>660</v>
      </c>
      <c r="I387" s="122" t="s">
        <v>740</v>
      </c>
      <c r="J387" s="122" t="s">
        <v>935</v>
      </c>
      <c r="K387" s="32" t="s">
        <v>760</v>
      </c>
      <c r="L387" s="116"/>
      <c r="M387" s="116"/>
      <c r="N387" s="54"/>
      <c r="O387" s="130"/>
      <c r="P387" s="78"/>
      <c r="Q387" s="78"/>
    </row>
    <row r="388" spans="1:17" ht="22.5">
      <c r="A388" s="43" t="str" cm="1">
        <f t="array" aca="1" ref="A388" ca="1">_xlfn.LET(
_xlpm.詳細項目数, COUNTA($E$11:E388),
_xlpm.直近で詳細項目が空でないセルの行番号, MAX(INDEX((LEN($E$11:E388)&gt;0)*ROW($E$11:E388),0)),
_xlpm.観点数, COUNTA(INDIRECT("F"&amp;_xlpm.直近で詳細項目が空でないセルの行番号):F388),
_xlpm.直近で観点が空でないセルの行番号, MAX(INDEX((LEN($F$11:F388)&gt;0)*ROW($F$11:F388),0)),
_xlpm.テスト内容数, COUNTA(INDIRECT("J"&amp;_xlpm.直近で観点が空でないセルの行番号):J388),
_xlpm.テスト内容数_空なら1, IF(_xlpm.テスト内容数=0,1,_xlpm.テスト内容数),
_xlpm.詳細項目数&amp;"-"&amp;_xlpm.観点数&amp;"-"&amp;_xlpm.テスト内容数_空なら1
)</f>
        <v>107-1-1</v>
      </c>
      <c r="B388" s="213"/>
      <c r="C388" s="210"/>
      <c r="D388" s="211"/>
      <c r="E388" s="212" t="s">
        <v>498</v>
      </c>
      <c r="F388" s="60" t="s">
        <v>455</v>
      </c>
      <c r="G388" s="71"/>
      <c r="H388" s="122" t="s">
        <v>660</v>
      </c>
      <c r="I388" s="122" t="s">
        <v>741</v>
      </c>
      <c r="J388" s="122" t="s">
        <v>935</v>
      </c>
      <c r="K388" s="116" t="s">
        <v>742</v>
      </c>
      <c r="L388" s="116"/>
      <c r="M388" s="116"/>
      <c r="N388" s="54"/>
      <c r="O388" s="130"/>
      <c r="P388" s="78"/>
      <c r="Q388" s="78"/>
    </row>
    <row r="389" spans="1:17" ht="33.75">
      <c r="A389" s="43" t="str" cm="1">
        <f t="array" aca="1" ref="A389" ca="1">_xlfn.LET(
_xlpm.詳細項目数, COUNTA($E$11:E389),
_xlpm.直近で詳細項目が空でないセルの行番号, MAX(INDEX((LEN($E$11:E389)&gt;0)*ROW($E$11:E389),0)),
_xlpm.観点数, COUNTA(INDIRECT("F"&amp;_xlpm.直近で詳細項目が空でないセルの行番号):F389),
_xlpm.直近で観点が空でないセルの行番号, MAX(INDEX((LEN($F$11:F389)&gt;0)*ROW($F$11:F389),0)),
_xlpm.テスト内容数, COUNTA(INDIRECT("J"&amp;_xlpm.直近で観点が空でないセルの行番号):J389),
_xlpm.テスト内容数_空なら1, IF(_xlpm.テスト内容数=0,1,_xlpm.テスト内容数),
_xlpm.詳細項目数&amp;"-"&amp;_xlpm.観点数&amp;"-"&amp;_xlpm.テスト内容数_空なら1
)</f>
        <v>108-1-1</v>
      </c>
      <c r="B389" s="213"/>
      <c r="C389" s="207"/>
      <c r="D389" s="207" t="s">
        <v>456</v>
      </c>
      <c r="E389" s="212" t="s">
        <v>499</v>
      </c>
      <c r="F389" s="60" t="s">
        <v>457</v>
      </c>
      <c r="G389" s="71"/>
      <c r="H389" s="122" t="s">
        <v>743</v>
      </c>
      <c r="I389" s="122" t="s">
        <v>744</v>
      </c>
      <c r="J389" s="122" t="s">
        <v>935</v>
      </c>
      <c r="K389" s="32" t="s">
        <v>745</v>
      </c>
      <c r="L389" s="116"/>
      <c r="M389" s="116"/>
      <c r="N389" s="54"/>
      <c r="O389" s="130"/>
      <c r="P389" s="78"/>
      <c r="Q389" s="78"/>
    </row>
    <row r="390" spans="1:17" ht="33.75">
      <c r="A390" s="43" t="str" cm="1">
        <f t="array" aca="1" ref="A390" ca="1">_xlfn.LET(
_xlpm.詳細項目数, COUNTA($E$11:E390),
_xlpm.直近で詳細項目が空でないセルの行番号, MAX(INDEX((LEN($E$11:E390)&gt;0)*ROW($E$11:E390),0)),
_xlpm.観点数, COUNTA(INDIRECT("F"&amp;_xlpm.直近で詳細項目が空でないセルの行番号):F390),
_xlpm.直近で観点が空でないセルの行番号, MAX(INDEX((LEN($F$11:F390)&gt;0)*ROW($F$11:F390),0)),
_xlpm.テスト内容数, COUNTA(INDIRECT("J"&amp;_xlpm.直近で観点が空でないセルの行番号):J390),
_xlpm.テスト内容数_空なら1, IF(_xlpm.テスト内容数=0,1,_xlpm.テスト内容数),
_xlpm.詳細項目数&amp;"-"&amp;_xlpm.観点数&amp;"-"&amp;_xlpm.テスト内容数_空なら1
)</f>
        <v>108-1-2</v>
      </c>
      <c r="B390" s="213"/>
      <c r="C390" s="210"/>
      <c r="D390" s="207"/>
      <c r="E390" s="207"/>
      <c r="F390" s="244"/>
      <c r="G390" s="71"/>
      <c r="H390" s="122" t="s">
        <v>743</v>
      </c>
      <c r="I390" s="122" t="s">
        <v>744</v>
      </c>
      <c r="J390" s="122" t="s">
        <v>935</v>
      </c>
      <c r="K390" s="32" t="s">
        <v>746</v>
      </c>
      <c r="L390" s="116"/>
      <c r="M390" s="116"/>
      <c r="N390" s="54"/>
      <c r="O390" s="130"/>
      <c r="P390" s="78"/>
      <c r="Q390" s="78"/>
    </row>
    <row r="391" spans="1:17" ht="33.75">
      <c r="A391" s="43" t="str" cm="1">
        <f t="array" aca="1" ref="A391" ca="1">_xlfn.LET(
_xlpm.詳細項目数, COUNTA($E$11:E391),
_xlpm.直近で詳細項目が空でないセルの行番号, MAX(INDEX((LEN($E$11:E391)&gt;0)*ROW($E$11:E391),0)),
_xlpm.観点数, COUNTA(INDIRECT("F"&amp;_xlpm.直近で詳細項目が空でないセルの行番号):F391),
_xlpm.直近で観点が空でないセルの行番号, MAX(INDEX((LEN($F$11:F391)&gt;0)*ROW($F$11:F391),0)),
_xlpm.テスト内容数, COUNTA(INDIRECT("J"&amp;_xlpm.直近で観点が空でないセルの行番号):J391),
_xlpm.テスト内容数_空なら1, IF(_xlpm.テスト内容数=0,1,_xlpm.テスト内容数),
_xlpm.詳細項目数&amp;"-"&amp;_xlpm.観点数&amp;"-"&amp;_xlpm.テスト内容数_空なら1
)</f>
        <v>108-1-3</v>
      </c>
      <c r="B391" s="213"/>
      <c r="C391" s="210"/>
      <c r="D391" s="207"/>
      <c r="E391" s="207"/>
      <c r="F391" s="244"/>
      <c r="G391" s="71"/>
      <c r="H391" s="122" t="s">
        <v>743</v>
      </c>
      <c r="I391" s="122" t="s">
        <v>744</v>
      </c>
      <c r="J391" s="122" t="s">
        <v>935</v>
      </c>
      <c r="K391" s="32" t="s">
        <v>747</v>
      </c>
      <c r="L391" s="116"/>
      <c r="M391" s="116"/>
      <c r="N391" s="54"/>
      <c r="O391" s="130"/>
      <c r="P391" s="78"/>
      <c r="Q391" s="78"/>
    </row>
    <row r="392" spans="1:17" ht="33.75">
      <c r="A392" s="43" t="str" cm="1">
        <f t="array" aca="1" ref="A392" ca="1">_xlfn.LET(
_xlpm.詳細項目数, COUNTA($E$11:E392),
_xlpm.直近で詳細項目が空でないセルの行番号, MAX(INDEX((LEN($E$11:E392)&gt;0)*ROW($E$11:E392),0)),
_xlpm.観点数, COUNTA(INDIRECT("F"&amp;_xlpm.直近で詳細項目が空でないセルの行番号):F392),
_xlpm.直近で観点が空でないセルの行番号, MAX(INDEX((LEN($F$11:F392)&gt;0)*ROW($F$11:F392),0)),
_xlpm.テスト内容数, COUNTA(INDIRECT("J"&amp;_xlpm.直近で観点が空でないセルの行番号):J392),
_xlpm.テスト内容数_空なら1, IF(_xlpm.テスト内容数=0,1,_xlpm.テスト内容数),
_xlpm.詳細項目数&amp;"-"&amp;_xlpm.観点数&amp;"-"&amp;_xlpm.テスト内容数_空なら1
)</f>
        <v>108-1-4</v>
      </c>
      <c r="B392" s="213"/>
      <c r="C392" s="210"/>
      <c r="D392" s="207"/>
      <c r="E392" s="207"/>
      <c r="F392" s="244"/>
      <c r="G392" s="71"/>
      <c r="H392" s="122" t="s">
        <v>743</v>
      </c>
      <c r="I392" s="122" t="s">
        <v>744</v>
      </c>
      <c r="J392" s="122" t="s">
        <v>935</v>
      </c>
      <c r="K392" s="32" t="s">
        <v>748</v>
      </c>
      <c r="L392" s="116"/>
      <c r="M392" s="116"/>
      <c r="N392" s="54"/>
      <c r="O392" s="130"/>
      <c r="P392" s="78"/>
      <c r="Q392" s="78"/>
    </row>
    <row r="393" spans="1:17" ht="33.75">
      <c r="A393" s="43" t="str" cm="1">
        <f t="array" aca="1" ref="A393" ca="1">_xlfn.LET(
_xlpm.詳細項目数, COUNTA($E$11:E393),
_xlpm.直近で詳細項目が空でないセルの行番号, MAX(INDEX((LEN($E$11:E393)&gt;0)*ROW($E$11:E393),0)),
_xlpm.観点数, COUNTA(INDIRECT("F"&amp;_xlpm.直近で詳細項目が空でないセルの行番号):F393),
_xlpm.直近で観点が空でないセルの行番号, MAX(INDEX((LEN($F$11:F393)&gt;0)*ROW($F$11:F393),0)),
_xlpm.テスト内容数, COUNTA(INDIRECT("J"&amp;_xlpm.直近で観点が空でないセルの行番号):J393),
_xlpm.テスト内容数_空なら1, IF(_xlpm.テスト内容数=0,1,_xlpm.テスト内容数),
_xlpm.詳細項目数&amp;"-"&amp;_xlpm.観点数&amp;"-"&amp;_xlpm.テスト内容数_空なら1
)</f>
        <v>108-1-5</v>
      </c>
      <c r="B393" s="213"/>
      <c r="C393" s="210"/>
      <c r="D393" s="207"/>
      <c r="E393" s="207"/>
      <c r="F393" s="244"/>
      <c r="G393" s="71"/>
      <c r="H393" s="122" t="s">
        <v>743</v>
      </c>
      <c r="I393" s="122" t="s">
        <v>744</v>
      </c>
      <c r="J393" s="122" t="s">
        <v>935</v>
      </c>
      <c r="K393" s="32" t="s">
        <v>749</v>
      </c>
      <c r="L393" s="116"/>
      <c r="M393" s="116"/>
      <c r="N393" s="54"/>
      <c r="O393" s="130"/>
      <c r="P393" s="78"/>
      <c r="Q393" s="78"/>
    </row>
    <row r="394" spans="1:17" ht="33.75">
      <c r="A394" s="43" t="str" cm="1">
        <f t="array" aca="1" ref="A394" ca="1">_xlfn.LET(
_xlpm.詳細項目数, COUNTA($E$11:E394),
_xlpm.直近で詳細項目が空でないセルの行番号, MAX(INDEX((LEN($E$11:E394)&gt;0)*ROW($E$11:E394),0)),
_xlpm.観点数, COUNTA(INDIRECT("F"&amp;_xlpm.直近で詳細項目が空でないセルの行番号):F394),
_xlpm.直近で観点が空でないセルの行番号, MAX(INDEX((LEN($F$11:F394)&gt;0)*ROW($F$11:F394),0)),
_xlpm.テスト内容数, COUNTA(INDIRECT("J"&amp;_xlpm.直近で観点が空でないセルの行番号):J394),
_xlpm.テスト内容数_空なら1, IF(_xlpm.テスト内容数=0,1,_xlpm.テスト内容数),
_xlpm.詳細項目数&amp;"-"&amp;_xlpm.観点数&amp;"-"&amp;_xlpm.テスト内容数_空なら1
)</f>
        <v>108-1-6</v>
      </c>
      <c r="B394" s="213"/>
      <c r="C394" s="210"/>
      <c r="D394" s="207"/>
      <c r="E394" s="207"/>
      <c r="F394" s="244"/>
      <c r="G394" s="71"/>
      <c r="H394" s="122" t="s">
        <v>743</v>
      </c>
      <c r="I394" s="122" t="s">
        <v>744</v>
      </c>
      <c r="J394" s="122" t="s">
        <v>935</v>
      </c>
      <c r="K394" s="32" t="s">
        <v>750</v>
      </c>
      <c r="L394" s="116"/>
      <c r="M394" s="116"/>
      <c r="N394" s="54"/>
      <c r="O394" s="130"/>
      <c r="P394" s="78"/>
      <c r="Q394" s="78"/>
    </row>
    <row r="395" spans="1:17" ht="33.75">
      <c r="A395" s="43" t="str" cm="1">
        <f t="array" aca="1" ref="A395" ca="1">_xlfn.LET(
_xlpm.詳細項目数, COUNTA($E$11:E395),
_xlpm.直近で詳細項目が空でないセルの行番号, MAX(INDEX((LEN($E$11:E395)&gt;0)*ROW($E$11:E395),0)),
_xlpm.観点数, COUNTA(INDIRECT("F"&amp;_xlpm.直近で詳細項目が空でないセルの行番号):F395),
_xlpm.直近で観点が空でないセルの行番号, MAX(INDEX((LEN($F$11:F395)&gt;0)*ROW($F$11:F395),0)),
_xlpm.テスト内容数, COUNTA(INDIRECT("J"&amp;_xlpm.直近で観点が空でないセルの行番号):J395),
_xlpm.テスト内容数_空なら1, IF(_xlpm.テスト内容数=0,1,_xlpm.テスト内容数),
_xlpm.詳細項目数&amp;"-"&amp;_xlpm.観点数&amp;"-"&amp;_xlpm.テスト内容数_空なら1
)</f>
        <v>108-1-7</v>
      </c>
      <c r="B395" s="213"/>
      <c r="C395" s="210"/>
      <c r="D395" s="207"/>
      <c r="E395" s="207"/>
      <c r="F395" s="244"/>
      <c r="G395" s="71"/>
      <c r="H395" s="122" t="s">
        <v>743</v>
      </c>
      <c r="I395" s="122" t="s">
        <v>744</v>
      </c>
      <c r="J395" s="122" t="s">
        <v>935</v>
      </c>
      <c r="K395" s="32" t="s">
        <v>751</v>
      </c>
      <c r="L395" s="116"/>
      <c r="M395" s="116"/>
      <c r="N395" s="54"/>
      <c r="O395" s="130"/>
      <c r="P395" s="78"/>
      <c r="Q395" s="78"/>
    </row>
    <row r="396" spans="1:17" ht="33.75">
      <c r="A396" s="43" t="str" cm="1">
        <f t="array" aca="1" ref="A396" ca="1">_xlfn.LET(
_xlpm.詳細項目数, COUNTA($E$11:E396),
_xlpm.直近で詳細項目が空でないセルの行番号, MAX(INDEX((LEN($E$11:E396)&gt;0)*ROW($E$11:E396),0)),
_xlpm.観点数, COUNTA(INDIRECT("F"&amp;_xlpm.直近で詳細項目が空でないセルの行番号):F396),
_xlpm.直近で観点が空でないセルの行番号, MAX(INDEX((LEN($F$11:F396)&gt;0)*ROW($F$11:F396),0)),
_xlpm.テスト内容数, COUNTA(INDIRECT("J"&amp;_xlpm.直近で観点が空でないセルの行番号):J396),
_xlpm.テスト内容数_空なら1, IF(_xlpm.テスト内容数=0,1,_xlpm.テスト内容数),
_xlpm.詳細項目数&amp;"-"&amp;_xlpm.観点数&amp;"-"&amp;_xlpm.テスト内容数_空なら1
)</f>
        <v>108-1-8</v>
      </c>
      <c r="B396" s="213"/>
      <c r="C396" s="210"/>
      <c r="D396" s="207"/>
      <c r="E396" s="207"/>
      <c r="F396" s="244"/>
      <c r="G396" s="71"/>
      <c r="H396" s="122" t="s">
        <v>743</v>
      </c>
      <c r="I396" s="122" t="s">
        <v>744</v>
      </c>
      <c r="J396" s="122" t="s">
        <v>935</v>
      </c>
      <c r="K396" s="32" t="s">
        <v>752</v>
      </c>
      <c r="L396" s="116"/>
      <c r="M396" s="116"/>
      <c r="N396" s="54"/>
      <c r="O396" s="130"/>
      <c r="P396" s="78"/>
      <c r="Q396" s="78"/>
    </row>
    <row r="397" spans="1:17" ht="33.75">
      <c r="A397" s="43" t="str" cm="1">
        <f t="array" aca="1" ref="A397" ca="1">_xlfn.LET(
_xlpm.詳細項目数, COUNTA($E$11:E397),
_xlpm.直近で詳細項目が空でないセルの行番号, MAX(INDEX((LEN($E$11:E397)&gt;0)*ROW($E$11:E397),0)),
_xlpm.観点数, COUNTA(INDIRECT("F"&amp;_xlpm.直近で詳細項目が空でないセルの行番号):F397),
_xlpm.直近で観点が空でないセルの行番号, MAX(INDEX((LEN($F$11:F397)&gt;0)*ROW($F$11:F397),0)),
_xlpm.テスト内容数, COUNTA(INDIRECT("J"&amp;_xlpm.直近で観点が空でないセルの行番号):J397),
_xlpm.テスト内容数_空なら1, IF(_xlpm.テスト内容数=0,1,_xlpm.テスト内容数),
_xlpm.詳細項目数&amp;"-"&amp;_xlpm.観点数&amp;"-"&amp;_xlpm.テスト内容数_空なら1
)</f>
        <v>108-1-9</v>
      </c>
      <c r="B397" s="213"/>
      <c r="C397" s="210"/>
      <c r="D397" s="207"/>
      <c r="E397" s="207"/>
      <c r="F397" s="244"/>
      <c r="G397" s="71"/>
      <c r="H397" s="122" t="s">
        <v>743</v>
      </c>
      <c r="I397" s="122" t="s">
        <v>744</v>
      </c>
      <c r="J397" s="122" t="s">
        <v>935</v>
      </c>
      <c r="K397" s="32" t="s">
        <v>753</v>
      </c>
      <c r="L397" s="116"/>
      <c r="M397" s="116"/>
      <c r="N397" s="54"/>
      <c r="O397" s="130"/>
      <c r="P397" s="78"/>
      <c r="Q397" s="78"/>
    </row>
    <row r="398" spans="1:17" ht="33.75">
      <c r="A398" s="43" t="str" cm="1">
        <f t="array" aca="1" ref="A398" ca="1">_xlfn.LET(
_xlpm.詳細項目数, COUNTA($E$11:E398),
_xlpm.直近で詳細項目が空でないセルの行番号, MAX(INDEX((LEN($E$11:E398)&gt;0)*ROW($E$11:E398),0)),
_xlpm.観点数, COUNTA(INDIRECT("F"&amp;_xlpm.直近で詳細項目が空でないセルの行番号):F398),
_xlpm.直近で観点が空でないセルの行番号, MAX(INDEX((LEN($F$11:F398)&gt;0)*ROW($F$11:F398),0)),
_xlpm.テスト内容数, COUNTA(INDIRECT("J"&amp;_xlpm.直近で観点が空でないセルの行番号):J398),
_xlpm.テスト内容数_空なら1, IF(_xlpm.テスト内容数=0,1,_xlpm.テスト内容数),
_xlpm.詳細項目数&amp;"-"&amp;_xlpm.観点数&amp;"-"&amp;_xlpm.テスト内容数_空なら1
)</f>
        <v>108-1-10</v>
      </c>
      <c r="B398" s="213"/>
      <c r="C398" s="210"/>
      <c r="D398" s="207"/>
      <c r="E398" s="207"/>
      <c r="F398" s="244"/>
      <c r="G398" s="71"/>
      <c r="H398" s="122" t="s">
        <v>743</v>
      </c>
      <c r="I398" s="122" t="s">
        <v>744</v>
      </c>
      <c r="J398" s="122" t="s">
        <v>935</v>
      </c>
      <c r="K398" s="32" t="s">
        <v>754</v>
      </c>
      <c r="L398" s="116"/>
      <c r="M398" s="116"/>
      <c r="N398" s="54"/>
      <c r="O398" s="130"/>
      <c r="P398" s="78"/>
      <c r="Q398" s="78"/>
    </row>
    <row r="399" spans="1:17" ht="33.75">
      <c r="A399" s="43" t="str" cm="1">
        <f t="array" aca="1" ref="A399" ca="1">_xlfn.LET(
_xlpm.詳細項目数, COUNTA($E$11:E399),
_xlpm.直近で詳細項目が空でないセルの行番号, MAX(INDEX((LEN($E$11:E399)&gt;0)*ROW($E$11:E399),0)),
_xlpm.観点数, COUNTA(INDIRECT("F"&amp;_xlpm.直近で詳細項目が空でないセルの行番号):F399),
_xlpm.直近で観点が空でないセルの行番号, MAX(INDEX((LEN($F$11:F399)&gt;0)*ROW($F$11:F399),0)),
_xlpm.テスト内容数, COUNTA(INDIRECT("J"&amp;_xlpm.直近で観点が空でないセルの行番号):J399),
_xlpm.テスト内容数_空なら1, IF(_xlpm.テスト内容数=0,1,_xlpm.テスト内容数),
_xlpm.詳細項目数&amp;"-"&amp;_xlpm.観点数&amp;"-"&amp;_xlpm.テスト内容数_空なら1
)</f>
        <v>108-1-11</v>
      </c>
      <c r="B399" s="213"/>
      <c r="C399" s="210"/>
      <c r="D399" s="207"/>
      <c r="E399" s="207"/>
      <c r="F399" s="244"/>
      <c r="G399" s="71"/>
      <c r="H399" s="122" t="s">
        <v>743</v>
      </c>
      <c r="I399" s="122" t="s">
        <v>744</v>
      </c>
      <c r="J399" s="122" t="s">
        <v>935</v>
      </c>
      <c r="K399" s="32" t="s">
        <v>755</v>
      </c>
      <c r="L399" s="116"/>
      <c r="M399" s="116"/>
      <c r="N399" s="54"/>
      <c r="O399" s="130"/>
      <c r="P399" s="78"/>
      <c r="Q399" s="78"/>
    </row>
    <row r="400" spans="1:17" ht="33.75">
      <c r="A400" s="43" t="str" cm="1">
        <f t="array" aca="1" ref="A400" ca="1">_xlfn.LET(
_xlpm.詳細項目数, COUNTA($E$11:E400),
_xlpm.直近で詳細項目が空でないセルの行番号, MAX(INDEX((LEN($E$11:E400)&gt;0)*ROW($E$11:E400),0)),
_xlpm.観点数, COUNTA(INDIRECT("F"&amp;_xlpm.直近で詳細項目が空でないセルの行番号):F400),
_xlpm.直近で観点が空でないセルの行番号, MAX(INDEX((LEN($F$11:F400)&gt;0)*ROW($F$11:F400),0)),
_xlpm.テスト内容数, COUNTA(INDIRECT("J"&amp;_xlpm.直近で観点が空でないセルの行番号):J400),
_xlpm.テスト内容数_空なら1, IF(_xlpm.テスト内容数=0,1,_xlpm.テスト内容数),
_xlpm.詳細項目数&amp;"-"&amp;_xlpm.観点数&amp;"-"&amp;_xlpm.テスト内容数_空なら1
)</f>
        <v>108-1-12</v>
      </c>
      <c r="B400" s="213"/>
      <c r="C400" s="210"/>
      <c r="D400" s="207"/>
      <c r="E400" s="211"/>
      <c r="F400" s="239"/>
      <c r="G400" s="71"/>
      <c r="H400" s="122" t="s">
        <v>743</v>
      </c>
      <c r="I400" s="122" t="s">
        <v>744</v>
      </c>
      <c r="J400" s="122" t="s">
        <v>935</v>
      </c>
      <c r="K400" s="32" t="s">
        <v>756</v>
      </c>
      <c r="L400" s="116"/>
      <c r="M400" s="116"/>
      <c r="N400" s="54"/>
      <c r="O400" s="130"/>
      <c r="P400" s="78"/>
      <c r="Q400" s="78"/>
    </row>
    <row r="401" spans="1:17" ht="22.5">
      <c r="A401" s="43" t="str" cm="1">
        <f t="array" aca="1" ref="A401" ca="1">_xlfn.LET(
_xlpm.詳細項目数, COUNTA($E$11:E401),
_xlpm.直近で詳細項目が空でないセルの行番号, MAX(INDEX((LEN($E$11:E401)&gt;0)*ROW($E$11:E401),0)),
_xlpm.観点数, COUNTA(INDIRECT("F"&amp;_xlpm.直近で詳細項目が空でないセルの行番号):F401),
_xlpm.直近で観点が空でないセルの行番号, MAX(INDEX((LEN($F$11:F401)&gt;0)*ROW($F$11:F401),0)),
_xlpm.テスト内容数, COUNTA(INDIRECT("J"&amp;_xlpm.直近で観点が空でないセルの行番号):J401),
_xlpm.テスト内容数_空なら1, IF(_xlpm.テスト内容数=0,1,_xlpm.テスト内容数),
_xlpm.詳細項目数&amp;"-"&amp;_xlpm.観点数&amp;"-"&amp;_xlpm.テスト内容数_空なら1
)</f>
        <v>109-1-1</v>
      </c>
      <c r="B401" s="213"/>
      <c r="C401" s="210"/>
      <c r="D401" s="207"/>
      <c r="E401" s="212" t="s">
        <v>500</v>
      </c>
      <c r="F401" s="60" t="s">
        <v>458</v>
      </c>
      <c r="G401" s="71"/>
      <c r="H401" s="122" t="s">
        <v>648</v>
      </c>
      <c r="I401" s="122" t="s">
        <v>761</v>
      </c>
      <c r="J401" s="122" t="s">
        <v>935</v>
      </c>
      <c r="K401" s="32" t="s">
        <v>762</v>
      </c>
      <c r="L401" s="116"/>
      <c r="M401" s="116"/>
      <c r="N401" s="54"/>
      <c r="O401" s="130"/>
      <c r="P401" s="78"/>
      <c r="Q401" s="78"/>
    </row>
    <row r="402" spans="1:17" ht="22.5">
      <c r="A402" s="43" t="str" cm="1">
        <f t="array" aca="1" ref="A402" ca="1">_xlfn.LET(
_xlpm.詳細項目数, COUNTA($E$11:E402),
_xlpm.直近で詳細項目が空でないセルの行番号, MAX(INDEX((LEN($E$11:E402)&gt;0)*ROW($E$11:E402),0)),
_xlpm.観点数, COUNTA(INDIRECT("F"&amp;_xlpm.直近で詳細項目が空でないセルの行番号):F402),
_xlpm.直近で観点が空でないセルの行番号, MAX(INDEX((LEN($F$11:F402)&gt;0)*ROW($F$11:F402),0)),
_xlpm.テスト内容数, COUNTA(INDIRECT("J"&amp;_xlpm.直近で観点が空でないセルの行番号):J402),
_xlpm.テスト内容数_空なら1, IF(_xlpm.テスト内容数=0,1,_xlpm.テスト内容数),
_xlpm.詳細項目数&amp;"-"&amp;_xlpm.観点数&amp;"-"&amp;_xlpm.テスト内容数_空なら1
)</f>
        <v>109-1-2</v>
      </c>
      <c r="B402" s="213"/>
      <c r="C402" s="210"/>
      <c r="D402" s="207"/>
      <c r="E402" s="207"/>
      <c r="F402" s="244"/>
      <c r="G402" s="71"/>
      <c r="H402" s="122" t="s">
        <v>648</v>
      </c>
      <c r="I402" s="122" t="s">
        <v>761</v>
      </c>
      <c r="J402" s="122" t="s">
        <v>935</v>
      </c>
      <c r="K402" s="32" t="s">
        <v>763</v>
      </c>
      <c r="L402" s="116"/>
      <c r="M402" s="116"/>
      <c r="N402" s="54"/>
      <c r="O402" s="130"/>
      <c r="P402" s="78"/>
      <c r="Q402" s="78"/>
    </row>
    <row r="403" spans="1:17">
      <c r="A403" s="43" t="str" cm="1">
        <f t="array" aca="1" ref="A403" ca="1">_xlfn.LET(
_xlpm.詳細項目数, COUNTA($E$11:E403),
_xlpm.直近で詳細項目が空でないセルの行番号, MAX(INDEX((LEN($E$11:E403)&gt;0)*ROW($E$11:E403),0)),
_xlpm.観点数, COUNTA(INDIRECT("F"&amp;_xlpm.直近で詳細項目が空でないセルの行番号):F403),
_xlpm.直近で観点が空でないセルの行番号, MAX(INDEX((LEN($F$11:F403)&gt;0)*ROW($F$11:F403),0)),
_xlpm.テスト内容数, COUNTA(INDIRECT("J"&amp;_xlpm.直近で観点が空でないセルの行番号):J403),
_xlpm.テスト内容数_空なら1, IF(_xlpm.テスト内容数=0,1,_xlpm.テスト内容数),
_xlpm.詳細項目数&amp;"-"&amp;_xlpm.観点数&amp;"-"&amp;_xlpm.テスト内容数_空なら1
)</f>
        <v>109-1-3</v>
      </c>
      <c r="B403" s="213"/>
      <c r="C403" s="210"/>
      <c r="D403" s="207"/>
      <c r="E403" s="207"/>
      <c r="F403" s="244"/>
      <c r="G403" s="71"/>
      <c r="H403" s="122" t="s">
        <v>648</v>
      </c>
      <c r="I403" s="122" t="s">
        <v>761</v>
      </c>
      <c r="J403" s="122" t="s">
        <v>935</v>
      </c>
      <c r="K403" s="32" t="s">
        <v>764</v>
      </c>
      <c r="L403" s="116"/>
      <c r="M403" s="116"/>
      <c r="N403" s="54"/>
      <c r="O403" s="130"/>
      <c r="P403" s="78"/>
      <c r="Q403" s="78"/>
    </row>
    <row r="404" spans="1:17" ht="22.5">
      <c r="A404" s="43" t="str" cm="1">
        <f t="array" aca="1" ref="A404" ca="1">_xlfn.LET(
_xlpm.詳細項目数, COUNTA($E$11:E404),
_xlpm.直近で詳細項目が空でないセルの行番号, MAX(INDEX((LEN($E$11:E404)&gt;0)*ROW($E$11:E404),0)),
_xlpm.観点数, COUNTA(INDIRECT("F"&amp;_xlpm.直近で詳細項目が空でないセルの行番号):F404),
_xlpm.直近で観点が空でないセルの行番号, MAX(INDEX((LEN($F$11:F404)&gt;0)*ROW($F$11:F404),0)),
_xlpm.テスト内容数, COUNTA(INDIRECT("J"&amp;_xlpm.直近で観点が空でないセルの行番号):J404),
_xlpm.テスト内容数_空なら1, IF(_xlpm.テスト内容数=0,1,_xlpm.テスト内容数),
_xlpm.詳細項目数&amp;"-"&amp;_xlpm.観点数&amp;"-"&amp;_xlpm.テスト内容数_空なら1
)</f>
        <v>109-1-4</v>
      </c>
      <c r="B404" s="213"/>
      <c r="C404" s="210"/>
      <c r="D404" s="207"/>
      <c r="E404" s="207"/>
      <c r="F404" s="244"/>
      <c r="G404" s="71"/>
      <c r="H404" s="122" t="s">
        <v>648</v>
      </c>
      <c r="I404" s="122" t="s">
        <v>761</v>
      </c>
      <c r="J404" s="122" t="s">
        <v>935</v>
      </c>
      <c r="K404" s="32" t="s">
        <v>765</v>
      </c>
      <c r="L404" s="116"/>
      <c r="M404" s="116"/>
      <c r="N404" s="54"/>
      <c r="O404" s="130"/>
      <c r="P404" s="78"/>
      <c r="Q404" s="78"/>
    </row>
    <row r="405" spans="1:17" ht="22.5">
      <c r="A405" s="43" t="str" cm="1">
        <f t="array" aca="1" ref="A405" ca="1">_xlfn.LET(
_xlpm.詳細項目数, COUNTA($E$11:E405),
_xlpm.直近で詳細項目が空でないセルの行番号, MAX(INDEX((LEN($E$11:E405)&gt;0)*ROW($E$11:E405),0)),
_xlpm.観点数, COUNTA(INDIRECT("F"&amp;_xlpm.直近で詳細項目が空でないセルの行番号):F405),
_xlpm.直近で観点が空でないセルの行番号, MAX(INDEX((LEN($F$11:F405)&gt;0)*ROW($F$11:F405),0)),
_xlpm.テスト内容数, COUNTA(INDIRECT("J"&amp;_xlpm.直近で観点が空でないセルの行番号):J405),
_xlpm.テスト内容数_空なら1, IF(_xlpm.テスト内容数=0,1,_xlpm.テスト内容数),
_xlpm.詳細項目数&amp;"-"&amp;_xlpm.観点数&amp;"-"&amp;_xlpm.テスト内容数_空なら1
)</f>
        <v>109-1-5</v>
      </c>
      <c r="B405" s="213"/>
      <c r="C405" s="210"/>
      <c r="D405" s="207"/>
      <c r="E405" s="207"/>
      <c r="F405" s="244"/>
      <c r="G405" s="71"/>
      <c r="H405" s="122" t="s">
        <v>648</v>
      </c>
      <c r="I405" s="122" t="s">
        <v>761</v>
      </c>
      <c r="J405" s="122" t="s">
        <v>935</v>
      </c>
      <c r="K405" s="32" t="s">
        <v>766</v>
      </c>
      <c r="L405" s="116"/>
      <c r="M405" s="116"/>
      <c r="N405" s="54"/>
      <c r="O405" s="130"/>
      <c r="P405" s="78"/>
      <c r="Q405" s="78"/>
    </row>
    <row r="406" spans="1:17">
      <c r="A406" s="43" t="str" cm="1">
        <f t="array" aca="1" ref="A406" ca="1">_xlfn.LET(
_xlpm.詳細項目数, COUNTA($E$11:E406),
_xlpm.直近で詳細項目が空でないセルの行番号, MAX(INDEX((LEN($E$11:E406)&gt;0)*ROW($E$11:E406),0)),
_xlpm.観点数, COUNTA(INDIRECT("F"&amp;_xlpm.直近で詳細項目が空でないセルの行番号):F406),
_xlpm.直近で観点が空でないセルの行番号, MAX(INDEX((LEN($F$11:F406)&gt;0)*ROW($F$11:F406),0)),
_xlpm.テスト内容数, COUNTA(INDIRECT("J"&amp;_xlpm.直近で観点が空でないセルの行番号):J406),
_xlpm.テスト内容数_空なら1, IF(_xlpm.テスト内容数=0,1,_xlpm.テスト内容数),
_xlpm.詳細項目数&amp;"-"&amp;_xlpm.観点数&amp;"-"&amp;_xlpm.テスト内容数_空なら1
)</f>
        <v>109-1-6</v>
      </c>
      <c r="B406" s="213"/>
      <c r="C406" s="210"/>
      <c r="D406" s="207"/>
      <c r="E406" s="207"/>
      <c r="F406" s="244"/>
      <c r="G406" s="71"/>
      <c r="H406" s="122" t="s">
        <v>648</v>
      </c>
      <c r="I406" s="122" t="s">
        <v>761</v>
      </c>
      <c r="J406" s="122" t="s">
        <v>935</v>
      </c>
      <c r="K406" s="32" t="s">
        <v>767</v>
      </c>
      <c r="L406" s="116"/>
      <c r="M406" s="116"/>
      <c r="N406" s="54"/>
      <c r="O406" s="130"/>
      <c r="P406" s="78"/>
      <c r="Q406" s="78"/>
    </row>
    <row r="407" spans="1:17">
      <c r="A407" s="43" t="str" cm="1">
        <f t="array" aca="1" ref="A407" ca="1">_xlfn.LET(
_xlpm.詳細項目数, COUNTA($E$11:E407),
_xlpm.直近で詳細項目が空でないセルの行番号, MAX(INDEX((LEN($E$11:E407)&gt;0)*ROW($E$11:E407),0)),
_xlpm.観点数, COUNTA(INDIRECT("F"&amp;_xlpm.直近で詳細項目が空でないセルの行番号):F407),
_xlpm.直近で観点が空でないセルの行番号, MAX(INDEX((LEN($F$11:F407)&gt;0)*ROW($F$11:F407),0)),
_xlpm.テスト内容数, COUNTA(INDIRECT("J"&amp;_xlpm.直近で観点が空でないセルの行番号):J407),
_xlpm.テスト内容数_空なら1, IF(_xlpm.テスト内容数=0,1,_xlpm.テスト内容数),
_xlpm.詳細項目数&amp;"-"&amp;_xlpm.観点数&amp;"-"&amp;_xlpm.テスト内容数_空なら1
)</f>
        <v>109-1-7</v>
      </c>
      <c r="B407" s="213"/>
      <c r="C407" s="210"/>
      <c r="D407" s="207"/>
      <c r="E407" s="207"/>
      <c r="F407" s="244"/>
      <c r="G407" s="71"/>
      <c r="H407" s="122" t="s">
        <v>648</v>
      </c>
      <c r="I407" s="122" t="s">
        <v>761</v>
      </c>
      <c r="J407" s="122" t="s">
        <v>935</v>
      </c>
      <c r="K407" s="32" t="s">
        <v>768</v>
      </c>
      <c r="L407" s="116"/>
      <c r="M407" s="116"/>
      <c r="N407" s="54"/>
      <c r="O407" s="130"/>
      <c r="P407" s="78"/>
      <c r="Q407" s="78"/>
    </row>
    <row r="408" spans="1:17">
      <c r="A408" s="43" t="str" cm="1">
        <f t="array" aca="1" ref="A408" ca="1">_xlfn.LET(
_xlpm.詳細項目数, COUNTA($E$11:E408),
_xlpm.直近で詳細項目が空でないセルの行番号, MAX(INDEX((LEN($E$11:E408)&gt;0)*ROW($E$11:E408),0)),
_xlpm.観点数, COUNTA(INDIRECT("F"&amp;_xlpm.直近で詳細項目が空でないセルの行番号):F408),
_xlpm.直近で観点が空でないセルの行番号, MAX(INDEX((LEN($F$11:F408)&gt;0)*ROW($F$11:F408),0)),
_xlpm.テスト内容数, COUNTA(INDIRECT("J"&amp;_xlpm.直近で観点が空でないセルの行番号):J408),
_xlpm.テスト内容数_空なら1, IF(_xlpm.テスト内容数=0,1,_xlpm.テスト内容数),
_xlpm.詳細項目数&amp;"-"&amp;_xlpm.観点数&amp;"-"&amp;_xlpm.テスト内容数_空なら1
)</f>
        <v>109-1-8</v>
      </c>
      <c r="B408" s="213"/>
      <c r="C408" s="210"/>
      <c r="D408" s="207"/>
      <c r="E408" s="207"/>
      <c r="F408" s="244"/>
      <c r="G408" s="71"/>
      <c r="H408" s="122" t="s">
        <v>648</v>
      </c>
      <c r="I408" s="122" t="s">
        <v>761</v>
      </c>
      <c r="J408" s="122" t="s">
        <v>935</v>
      </c>
      <c r="K408" s="32" t="s">
        <v>769</v>
      </c>
      <c r="L408" s="116"/>
      <c r="M408" s="116"/>
      <c r="N408" s="54"/>
      <c r="O408" s="130"/>
      <c r="P408" s="78"/>
      <c r="Q408" s="78"/>
    </row>
    <row r="409" spans="1:17">
      <c r="A409" s="43" t="str" cm="1">
        <f t="array" aca="1" ref="A409" ca="1">_xlfn.LET(
_xlpm.詳細項目数, COUNTA($E$11:E409),
_xlpm.直近で詳細項目が空でないセルの行番号, MAX(INDEX((LEN($E$11:E409)&gt;0)*ROW($E$11:E409),0)),
_xlpm.観点数, COUNTA(INDIRECT("F"&amp;_xlpm.直近で詳細項目が空でないセルの行番号):F409),
_xlpm.直近で観点が空でないセルの行番号, MAX(INDEX((LEN($F$11:F409)&gt;0)*ROW($F$11:F409),0)),
_xlpm.テスト内容数, COUNTA(INDIRECT("J"&amp;_xlpm.直近で観点が空でないセルの行番号):J409),
_xlpm.テスト内容数_空なら1, IF(_xlpm.テスト内容数=0,1,_xlpm.テスト内容数),
_xlpm.詳細項目数&amp;"-"&amp;_xlpm.観点数&amp;"-"&amp;_xlpm.テスト内容数_空なら1
)</f>
        <v>109-1-9</v>
      </c>
      <c r="B409" s="213"/>
      <c r="C409" s="210"/>
      <c r="D409" s="207"/>
      <c r="E409" s="207"/>
      <c r="F409" s="244"/>
      <c r="G409" s="71"/>
      <c r="H409" s="122" t="s">
        <v>648</v>
      </c>
      <c r="I409" s="122" t="s">
        <v>761</v>
      </c>
      <c r="J409" s="122" t="s">
        <v>935</v>
      </c>
      <c r="K409" s="32" t="s">
        <v>770</v>
      </c>
      <c r="L409" s="116"/>
      <c r="M409" s="116"/>
      <c r="N409" s="54"/>
      <c r="O409" s="130"/>
      <c r="P409" s="78"/>
      <c r="Q409" s="78"/>
    </row>
    <row r="410" spans="1:17">
      <c r="A410" s="43" t="str" cm="1">
        <f t="array" aca="1" ref="A410" ca="1">_xlfn.LET(
_xlpm.詳細項目数, COUNTA($E$11:E410),
_xlpm.直近で詳細項目が空でないセルの行番号, MAX(INDEX((LEN($E$11:E410)&gt;0)*ROW($E$11:E410),0)),
_xlpm.観点数, COUNTA(INDIRECT("F"&amp;_xlpm.直近で詳細項目が空でないセルの行番号):F410),
_xlpm.直近で観点が空でないセルの行番号, MAX(INDEX((LEN($F$11:F410)&gt;0)*ROW($F$11:F410),0)),
_xlpm.テスト内容数, COUNTA(INDIRECT("J"&amp;_xlpm.直近で観点が空でないセルの行番号):J410),
_xlpm.テスト内容数_空なら1, IF(_xlpm.テスト内容数=0,1,_xlpm.テスト内容数),
_xlpm.詳細項目数&amp;"-"&amp;_xlpm.観点数&amp;"-"&amp;_xlpm.テスト内容数_空なら1
)</f>
        <v>109-1-10</v>
      </c>
      <c r="B410" s="213"/>
      <c r="C410" s="210"/>
      <c r="D410" s="207"/>
      <c r="E410" s="207"/>
      <c r="F410" s="244"/>
      <c r="G410" s="71"/>
      <c r="H410" s="122" t="s">
        <v>648</v>
      </c>
      <c r="I410" s="122" t="s">
        <v>761</v>
      </c>
      <c r="J410" s="122" t="s">
        <v>935</v>
      </c>
      <c r="K410" s="32" t="s">
        <v>771</v>
      </c>
      <c r="L410" s="116"/>
      <c r="M410" s="116"/>
      <c r="N410" s="54"/>
      <c r="O410" s="130"/>
      <c r="P410" s="78"/>
      <c r="Q410" s="78"/>
    </row>
    <row r="411" spans="1:17">
      <c r="A411" s="43" t="str" cm="1">
        <f t="array" aca="1" ref="A411" ca="1">_xlfn.LET(
_xlpm.詳細項目数, COUNTA($E$11:E411),
_xlpm.直近で詳細項目が空でないセルの行番号, MAX(INDEX((LEN($E$11:E411)&gt;0)*ROW($E$11:E411),0)),
_xlpm.観点数, COUNTA(INDIRECT("F"&amp;_xlpm.直近で詳細項目が空でないセルの行番号):F411),
_xlpm.直近で観点が空でないセルの行番号, MAX(INDEX((LEN($F$11:F411)&gt;0)*ROW($F$11:F411),0)),
_xlpm.テスト内容数, COUNTA(INDIRECT("J"&amp;_xlpm.直近で観点が空でないセルの行番号):J411),
_xlpm.テスト内容数_空なら1, IF(_xlpm.テスト内容数=0,1,_xlpm.テスト内容数),
_xlpm.詳細項目数&amp;"-"&amp;_xlpm.観点数&amp;"-"&amp;_xlpm.テスト内容数_空なら1
)</f>
        <v>109-1-11</v>
      </c>
      <c r="B411" s="213"/>
      <c r="C411" s="210"/>
      <c r="D411" s="207"/>
      <c r="E411" s="207"/>
      <c r="F411" s="244"/>
      <c r="G411" s="71"/>
      <c r="H411" s="122" t="s">
        <v>648</v>
      </c>
      <c r="I411" s="122" t="s">
        <v>761</v>
      </c>
      <c r="J411" s="122" t="s">
        <v>935</v>
      </c>
      <c r="K411" s="32" t="s">
        <v>772</v>
      </c>
      <c r="L411" s="116"/>
      <c r="M411" s="116"/>
      <c r="N411" s="54"/>
      <c r="O411" s="130"/>
      <c r="P411" s="78"/>
      <c r="Q411" s="78"/>
    </row>
    <row r="412" spans="1:17">
      <c r="A412" s="43" t="str" cm="1">
        <f t="array" aca="1" ref="A412" ca="1">_xlfn.LET(
_xlpm.詳細項目数, COUNTA($E$11:E412),
_xlpm.直近で詳細項目が空でないセルの行番号, MAX(INDEX((LEN($E$11:E412)&gt;0)*ROW($E$11:E412),0)),
_xlpm.観点数, COUNTA(INDIRECT("F"&amp;_xlpm.直近で詳細項目が空でないセルの行番号):F412),
_xlpm.直近で観点が空でないセルの行番号, MAX(INDEX((LEN($F$11:F412)&gt;0)*ROW($F$11:F412),0)),
_xlpm.テスト内容数, COUNTA(INDIRECT("J"&amp;_xlpm.直近で観点が空でないセルの行番号):J412),
_xlpm.テスト内容数_空なら1, IF(_xlpm.テスト内容数=0,1,_xlpm.テスト内容数),
_xlpm.詳細項目数&amp;"-"&amp;_xlpm.観点数&amp;"-"&amp;_xlpm.テスト内容数_空なら1
)</f>
        <v>109-1-12</v>
      </c>
      <c r="B412" s="213"/>
      <c r="C412" s="210"/>
      <c r="D412" s="207"/>
      <c r="E412" s="207"/>
      <c r="F412" s="239"/>
      <c r="G412" s="71"/>
      <c r="H412" s="122" t="s">
        <v>648</v>
      </c>
      <c r="I412" s="122" t="s">
        <v>761</v>
      </c>
      <c r="J412" s="122" t="s">
        <v>935</v>
      </c>
      <c r="K412" s="32" t="s">
        <v>773</v>
      </c>
      <c r="L412" s="116"/>
      <c r="M412" s="116"/>
      <c r="N412" s="54"/>
      <c r="O412" s="130"/>
      <c r="P412" s="78"/>
      <c r="Q412" s="78"/>
    </row>
    <row r="413" spans="1:17" ht="33.75">
      <c r="A413" s="43" t="str" cm="1">
        <f t="array" aca="1" ref="A413" ca="1">_xlfn.LET(
_xlpm.詳細項目数, COUNTA($E$11:E413),
_xlpm.直近で詳細項目が空でないセルの行番号, MAX(INDEX((LEN($E$11:E413)&gt;0)*ROW($E$11:E413),0)),
_xlpm.観点数, COUNTA(INDIRECT("F"&amp;_xlpm.直近で詳細項目が空でないセルの行番号):F413),
_xlpm.直近で観点が空でないセルの行番号, MAX(INDEX((LEN($F$11:F413)&gt;0)*ROW($F$11:F413),0)),
_xlpm.テスト内容数, COUNTA(INDIRECT("J"&amp;_xlpm.直近で観点が空でないセルの行番号):J413),
_xlpm.テスト内容数_空なら1, IF(_xlpm.テスト内容数=0,1,_xlpm.テスト内容数),
_xlpm.詳細項目数&amp;"-"&amp;_xlpm.観点数&amp;"-"&amp;_xlpm.テスト内容数_空なら1
)</f>
        <v>109-2-1</v>
      </c>
      <c r="B413" s="213"/>
      <c r="C413" s="210"/>
      <c r="D413" s="207"/>
      <c r="E413" s="207"/>
      <c r="F413" s="60" t="s">
        <v>459</v>
      </c>
      <c r="G413" s="71"/>
      <c r="H413" s="122" t="s">
        <v>648</v>
      </c>
      <c r="I413" s="122" t="s">
        <v>649</v>
      </c>
      <c r="J413" s="122" t="s">
        <v>935</v>
      </c>
      <c r="K413" s="32" t="s">
        <v>774</v>
      </c>
      <c r="L413" s="116"/>
      <c r="M413" s="116"/>
      <c r="N413" s="54"/>
      <c r="O413" s="130"/>
      <c r="P413" s="78"/>
      <c r="Q413" s="78"/>
    </row>
    <row r="414" spans="1:17" ht="33.75">
      <c r="A414" s="43" t="str" cm="1">
        <f t="array" aca="1" ref="A414" ca="1">_xlfn.LET(
_xlpm.詳細項目数, COUNTA($E$11:E414),
_xlpm.直近で詳細項目が空でないセルの行番号, MAX(INDEX((LEN($E$11:E414)&gt;0)*ROW($E$11:E414),0)),
_xlpm.観点数, COUNTA(INDIRECT("F"&amp;_xlpm.直近で詳細項目が空でないセルの行番号):F414),
_xlpm.直近で観点が空でないセルの行番号, MAX(INDEX((LEN($F$11:F414)&gt;0)*ROW($F$11:F414),0)),
_xlpm.テスト内容数, COUNTA(INDIRECT("J"&amp;_xlpm.直近で観点が空でないセルの行番号):J414),
_xlpm.テスト内容数_空なら1, IF(_xlpm.テスト内容数=0,1,_xlpm.テスト内容数),
_xlpm.詳細項目数&amp;"-"&amp;_xlpm.観点数&amp;"-"&amp;_xlpm.テスト内容数_空なら1
)</f>
        <v>109-2-2</v>
      </c>
      <c r="B414" s="213"/>
      <c r="C414" s="210"/>
      <c r="D414" s="207"/>
      <c r="E414" s="207"/>
      <c r="F414" s="239"/>
      <c r="G414" s="71"/>
      <c r="H414" s="122" t="s">
        <v>648</v>
      </c>
      <c r="I414" s="122" t="s">
        <v>649</v>
      </c>
      <c r="J414" s="122" t="s">
        <v>935</v>
      </c>
      <c r="K414" s="32" t="s">
        <v>775</v>
      </c>
      <c r="L414" s="116"/>
      <c r="M414" s="116"/>
      <c r="N414" s="54"/>
      <c r="O414" s="130"/>
      <c r="P414" s="78"/>
      <c r="Q414" s="78"/>
    </row>
    <row r="415" spans="1:17" ht="33.75">
      <c r="A415" s="43" t="str" cm="1">
        <f t="array" aca="1" ref="A415" ca="1">_xlfn.LET(
_xlpm.詳細項目数, COUNTA($E$11:E415),
_xlpm.直近で詳細項目が空でないセルの行番号, MAX(INDEX((LEN($E$11:E415)&gt;0)*ROW($E$11:E415),0)),
_xlpm.観点数, COUNTA(INDIRECT("F"&amp;_xlpm.直近で詳細項目が空でないセルの行番号):F415),
_xlpm.直近で観点が空でないセルの行番号, MAX(INDEX((LEN($F$11:F415)&gt;0)*ROW($F$11:F415),0)),
_xlpm.テスト内容数, COUNTA(INDIRECT("J"&amp;_xlpm.直近で観点が空でないセルの行番号):J415),
_xlpm.テスト内容数_空なら1, IF(_xlpm.テスト内容数=0,1,_xlpm.テスト内容数),
_xlpm.詳細項目数&amp;"-"&amp;_xlpm.観点数&amp;"-"&amp;_xlpm.テスト内容数_空なら1
)</f>
        <v>109-3-1</v>
      </c>
      <c r="B415" s="213"/>
      <c r="C415" s="210"/>
      <c r="D415" s="207"/>
      <c r="E415" s="207"/>
      <c r="F415" s="60" t="s">
        <v>460</v>
      </c>
      <c r="G415" s="71"/>
      <c r="H415" s="116" t="s">
        <v>648</v>
      </c>
      <c r="I415" s="116" t="s">
        <v>649</v>
      </c>
      <c r="J415" s="78" t="s">
        <v>949</v>
      </c>
      <c r="K415" s="78" t="s">
        <v>776</v>
      </c>
      <c r="L415" s="116"/>
      <c r="M415" s="116"/>
      <c r="N415" s="54"/>
      <c r="O415" s="130"/>
      <c r="P415" s="78"/>
      <c r="Q415" s="78"/>
    </row>
    <row r="416" spans="1:17" ht="33.75">
      <c r="A416" s="43" t="str" cm="1">
        <f t="array" aca="1" ref="A416" ca="1">_xlfn.LET(
_xlpm.詳細項目数, COUNTA($E$11:E416),
_xlpm.直近で詳細項目が空でないセルの行番号, MAX(INDEX((LEN($E$11:E416)&gt;0)*ROW($E$11:E416),0)),
_xlpm.観点数, COUNTA(INDIRECT("F"&amp;_xlpm.直近で詳細項目が空でないセルの行番号):F416),
_xlpm.直近で観点が空でないセルの行番号, MAX(INDEX((LEN($F$11:F416)&gt;0)*ROW($F$11:F416),0)),
_xlpm.テスト内容数, COUNTA(INDIRECT("J"&amp;_xlpm.直近で観点が空でないセルの行番号):J416),
_xlpm.テスト内容数_空なら1, IF(_xlpm.テスト内容数=0,1,_xlpm.テスト内容数),
_xlpm.詳細項目数&amp;"-"&amp;_xlpm.観点数&amp;"-"&amp;_xlpm.テスト内容数_空なら1
)</f>
        <v>109-3-2</v>
      </c>
      <c r="B416" s="213"/>
      <c r="C416" s="210"/>
      <c r="D416" s="207"/>
      <c r="E416" s="207"/>
      <c r="F416" s="239"/>
      <c r="G416" s="71"/>
      <c r="H416" s="116" t="s">
        <v>648</v>
      </c>
      <c r="I416" s="116" t="s">
        <v>649</v>
      </c>
      <c r="J416" s="78" t="s">
        <v>949</v>
      </c>
      <c r="K416" s="78" t="s">
        <v>777</v>
      </c>
      <c r="L416" s="116"/>
      <c r="M416" s="116"/>
      <c r="N416" s="54"/>
      <c r="O416" s="130"/>
      <c r="P416" s="78"/>
      <c r="Q416" s="78"/>
    </row>
    <row r="417" spans="1:17" ht="33.75">
      <c r="A417" s="43" t="str" cm="1">
        <f t="array" aca="1" ref="A417" ca="1">_xlfn.LET(
_xlpm.詳細項目数, COUNTA($E$11:E417),
_xlpm.直近で詳細項目が空でないセルの行番号, MAX(INDEX((LEN($E$11:E417)&gt;0)*ROW($E$11:E417),0)),
_xlpm.観点数, COUNTA(INDIRECT("F"&amp;_xlpm.直近で詳細項目が空でないセルの行番号):F417),
_xlpm.直近で観点が空でないセルの行番号, MAX(INDEX((LEN($F$11:F417)&gt;0)*ROW($F$11:F417),0)),
_xlpm.テスト内容数, COUNTA(INDIRECT("J"&amp;_xlpm.直近で観点が空でないセルの行番号):J417),
_xlpm.テスト内容数_空なら1, IF(_xlpm.テスト内容数=0,1,_xlpm.テスト内容数),
_xlpm.詳細項目数&amp;"-"&amp;_xlpm.観点数&amp;"-"&amp;_xlpm.テスト内容数_空なら1
)</f>
        <v>109-4-1</v>
      </c>
      <c r="B417" s="213"/>
      <c r="C417" s="210"/>
      <c r="D417" s="207"/>
      <c r="E417" s="207"/>
      <c r="F417" s="60" t="s">
        <v>461</v>
      </c>
      <c r="G417" s="71"/>
      <c r="H417" s="122" t="s">
        <v>648</v>
      </c>
      <c r="I417" s="122" t="s">
        <v>649</v>
      </c>
      <c r="J417" s="122" t="s">
        <v>935</v>
      </c>
      <c r="K417" s="78" t="s">
        <v>1018</v>
      </c>
      <c r="L417" s="116"/>
      <c r="M417" s="116"/>
      <c r="N417" s="54"/>
      <c r="O417" s="130"/>
      <c r="P417" s="78"/>
      <c r="Q417" s="78"/>
    </row>
    <row r="418" spans="1:17" ht="33.75">
      <c r="A418" s="43" t="str" cm="1">
        <f t="array" aca="1" ref="A418" ca="1">_xlfn.LET(
_xlpm.詳細項目数, COUNTA($E$11:E418),
_xlpm.直近で詳細項目が空でないセルの行番号, MAX(INDEX((LEN($E$11:E418)&gt;0)*ROW($E$11:E418),0)),
_xlpm.観点数, COUNTA(INDIRECT("F"&amp;_xlpm.直近で詳細項目が空でないセルの行番号):F418),
_xlpm.直近で観点が空でないセルの行番号, MAX(INDEX((LEN($F$11:F418)&gt;0)*ROW($F$11:F418),0)),
_xlpm.テスト内容数, COUNTA(INDIRECT("J"&amp;_xlpm.直近で観点が空でないセルの行番号):J418),
_xlpm.テスト内容数_空なら1, IF(_xlpm.テスト内容数=0,1,_xlpm.テスト内容数),
_xlpm.詳細項目数&amp;"-"&amp;_xlpm.観点数&amp;"-"&amp;_xlpm.テスト内容数_空なら1
)</f>
        <v>109-4-2</v>
      </c>
      <c r="B418" s="213"/>
      <c r="C418" s="210"/>
      <c r="D418" s="211"/>
      <c r="E418" s="211"/>
      <c r="F418" s="239"/>
      <c r="G418" s="71"/>
      <c r="H418" s="122" t="s">
        <v>648</v>
      </c>
      <c r="I418" s="122" t="s">
        <v>649</v>
      </c>
      <c r="J418" s="122" t="s">
        <v>935</v>
      </c>
      <c r="K418" s="78" t="s">
        <v>1019</v>
      </c>
      <c r="L418" s="116"/>
      <c r="M418" s="116"/>
      <c r="N418" s="54"/>
      <c r="O418" s="130"/>
      <c r="P418" s="78"/>
      <c r="Q418" s="78"/>
    </row>
    <row r="419" spans="1:17">
      <c r="A419" s="43" t="str" cm="1">
        <f t="array" aca="1" ref="A419" ca="1">_xlfn.LET(
_xlpm.詳細項目数, COUNTA($E$11:E419),
_xlpm.直近で詳細項目が空でないセルの行番号, MAX(INDEX((LEN($E$11:E419)&gt;0)*ROW($E$11:E419),0)),
_xlpm.観点数, COUNTA(INDIRECT("F"&amp;_xlpm.直近で詳細項目が空でないセルの行番号):F419),
_xlpm.直近で観点が空でないセルの行番号, MAX(INDEX((LEN($F$11:F419)&gt;0)*ROW($F$11:F419),0)),
_xlpm.テスト内容数, COUNTA(INDIRECT("J"&amp;_xlpm.直近で観点が空でないセルの行番号):J419),
_xlpm.テスト内容数_空なら1, IF(_xlpm.テスト内容数=0,1,_xlpm.テスト内容数),
_xlpm.詳細項目数&amp;"-"&amp;_xlpm.観点数&amp;"-"&amp;_xlpm.テスト内容数_空なら1
)</f>
        <v>110-1-1</v>
      </c>
      <c r="B419" s="213"/>
      <c r="C419" s="210"/>
      <c r="D419" s="196" t="s">
        <v>33</v>
      </c>
      <c r="E419" s="196" t="s">
        <v>499</v>
      </c>
      <c r="F419" s="94" t="s">
        <v>462</v>
      </c>
      <c r="G419" s="95"/>
      <c r="H419" s="96"/>
      <c r="I419" s="96"/>
      <c r="J419" s="97" t="s">
        <v>778</v>
      </c>
      <c r="K419" s="97"/>
      <c r="L419" s="96"/>
      <c r="M419" s="96"/>
      <c r="N419" s="96"/>
      <c r="O419" s="126"/>
      <c r="P419" s="97"/>
      <c r="Q419" s="97"/>
    </row>
    <row r="420" spans="1:17" ht="22.5">
      <c r="A420" s="43" t="str" cm="1">
        <f t="array" aca="1" ref="A420" ca="1">_xlfn.LET(
_xlpm.詳細項目数, COUNTA($E$11:E420),
_xlpm.直近で詳細項目が空でないセルの行番号, MAX(INDEX((LEN($E$11:E420)&gt;0)*ROW($E$11:E420),0)),
_xlpm.観点数, COUNTA(INDIRECT("F"&amp;_xlpm.直近で詳細項目が空でないセルの行番号):F420),
_xlpm.直近で観点が空でないセルの行番号, MAX(INDEX((LEN($F$11:F420)&gt;0)*ROW($F$11:F420),0)),
_xlpm.テスト内容数, COUNTA(INDIRECT("J"&amp;_xlpm.直近で観点が空でないセルの行番号):J420),
_xlpm.テスト内容数_空なら1, IF(_xlpm.テスト内容数=0,1,_xlpm.テスト内容数),
_xlpm.詳細項目数&amp;"-"&amp;_xlpm.観点数&amp;"-"&amp;_xlpm.テスト内容数_空なら1
)</f>
        <v>110-2-1</v>
      </c>
      <c r="B420" s="213"/>
      <c r="C420" s="210"/>
      <c r="D420" s="196"/>
      <c r="E420" s="196"/>
      <c r="F420" s="94" t="s">
        <v>463</v>
      </c>
      <c r="G420" s="95"/>
      <c r="H420" s="96"/>
      <c r="I420" s="96"/>
      <c r="J420" s="97" t="s">
        <v>778</v>
      </c>
      <c r="K420" s="97"/>
      <c r="L420" s="96"/>
      <c r="M420" s="96"/>
      <c r="N420" s="96"/>
      <c r="O420" s="126"/>
      <c r="P420" s="97"/>
      <c r="Q420" s="97"/>
    </row>
    <row r="421" spans="1:17" ht="22.5">
      <c r="A421" s="43" t="str" cm="1">
        <f t="array" aca="1" ref="A421" ca="1">_xlfn.LET(
_xlpm.詳細項目数, COUNTA($E$11:E421),
_xlpm.直近で詳細項目が空でないセルの行番号, MAX(INDEX((LEN($E$11:E421)&gt;0)*ROW($E$11:E421),0)),
_xlpm.観点数, COUNTA(INDIRECT("F"&amp;_xlpm.直近で詳細項目が空でないセルの行番号):F421),
_xlpm.直近で観点が空でないセルの行番号, MAX(INDEX((LEN($F$11:F421)&gt;0)*ROW($F$11:F421),0)),
_xlpm.テスト内容数, COUNTA(INDIRECT("J"&amp;_xlpm.直近で観点が空でないセルの行番号):J421),
_xlpm.テスト内容数_空なら1, IF(_xlpm.テスト内容数=0,1,_xlpm.テスト内容数),
_xlpm.詳細項目数&amp;"-"&amp;_xlpm.観点数&amp;"-"&amp;_xlpm.テスト内容数_空なら1
)</f>
        <v>110-3-1</v>
      </c>
      <c r="B421" s="207"/>
      <c r="C421" s="207"/>
      <c r="D421" s="198"/>
      <c r="E421" s="198"/>
      <c r="F421" s="94" t="s">
        <v>464</v>
      </c>
      <c r="G421" s="95"/>
      <c r="H421" s="96"/>
      <c r="I421" s="96"/>
      <c r="J421" s="235" t="s">
        <v>778</v>
      </c>
      <c r="K421" s="97"/>
      <c r="L421" s="96"/>
      <c r="M421" s="96"/>
      <c r="N421" s="96"/>
      <c r="O421" s="126"/>
      <c r="P421" s="97"/>
      <c r="Q421" s="97"/>
    </row>
    <row r="422" spans="1:17" ht="33.75">
      <c r="A422" s="43" t="str" cm="1">
        <f t="array" aca="1" ref="A422" ca="1">_xlfn.LET(
_xlpm.詳細項目数, COUNTA($E$11:E422),
_xlpm.直近で詳細項目が空でないセルの行番号, MAX(INDEX((LEN($E$11:E422)&gt;0)*ROW($E$11:E422),0)),
_xlpm.観点数, COUNTA(INDIRECT("F"&amp;_xlpm.直近で詳細項目が空でないセルの行番号):F422),
_xlpm.直近で観点が空でないセルの行番号, MAX(INDEX((LEN($F$11:F422)&gt;0)*ROW($F$11:F422),0)),
_xlpm.テスト内容数, COUNTA(INDIRECT("J"&amp;_xlpm.直近で観点が空でないセルの行番号):J422),
_xlpm.テスト内容数_空なら1, IF(_xlpm.テスト内容数=0,1,_xlpm.テスト内容数),
_xlpm.詳細項目数&amp;"-"&amp;_xlpm.観点数&amp;"-"&amp;_xlpm.テスト内容数_空なら1
)</f>
        <v>111-1-1</v>
      </c>
      <c r="B422" s="207"/>
      <c r="C422" s="207"/>
      <c r="D422" s="207" t="s">
        <v>465</v>
      </c>
      <c r="E422" s="207" t="s">
        <v>499</v>
      </c>
      <c r="F422" s="60" t="s">
        <v>466</v>
      </c>
      <c r="G422" s="71"/>
      <c r="H422" s="116" t="s">
        <v>648</v>
      </c>
      <c r="I422" s="116" t="s">
        <v>779</v>
      </c>
      <c r="J422" s="117" t="s">
        <v>948</v>
      </c>
      <c r="K422" s="78" t="s">
        <v>776</v>
      </c>
      <c r="L422" s="116"/>
      <c r="M422" s="116"/>
      <c r="N422" s="54"/>
      <c r="O422" s="130"/>
      <c r="P422" s="78"/>
      <c r="Q422" s="78"/>
    </row>
    <row r="423" spans="1:17" ht="33.75">
      <c r="A423" s="43" t="str" cm="1">
        <f t="array" aca="1" ref="A423" ca="1">_xlfn.LET(
_xlpm.詳細項目数, COUNTA($E$11:E423),
_xlpm.直近で詳細項目が空でないセルの行番号, MAX(INDEX((LEN($E$11:E423)&gt;0)*ROW($E$11:E423),0)),
_xlpm.観点数, COUNTA(INDIRECT("F"&amp;_xlpm.直近で詳細項目が空でないセルの行番号):F423),
_xlpm.直近で観点が空でないセルの行番号, MAX(INDEX((LEN($F$11:F423)&gt;0)*ROW($F$11:F423),0)),
_xlpm.テスト内容数, COUNTA(INDIRECT("J"&amp;_xlpm.直近で観点が空でないセルの行番号):J423),
_xlpm.テスト内容数_空なら1, IF(_xlpm.テスト内容数=0,1,_xlpm.テスト内容数),
_xlpm.詳細項目数&amp;"-"&amp;_xlpm.観点数&amp;"-"&amp;_xlpm.テスト内容数_空なら1
)</f>
        <v>111-1-2</v>
      </c>
      <c r="B423" s="213"/>
      <c r="C423" s="210"/>
      <c r="D423" s="207"/>
      <c r="E423" s="207"/>
      <c r="F423" s="244"/>
      <c r="G423" s="71"/>
      <c r="H423" s="116" t="s">
        <v>648</v>
      </c>
      <c r="I423" s="116" t="s">
        <v>779</v>
      </c>
      <c r="J423" s="117" t="s">
        <v>948</v>
      </c>
      <c r="K423" s="78" t="s">
        <v>777</v>
      </c>
      <c r="L423" s="116"/>
      <c r="M423" s="116"/>
      <c r="N423" s="54"/>
      <c r="O423" s="130"/>
      <c r="P423" s="78"/>
      <c r="Q423" s="78"/>
    </row>
    <row r="424" spans="1:17" ht="22.5">
      <c r="A424" s="43" t="str" cm="1">
        <f t="array" aca="1" ref="A424" ca="1">_xlfn.LET(
_xlpm.詳細項目数, COUNTA($E$11:E424),
_xlpm.直近で詳細項目が空でないセルの行番号, MAX(INDEX((LEN($E$11:E424)&gt;0)*ROW($E$11:E424),0)),
_xlpm.観点数, COUNTA(INDIRECT("F"&amp;_xlpm.直近で詳細項目が空でないセルの行番号):F424),
_xlpm.直近で観点が空でないセルの行番号, MAX(INDEX((LEN($F$11:F424)&gt;0)*ROW($F$11:F424),0)),
_xlpm.テスト内容数, COUNTA(INDIRECT("J"&amp;_xlpm.直近で観点が空でないセルの行番号):J424),
_xlpm.テスト内容数_空なら1, IF(_xlpm.テスト内容数=0,1,_xlpm.テスト内容数),
_xlpm.詳細項目数&amp;"-"&amp;_xlpm.観点数&amp;"-"&amp;_xlpm.テスト内容数_空なら1
)</f>
        <v>111-1-3</v>
      </c>
      <c r="B424" s="213"/>
      <c r="C424" s="210"/>
      <c r="D424" s="207"/>
      <c r="E424" s="207"/>
      <c r="F424" s="244"/>
      <c r="G424" s="71"/>
      <c r="H424" s="116" t="s">
        <v>648</v>
      </c>
      <c r="I424" s="116" t="s">
        <v>779</v>
      </c>
      <c r="J424" s="117" t="s">
        <v>948</v>
      </c>
      <c r="K424" s="78" t="s">
        <v>780</v>
      </c>
      <c r="L424" s="116"/>
      <c r="M424" s="116"/>
      <c r="N424" s="54"/>
      <c r="O424" s="130"/>
      <c r="P424" s="78"/>
      <c r="Q424" s="78"/>
    </row>
    <row r="425" spans="1:17" ht="33.75">
      <c r="A425" s="43" t="str" cm="1">
        <f t="array" aca="1" ref="A425" ca="1">_xlfn.LET(
_xlpm.詳細項目数, COUNTA($E$11:E425),
_xlpm.直近で詳細項目が空でないセルの行番号, MAX(INDEX((LEN($E$11:E425)&gt;0)*ROW($E$11:E425),0)),
_xlpm.観点数, COUNTA(INDIRECT("F"&amp;_xlpm.直近で詳細項目が空でないセルの行番号):F425),
_xlpm.直近で観点が空でないセルの行番号, MAX(INDEX((LEN($F$11:F425)&gt;0)*ROW($F$11:F425),0)),
_xlpm.テスト内容数, COUNTA(INDIRECT("J"&amp;_xlpm.直近で観点が空でないセルの行番号):J425),
_xlpm.テスト内容数_空なら1, IF(_xlpm.テスト内容数=0,1,_xlpm.テスト内容数),
_xlpm.詳細項目数&amp;"-"&amp;_xlpm.観点数&amp;"-"&amp;_xlpm.テスト内容数_空なら1
)</f>
        <v>111-1-4</v>
      </c>
      <c r="B425" s="213"/>
      <c r="C425" s="210"/>
      <c r="D425" s="207"/>
      <c r="E425" s="207"/>
      <c r="F425" s="244"/>
      <c r="G425" s="71"/>
      <c r="H425" s="116" t="s">
        <v>648</v>
      </c>
      <c r="I425" s="116" t="s">
        <v>779</v>
      </c>
      <c r="J425" s="117" t="s">
        <v>948</v>
      </c>
      <c r="K425" s="78" t="s">
        <v>781</v>
      </c>
      <c r="L425" s="116"/>
      <c r="M425" s="116"/>
      <c r="N425" s="54"/>
      <c r="O425" s="130"/>
      <c r="P425" s="78"/>
      <c r="Q425" s="78"/>
    </row>
    <row r="426" spans="1:17" ht="33.75">
      <c r="A426" s="43" t="str" cm="1">
        <f t="array" aca="1" ref="A426" ca="1">_xlfn.LET(
_xlpm.詳細項目数, COUNTA($E$11:E426),
_xlpm.直近で詳細項目が空でないセルの行番号, MAX(INDEX((LEN($E$11:E426)&gt;0)*ROW($E$11:E426),0)),
_xlpm.観点数, COUNTA(INDIRECT("F"&amp;_xlpm.直近で詳細項目が空でないセルの行番号):F426),
_xlpm.直近で観点が空でないセルの行番号, MAX(INDEX((LEN($F$11:F426)&gt;0)*ROW($F$11:F426),0)),
_xlpm.テスト内容数, COUNTA(INDIRECT("J"&amp;_xlpm.直近で観点が空でないセルの行番号):J426),
_xlpm.テスト内容数_空なら1, IF(_xlpm.テスト内容数=0,1,_xlpm.テスト内容数),
_xlpm.詳細項目数&amp;"-"&amp;_xlpm.観点数&amp;"-"&amp;_xlpm.テスト内容数_空なら1
)</f>
        <v>111-1-5</v>
      </c>
      <c r="B426" s="213"/>
      <c r="C426" s="210"/>
      <c r="D426" s="207"/>
      <c r="E426" s="207"/>
      <c r="F426" s="244"/>
      <c r="G426" s="71"/>
      <c r="H426" s="116" t="s">
        <v>648</v>
      </c>
      <c r="I426" s="116" t="s">
        <v>779</v>
      </c>
      <c r="J426" s="117" t="s">
        <v>948</v>
      </c>
      <c r="K426" s="78" t="s">
        <v>782</v>
      </c>
      <c r="L426" s="116"/>
      <c r="M426" s="116"/>
      <c r="N426" s="54"/>
      <c r="O426" s="130"/>
      <c r="P426" s="78"/>
      <c r="Q426" s="78"/>
    </row>
    <row r="427" spans="1:17" ht="22.5">
      <c r="A427" s="43" t="str" cm="1">
        <f t="array" aca="1" ref="A427" ca="1">_xlfn.LET(
_xlpm.詳細項目数, COUNTA($E$11:E427),
_xlpm.直近で詳細項目が空でないセルの行番号, MAX(INDEX((LEN($E$11:E427)&gt;0)*ROW($E$11:E427),0)),
_xlpm.観点数, COUNTA(INDIRECT("F"&amp;_xlpm.直近で詳細項目が空でないセルの行番号):F427),
_xlpm.直近で観点が空でないセルの行番号, MAX(INDEX((LEN($F$11:F427)&gt;0)*ROW($F$11:F427),0)),
_xlpm.テスト内容数, COUNTA(INDIRECT("J"&amp;_xlpm.直近で観点が空でないセルの行番号):J427),
_xlpm.テスト内容数_空なら1, IF(_xlpm.テスト内容数=0,1,_xlpm.テスト内容数),
_xlpm.詳細項目数&amp;"-"&amp;_xlpm.観点数&amp;"-"&amp;_xlpm.テスト内容数_空なら1
)</f>
        <v>111-1-6</v>
      </c>
      <c r="B427" s="213"/>
      <c r="C427" s="210"/>
      <c r="D427" s="207"/>
      <c r="E427" s="207"/>
      <c r="F427" s="244"/>
      <c r="G427" s="71"/>
      <c r="H427" s="116" t="s">
        <v>648</v>
      </c>
      <c r="I427" s="116" t="s">
        <v>779</v>
      </c>
      <c r="J427" s="117" t="s">
        <v>948</v>
      </c>
      <c r="K427" s="78" t="s">
        <v>783</v>
      </c>
      <c r="L427" s="116"/>
      <c r="M427" s="116"/>
      <c r="N427" s="54"/>
      <c r="O427" s="130"/>
      <c r="P427" s="78"/>
      <c r="Q427" s="78"/>
    </row>
    <row r="428" spans="1:17" ht="22.5">
      <c r="A428" s="43" t="str" cm="1">
        <f t="array" aca="1" ref="A428" ca="1">_xlfn.LET(
_xlpm.詳細項目数, COUNTA($E$11:E428),
_xlpm.直近で詳細項目が空でないセルの行番号, MAX(INDEX((LEN($E$11:E428)&gt;0)*ROW($E$11:E428),0)),
_xlpm.観点数, COUNTA(INDIRECT("F"&amp;_xlpm.直近で詳細項目が空でないセルの行番号):F428),
_xlpm.直近で観点が空でないセルの行番号, MAX(INDEX((LEN($F$11:F428)&gt;0)*ROW($F$11:F428),0)),
_xlpm.テスト内容数, COUNTA(INDIRECT("J"&amp;_xlpm.直近で観点が空でないセルの行番号):J428),
_xlpm.テスト内容数_空なら1, IF(_xlpm.テスト内容数=0,1,_xlpm.テスト内容数),
_xlpm.詳細項目数&amp;"-"&amp;_xlpm.観点数&amp;"-"&amp;_xlpm.テスト内容数_空なら1
)</f>
        <v>111-1-7</v>
      </c>
      <c r="B428" s="213"/>
      <c r="C428" s="210"/>
      <c r="D428" s="207"/>
      <c r="E428" s="207"/>
      <c r="F428" s="244"/>
      <c r="G428" s="71"/>
      <c r="H428" s="116" t="s">
        <v>648</v>
      </c>
      <c r="I428" s="116" t="s">
        <v>779</v>
      </c>
      <c r="J428" s="117" t="s">
        <v>948</v>
      </c>
      <c r="K428" s="78" t="s">
        <v>784</v>
      </c>
      <c r="L428" s="116"/>
      <c r="M428" s="116"/>
      <c r="N428" s="54"/>
      <c r="O428" s="130"/>
      <c r="P428" s="78"/>
      <c r="Q428" s="78"/>
    </row>
    <row r="429" spans="1:17" ht="22.5">
      <c r="A429" s="43" t="str" cm="1">
        <f t="array" aca="1" ref="A429" ca="1">_xlfn.LET(
_xlpm.詳細項目数, COUNTA($E$11:E429),
_xlpm.直近で詳細項目が空でないセルの行番号, MAX(INDEX((LEN($E$11:E429)&gt;0)*ROW($E$11:E429),0)),
_xlpm.観点数, COUNTA(INDIRECT("F"&amp;_xlpm.直近で詳細項目が空でないセルの行番号):F429),
_xlpm.直近で観点が空でないセルの行番号, MAX(INDEX((LEN($F$11:F429)&gt;0)*ROW($F$11:F429),0)),
_xlpm.テスト内容数, COUNTA(INDIRECT("J"&amp;_xlpm.直近で観点が空でないセルの行番号):J429),
_xlpm.テスト内容数_空なら1, IF(_xlpm.テスト内容数=0,1,_xlpm.テスト内容数),
_xlpm.詳細項目数&amp;"-"&amp;_xlpm.観点数&amp;"-"&amp;_xlpm.テスト内容数_空なら1
)</f>
        <v>111-1-8</v>
      </c>
      <c r="B429" s="213"/>
      <c r="C429" s="210"/>
      <c r="D429" s="207"/>
      <c r="E429" s="207"/>
      <c r="F429" s="244"/>
      <c r="G429" s="71"/>
      <c r="H429" s="116" t="s">
        <v>648</v>
      </c>
      <c r="I429" s="116" t="s">
        <v>779</v>
      </c>
      <c r="J429" s="117" t="s">
        <v>948</v>
      </c>
      <c r="K429" s="78" t="s">
        <v>785</v>
      </c>
      <c r="L429" s="116"/>
      <c r="M429" s="116"/>
      <c r="N429" s="54"/>
      <c r="O429" s="130"/>
      <c r="P429" s="78"/>
      <c r="Q429" s="78"/>
    </row>
    <row r="430" spans="1:17" ht="22.5">
      <c r="A430" s="43" t="str" cm="1">
        <f t="array" aca="1" ref="A430" ca="1">_xlfn.LET(
_xlpm.詳細項目数, COUNTA($E$11:E430),
_xlpm.直近で詳細項目が空でないセルの行番号, MAX(INDEX((LEN($E$11:E430)&gt;0)*ROW($E$11:E430),0)),
_xlpm.観点数, COUNTA(INDIRECT("F"&amp;_xlpm.直近で詳細項目が空でないセルの行番号):F430),
_xlpm.直近で観点が空でないセルの行番号, MAX(INDEX((LEN($F$11:F430)&gt;0)*ROW($F$11:F430),0)),
_xlpm.テスト内容数, COUNTA(INDIRECT("J"&amp;_xlpm.直近で観点が空でないセルの行番号):J430),
_xlpm.テスト内容数_空なら1, IF(_xlpm.テスト内容数=0,1,_xlpm.テスト内容数),
_xlpm.詳細項目数&amp;"-"&amp;_xlpm.観点数&amp;"-"&amp;_xlpm.テスト内容数_空なら1
)</f>
        <v>111-1-9</v>
      </c>
      <c r="B430" s="213"/>
      <c r="C430" s="210"/>
      <c r="D430" s="207"/>
      <c r="E430" s="207"/>
      <c r="F430" s="244"/>
      <c r="G430" s="71"/>
      <c r="H430" s="116" t="s">
        <v>648</v>
      </c>
      <c r="I430" s="116" t="s">
        <v>779</v>
      </c>
      <c r="J430" s="117" t="s">
        <v>948</v>
      </c>
      <c r="K430" s="78" t="s">
        <v>786</v>
      </c>
      <c r="L430" s="116"/>
      <c r="M430" s="116"/>
      <c r="N430" s="54"/>
      <c r="O430" s="130"/>
      <c r="P430" s="78"/>
      <c r="Q430" s="78"/>
    </row>
    <row r="431" spans="1:17" ht="22.5">
      <c r="A431" s="43" t="str" cm="1">
        <f t="array" aca="1" ref="A431" ca="1">_xlfn.LET(
_xlpm.詳細項目数, COUNTA($E$11:E431),
_xlpm.直近で詳細項目が空でないセルの行番号, MAX(INDEX((LEN($E$11:E431)&gt;0)*ROW($E$11:E431),0)),
_xlpm.観点数, COUNTA(INDIRECT("F"&amp;_xlpm.直近で詳細項目が空でないセルの行番号):F431),
_xlpm.直近で観点が空でないセルの行番号, MAX(INDEX((LEN($F$11:F431)&gt;0)*ROW($F$11:F431),0)),
_xlpm.テスト内容数, COUNTA(INDIRECT("J"&amp;_xlpm.直近で観点が空でないセルの行番号):J431),
_xlpm.テスト内容数_空なら1, IF(_xlpm.テスト内容数=0,1,_xlpm.テスト内容数),
_xlpm.詳細項目数&amp;"-"&amp;_xlpm.観点数&amp;"-"&amp;_xlpm.テスト内容数_空なら1
)</f>
        <v>111-1-10</v>
      </c>
      <c r="B431" s="213"/>
      <c r="C431" s="210"/>
      <c r="D431" s="207"/>
      <c r="E431" s="207"/>
      <c r="F431" s="244"/>
      <c r="G431" s="71"/>
      <c r="H431" s="116" t="s">
        <v>648</v>
      </c>
      <c r="I431" s="116" t="s">
        <v>779</v>
      </c>
      <c r="J431" s="117" t="s">
        <v>948</v>
      </c>
      <c r="K431" s="78" t="s">
        <v>787</v>
      </c>
      <c r="L431" s="116"/>
      <c r="M431" s="116"/>
      <c r="N431" s="54"/>
      <c r="O431" s="130"/>
      <c r="P431" s="78"/>
      <c r="Q431" s="78"/>
    </row>
    <row r="432" spans="1:17" ht="22.5">
      <c r="A432" s="43" t="str" cm="1">
        <f t="array" aca="1" ref="A432" ca="1">_xlfn.LET(
_xlpm.詳細項目数, COUNTA($E$11:E432),
_xlpm.直近で詳細項目が空でないセルの行番号, MAX(INDEX((LEN($E$11:E432)&gt;0)*ROW($E$11:E432),0)),
_xlpm.観点数, COUNTA(INDIRECT("F"&amp;_xlpm.直近で詳細項目が空でないセルの行番号):F432),
_xlpm.直近で観点が空でないセルの行番号, MAX(INDEX((LEN($F$11:F432)&gt;0)*ROW($F$11:F432),0)),
_xlpm.テスト内容数, COUNTA(INDIRECT("J"&amp;_xlpm.直近で観点が空でないセルの行番号):J432),
_xlpm.テスト内容数_空なら1, IF(_xlpm.テスト内容数=0,1,_xlpm.テスト内容数),
_xlpm.詳細項目数&amp;"-"&amp;_xlpm.観点数&amp;"-"&amp;_xlpm.テスト内容数_空なら1
)</f>
        <v>111-1-11</v>
      </c>
      <c r="B432" s="213"/>
      <c r="C432" s="210"/>
      <c r="D432" s="207"/>
      <c r="E432" s="207"/>
      <c r="F432" s="244"/>
      <c r="G432" s="71"/>
      <c r="H432" s="116" t="s">
        <v>648</v>
      </c>
      <c r="I432" s="116" t="s">
        <v>779</v>
      </c>
      <c r="J432" s="117" t="s">
        <v>948</v>
      </c>
      <c r="K432" s="78" t="s">
        <v>788</v>
      </c>
      <c r="L432" s="116"/>
      <c r="M432" s="116"/>
      <c r="N432" s="54"/>
      <c r="O432" s="130"/>
      <c r="P432" s="78"/>
      <c r="Q432" s="78"/>
    </row>
    <row r="433" spans="1:17" ht="22.5">
      <c r="A433" s="43" t="str" cm="1">
        <f t="array" aca="1" ref="A433" ca="1">_xlfn.LET(
_xlpm.詳細項目数, COUNTA($E$11:E433),
_xlpm.直近で詳細項目が空でないセルの行番号, MAX(INDEX((LEN($E$11:E433)&gt;0)*ROW($E$11:E433),0)),
_xlpm.観点数, COUNTA(INDIRECT("F"&amp;_xlpm.直近で詳細項目が空でないセルの行番号):F433),
_xlpm.直近で観点が空でないセルの行番号, MAX(INDEX((LEN($F$11:F433)&gt;0)*ROW($F$11:F433),0)),
_xlpm.テスト内容数, COUNTA(INDIRECT("J"&amp;_xlpm.直近で観点が空でないセルの行番号):J433),
_xlpm.テスト内容数_空なら1, IF(_xlpm.テスト内容数=0,1,_xlpm.テスト内容数),
_xlpm.詳細項目数&amp;"-"&amp;_xlpm.観点数&amp;"-"&amp;_xlpm.テスト内容数_空なら1
)</f>
        <v>111-1-12</v>
      </c>
      <c r="B433" s="213"/>
      <c r="C433" s="210"/>
      <c r="D433" s="207"/>
      <c r="E433" s="207"/>
      <c r="F433" s="239"/>
      <c r="G433" s="71"/>
      <c r="H433" s="116" t="s">
        <v>648</v>
      </c>
      <c r="I433" s="116" t="s">
        <v>779</v>
      </c>
      <c r="J433" s="117" t="s">
        <v>948</v>
      </c>
      <c r="K433" s="78" t="s">
        <v>789</v>
      </c>
      <c r="L433" s="116"/>
      <c r="M433" s="116"/>
      <c r="N433" s="54"/>
      <c r="O433" s="130"/>
      <c r="P433" s="78"/>
      <c r="Q433" s="78"/>
    </row>
    <row r="434" spans="1:17" ht="33.75">
      <c r="A434" s="43" t="str" cm="1">
        <f t="array" aca="1" ref="A434" ca="1">_xlfn.LET(
_xlpm.詳細項目数, COUNTA($E$11:E434),
_xlpm.直近で詳細項目が空でないセルの行番号, MAX(INDEX((LEN($E$11:E434)&gt;0)*ROW($E$11:E434),0)),
_xlpm.観点数, COUNTA(INDIRECT("F"&amp;_xlpm.直近で詳細項目が空でないセルの行番号):F434),
_xlpm.直近で観点が空でないセルの行番号, MAX(INDEX((LEN($F$11:F434)&gt;0)*ROW($F$11:F434),0)),
_xlpm.テスト内容数, COUNTA(INDIRECT("J"&amp;_xlpm.直近で観点が空でないセルの行番号):J434),
_xlpm.テスト内容数_空なら1, IF(_xlpm.テスト内容数=0,1,_xlpm.テスト内容数),
_xlpm.詳細項目数&amp;"-"&amp;_xlpm.観点数&amp;"-"&amp;_xlpm.テスト内容数_空なら1
)</f>
        <v>111-2-1</v>
      </c>
      <c r="B434" s="213"/>
      <c r="C434" s="210"/>
      <c r="D434" s="207"/>
      <c r="E434" s="207"/>
      <c r="F434" s="60" t="s">
        <v>467</v>
      </c>
      <c r="G434" s="71"/>
      <c r="H434" s="116" t="s">
        <v>648</v>
      </c>
      <c r="I434" s="116" t="s">
        <v>761</v>
      </c>
      <c r="J434" s="117" t="s">
        <v>950</v>
      </c>
      <c r="K434" s="78" t="s">
        <v>790</v>
      </c>
      <c r="L434" s="116"/>
      <c r="M434" s="116"/>
      <c r="N434" s="54"/>
      <c r="O434" s="130"/>
      <c r="P434" s="78"/>
      <c r="Q434" s="78"/>
    </row>
    <row r="435" spans="1:17" ht="22.5">
      <c r="A435" s="43" t="str" cm="1">
        <f t="array" aca="1" ref="A435" ca="1">_xlfn.LET(
_xlpm.詳細項目数, COUNTA($E$11:E435),
_xlpm.直近で詳細項目が空でないセルの行番号, MAX(INDEX((LEN($E$11:E435)&gt;0)*ROW($E$11:E435),0)),
_xlpm.観点数, COUNTA(INDIRECT("F"&amp;_xlpm.直近で詳細項目が空でないセルの行番号):F435),
_xlpm.直近で観点が空でないセルの行番号, MAX(INDEX((LEN($F$11:F435)&gt;0)*ROW($F$11:F435),0)),
_xlpm.テスト内容数, COUNTA(INDIRECT("J"&amp;_xlpm.直近で観点が空でないセルの行番号):J435),
_xlpm.テスト内容数_空なら1, IF(_xlpm.テスト内容数=0,1,_xlpm.テスト内容数),
_xlpm.詳細項目数&amp;"-"&amp;_xlpm.観点数&amp;"-"&amp;_xlpm.テスト内容数_空なら1
)</f>
        <v>111-2-2</v>
      </c>
      <c r="B435" s="213"/>
      <c r="C435" s="210"/>
      <c r="D435" s="207"/>
      <c r="E435" s="207"/>
      <c r="F435" s="244"/>
      <c r="G435" s="71"/>
      <c r="H435" s="116" t="s">
        <v>648</v>
      </c>
      <c r="I435" s="116" t="s">
        <v>761</v>
      </c>
      <c r="J435" s="117" t="s">
        <v>951</v>
      </c>
      <c r="K435" s="78" t="s">
        <v>790</v>
      </c>
      <c r="L435" s="116"/>
      <c r="M435" s="116"/>
      <c r="N435" s="54"/>
      <c r="O435" s="130"/>
      <c r="P435" s="78"/>
      <c r="Q435" s="78"/>
    </row>
    <row r="436" spans="1:17" ht="22.5">
      <c r="A436" s="43" t="str" cm="1">
        <f t="array" aca="1" ref="A436" ca="1">_xlfn.LET(
_xlpm.詳細項目数, COUNTA($E$11:E436),
_xlpm.直近で詳細項目が空でないセルの行番号, MAX(INDEX((LEN($E$11:E436)&gt;0)*ROW($E$11:E436),0)),
_xlpm.観点数, COUNTA(INDIRECT("F"&amp;_xlpm.直近で詳細項目が空でないセルの行番号):F436),
_xlpm.直近で観点が空でないセルの行番号, MAX(INDEX((LEN($F$11:F436)&gt;0)*ROW($F$11:F436),0)),
_xlpm.テスト内容数, COUNTA(INDIRECT("J"&amp;_xlpm.直近で観点が空でないセルの行番号):J436),
_xlpm.テスト内容数_空なら1, IF(_xlpm.テスト内容数=0,1,_xlpm.テスト内容数),
_xlpm.詳細項目数&amp;"-"&amp;_xlpm.観点数&amp;"-"&amp;_xlpm.テスト内容数_空なら1
)</f>
        <v>111-2-3</v>
      </c>
      <c r="B436" s="213"/>
      <c r="C436" s="210"/>
      <c r="D436" s="207"/>
      <c r="E436" s="207"/>
      <c r="F436" s="244"/>
      <c r="G436" s="71"/>
      <c r="H436" s="116" t="s">
        <v>648</v>
      </c>
      <c r="I436" s="116" t="s">
        <v>761</v>
      </c>
      <c r="J436" s="117" t="s">
        <v>952</v>
      </c>
      <c r="K436" s="78" t="s">
        <v>790</v>
      </c>
      <c r="L436" s="116"/>
      <c r="M436" s="116"/>
      <c r="N436" s="54"/>
      <c r="O436" s="130"/>
      <c r="P436" s="78"/>
      <c r="Q436" s="78"/>
    </row>
    <row r="437" spans="1:17" ht="22.5">
      <c r="A437" s="43" t="str" cm="1">
        <f t="array" aca="1" ref="A437" ca="1">_xlfn.LET(
_xlpm.詳細項目数, COUNTA($E$11:E437),
_xlpm.直近で詳細項目が空でないセルの行番号, MAX(INDEX((LEN($E$11:E437)&gt;0)*ROW($E$11:E437),0)),
_xlpm.観点数, COUNTA(INDIRECT("F"&amp;_xlpm.直近で詳細項目が空でないセルの行番号):F437),
_xlpm.直近で観点が空でないセルの行番号, MAX(INDEX((LEN($F$11:F437)&gt;0)*ROW($F$11:F437),0)),
_xlpm.テスト内容数, COUNTA(INDIRECT("J"&amp;_xlpm.直近で観点が空でないセルの行番号):J437),
_xlpm.テスト内容数_空なら1, IF(_xlpm.テスト内容数=0,1,_xlpm.テスト内容数),
_xlpm.詳細項目数&amp;"-"&amp;_xlpm.観点数&amp;"-"&amp;_xlpm.テスト内容数_空なら1
)</f>
        <v>111-2-4</v>
      </c>
      <c r="B437" s="213"/>
      <c r="C437" s="210"/>
      <c r="D437" s="207"/>
      <c r="E437" s="207"/>
      <c r="F437" s="244"/>
      <c r="G437" s="71"/>
      <c r="H437" s="116" t="s">
        <v>648</v>
      </c>
      <c r="I437" s="116" t="s">
        <v>761</v>
      </c>
      <c r="J437" s="117" t="s">
        <v>953</v>
      </c>
      <c r="K437" s="78" t="s">
        <v>790</v>
      </c>
      <c r="L437" s="116"/>
      <c r="M437" s="116"/>
      <c r="N437" s="54"/>
      <c r="O437" s="130"/>
      <c r="P437" s="78"/>
      <c r="Q437" s="78"/>
    </row>
    <row r="438" spans="1:17" ht="22.5">
      <c r="A438" s="43" t="str" cm="1">
        <f t="array" aca="1" ref="A438" ca="1">_xlfn.LET(
_xlpm.詳細項目数, COUNTA($E$11:E438),
_xlpm.直近で詳細項目が空でないセルの行番号, MAX(INDEX((LEN($E$11:E438)&gt;0)*ROW($E$11:E438),0)),
_xlpm.観点数, COUNTA(INDIRECT("F"&amp;_xlpm.直近で詳細項目が空でないセルの行番号):F438),
_xlpm.直近で観点が空でないセルの行番号, MAX(INDEX((LEN($F$11:F438)&gt;0)*ROW($F$11:F438),0)),
_xlpm.テスト内容数, COUNTA(INDIRECT("J"&amp;_xlpm.直近で観点が空でないセルの行番号):J438),
_xlpm.テスト内容数_空なら1, IF(_xlpm.テスト内容数=0,1,_xlpm.テスト内容数),
_xlpm.詳細項目数&amp;"-"&amp;_xlpm.観点数&amp;"-"&amp;_xlpm.テスト内容数_空なら1
)</f>
        <v>111-2-5</v>
      </c>
      <c r="B438" s="213"/>
      <c r="C438" s="210"/>
      <c r="D438" s="207"/>
      <c r="E438" s="207"/>
      <c r="F438" s="244"/>
      <c r="G438" s="71"/>
      <c r="H438" s="116" t="s">
        <v>648</v>
      </c>
      <c r="I438" s="116" t="s">
        <v>761</v>
      </c>
      <c r="J438" s="117" t="s">
        <v>954</v>
      </c>
      <c r="K438" s="78" t="s">
        <v>790</v>
      </c>
      <c r="L438" s="116"/>
      <c r="M438" s="116"/>
      <c r="N438" s="54"/>
      <c r="O438" s="130"/>
      <c r="P438" s="78"/>
      <c r="Q438" s="78"/>
    </row>
    <row r="439" spans="1:17" ht="22.5">
      <c r="A439" s="43" t="str" cm="1">
        <f t="array" aca="1" ref="A439" ca="1">_xlfn.LET(
_xlpm.詳細項目数, COUNTA($E$11:E439),
_xlpm.直近で詳細項目が空でないセルの行番号, MAX(INDEX((LEN($E$11:E439)&gt;0)*ROW($E$11:E439),0)),
_xlpm.観点数, COUNTA(INDIRECT("F"&amp;_xlpm.直近で詳細項目が空でないセルの行番号):F439),
_xlpm.直近で観点が空でないセルの行番号, MAX(INDEX((LEN($F$11:F439)&gt;0)*ROW($F$11:F439),0)),
_xlpm.テスト内容数, COUNTA(INDIRECT("J"&amp;_xlpm.直近で観点が空でないセルの行番号):J439),
_xlpm.テスト内容数_空なら1, IF(_xlpm.テスト内容数=0,1,_xlpm.テスト内容数),
_xlpm.詳細項目数&amp;"-"&amp;_xlpm.観点数&amp;"-"&amp;_xlpm.テスト内容数_空なら1
)</f>
        <v>111-2-6</v>
      </c>
      <c r="B439" s="213"/>
      <c r="C439" s="210"/>
      <c r="D439" s="207"/>
      <c r="E439" s="207"/>
      <c r="F439" s="239"/>
      <c r="G439" s="71"/>
      <c r="H439" s="116" t="s">
        <v>648</v>
      </c>
      <c r="I439" s="116" t="s">
        <v>761</v>
      </c>
      <c r="J439" s="117" t="s">
        <v>955</v>
      </c>
      <c r="K439" s="78" t="s">
        <v>790</v>
      </c>
      <c r="L439" s="116"/>
      <c r="M439" s="116"/>
      <c r="N439" s="54"/>
      <c r="O439" s="130"/>
      <c r="P439" s="78"/>
      <c r="Q439" s="78"/>
    </row>
    <row r="440" spans="1:17" ht="33.75">
      <c r="A440" s="43" t="str" cm="1">
        <f t="array" aca="1" ref="A440" ca="1">_xlfn.LET(
_xlpm.詳細項目数, COUNTA($E$11:E440),
_xlpm.直近で詳細項目が空でないセルの行番号, MAX(INDEX((LEN($E$11:E440)&gt;0)*ROW($E$11:E440),0)),
_xlpm.観点数, COUNTA(INDIRECT("F"&amp;_xlpm.直近で詳細項目が空でないセルの行番号):F440),
_xlpm.直近で観点が空でないセルの行番号, MAX(INDEX((LEN($F$11:F440)&gt;0)*ROW($F$11:F440),0)),
_xlpm.テスト内容数, COUNTA(INDIRECT("J"&amp;_xlpm.直近で観点が空でないセルの行番号):J440),
_xlpm.テスト内容数_空なら1, IF(_xlpm.テスト内容数=0,1,_xlpm.テスト内容数),
_xlpm.詳細項目数&amp;"-"&amp;_xlpm.観点数&amp;"-"&amp;_xlpm.テスト内容数_空なら1
)</f>
        <v>111-3-1</v>
      </c>
      <c r="B440" s="213"/>
      <c r="C440" s="210"/>
      <c r="D440" s="207"/>
      <c r="E440" s="207"/>
      <c r="F440" s="60" t="s">
        <v>468</v>
      </c>
      <c r="G440" s="71"/>
      <c r="H440" s="116" t="s">
        <v>648</v>
      </c>
      <c r="I440" s="116" t="s">
        <v>791</v>
      </c>
      <c r="J440" s="117" t="s">
        <v>956</v>
      </c>
      <c r="K440" s="78" t="s">
        <v>792</v>
      </c>
      <c r="L440" s="116"/>
      <c r="M440" s="116"/>
      <c r="N440" s="54"/>
      <c r="O440" s="130"/>
      <c r="P440" s="78"/>
      <c r="Q440" s="78"/>
    </row>
    <row r="441" spans="1:17" ht="22.5">
      <c r="A441" s="43" t="str" cm="1">
        <f t="array" aca="1" ref="A441" ca="1">_xlfn.LET(
_xlpm.詳細項目数, COUNTA($E$11:E441),
_xlpm.直近で詳細項目が空でないセルの行番号, MAX(INDEX((LEN($E$11:E441)&gt;0)*ROW($E$11:E441),0)),
_xlpm.観点数, COUNTA(INDIRECT("F"&amp;_xlpm.直近で詳細項目が空でないセルの行番号):F441),
_xlpm.直近で観点が空でないセルの行番号, MAX(INDEX((LEN($F$11:F441)&gt;0)*ROW($F$11:F441),0)),
_xlpm.テスト内容数, COUNTA(INDIRECT("J"&amp;_xlpm.直近で観点が空でないセルの行番号):J441),
_xlpm.テスト内容数_空なら1, IF(_xlpm.テスト内容数=0,1,_xlpm.テスト内容数),
_xlpm.詳細項目数&amp;"-"&amp;_xlpm.観点数&amp;"-"&amp;_xlpm.テスト内容数_空なら1
)</f>
        <v>111-3-2</v>
      </c>
      <c r="B441" s="213"/>
      <c r="C441" s="210"/>
      <c r="D441" s="207"/>
      <c r="E441" s="207"/>
      <c r="F441" s="244"/>
      <c r="G441" s="71"/>
      <c r="H441" s="116" t="s">
        <v>648</v>
      </c>
      <c r="I441" s="116" t="s">
        <v>791</v>
      </c>
      <c r="J441" s="117" t="s">
        <v>957</v>
      </c>
      <c r="K441" s="78" t="s">
        <v>792</v>
      </c>
      <c r="L441" s="116"/>
      <c r="M441" s="116"/>
      <c r="N441" s="54"/>
      <c r="O441" s="130"/>
      <c r="P441" s="78"/>
      <c r="Q441" s="78"/>
    </row>
    <row r="442" spans="1:17" ht="22.5">
      <c r="A442" s="43" t="str" cm="1">
        <f t="array" aca="1" ref="A442" ca="1">_xlfn.LET(
_xlpm.詳細項目数, COUNTA($E$11:E442),
_xlpm.直近で詳細項目が空でないセルの行番号, MAX(INDEX((LEN($E$11:E442)&gt;0)*ROW($E$11:E442),0)),
_xlpm.観点数, COUNTA(INDIRECT("F"&amp;_xlpm.直近で詳細項目が空でないセルの行番号):F442),
_xlpm.直近で観点が空でないセルの行番号, MAX(INDEX((LEN($F$11:F442)&gt;0)*ROW($F$11:F442),0)),
_xlpm.テスト内容数, COUNTA(INDIRECT("J"&amp;_xlpm.直近で観点が空でないセルの行番号):J442),
_xlpm.テスト内容数_空なら1, IF(_xlpm.テスト内容数=0,1,_xlpm.テスト内容数),
_xlpm.詳細項目数&amp;"-"&amp;_xlpm.観点数&amp;"-"&amp;_xlpm.テスト内容数_空なら1
)</f>
        <v>111-3-3</v>
      </c>
      <c r="B442" s="213"/>
      <c r="C442" s="210"/>
      <c r="D442" s="207"/>
      <c r="E442" s="207"/>
      <c r="F442" s="244"/>
      <c r="G442" s="71"/>
      <c r="H442" s="116" t="s">
        <v>648</v>
      </c>
      <c r="I442" s="116" t="s">
        <v>791</v>
      </c>
      <c r="J442" s="117" t="s">
        <v>952</v>
      </c>
      <c r="K442" s="78" t="s">
        <v>792</v>
      </c>
      <c r="L442" s="116"/>
      <c r="M442" s="116"/>
      <c r="N442" s="54"/>
      <c r="O442" s="130"/>
      <c r="P442" s="78"/>
      <c r="Q442" s="78"/>
    </row>
    <row r="443" spans="1:17" ht="22.5">
      <c r="A443" s="43" t="str" cm="1">
        <f t="array" aca="1" ref="A443" ca="1">_xlfn.LET(
_xlpm.詳細項目数, COUNTA($E$11:E443),
_xlpm.直近で詳細項目が空でないセルの行番号, MAX(INDEX((LEN($E$11:E443)&gt;0)*ROW($E$11:E443),0)),
_xlpm.観点数, COUNTA(INDIRECT("F"&amp;_xlpm.直近で詳細項目が空でないセルの行番号):F443),
_xlpm.直近で観点が空でないセルの行番号, MAX(INDEX((LEN($F$11:F443)&gt;0)*ROW($F$11:F443),0)),
_xlpm.テスト内容数, COUNTA(INDIRECT("J"&amp;_xlpm.直近で観点が空でないセルの行番号):J443),
_xlpm.テスト内容数_空なら1, IF(_xlpm.テスト内容数=0,1,_xlpm.テスト内容数),
_xlpm.詳細項目数&amp;"-"&amp;_xlpm.観点数&amp;"-"&amp;_xlpm.テスト内容数_空なら1
)</f>
        <v>111-3-4</v>
      </c>
      <c r="B443" s="213"/>
      <c r="C443" s="210"/>
      <c r="D443" s="207"/>
      <c r="E443" s="207"/>
      <c r="F443" s="244"/>
      <c r="G443" s="71"/>
      <c r="H443" s="116" t="s">
        <v>648</v>
      </c>
      <c r="I443" s="116" t="s">
        <v>791</v>
      </c>
      <c r="J443" s="117" t="s">
        <v>953</v>
      </c>
      <c r="K443" s="78" t="s">
        <v>792</v>
      </c>
      <c r="L443" s="116"/>
      <c r="M443" s="116"/>
      <c r="N443" s="54"/>
      <c r="O443" s="130"/>
      <c r="P443" s="78"/>
      <c r="Q443" s="78"/>
    </row>
    <row r="444" spans="1:17" ht="22.5">
      <c r="A444" s="43" t="str" cm="1">
        <f t="array" aca="1" ref="A444" ca="1">_xlfn.LET(
_xlpm.詳細項目数, COUNTA($E$11:E444),
_xlpm.直近で詳細項目が空でないセルの行番号, MAX(INDEX((LEN($E$11:E444)&gt;0)*ROW($E$11:E444),0)),
_xlpm.観点数, COUNTA(INDIRECT("F"&amp;_xlpm.直近で詳細項目が空でないセルの行番号):F444),
_xlpm.直近で観点が空でないセルの行番号, MAX(INDEX((LEN($F$11:F444)&gt;0)*ROW($F$11:F444),0)),
_xlpm.テスト内容数, COUNTA(INDIRECT("J"&amp;_xlpm.直近で観点が空でないセルの行番号):J444),
_xlpm.テスト内容数_空なら1, IF(_xlpm.テスト内容数=0,1,_xlpm.テスト内容数),
_xlpm.詳細項目数&amp;"-"&amp;_xlpm.観点数&amp;"-"&amp;_xlpm.テスト内容数_空なら1
)</f>
        <v>111-3-5</v>
      </c>
      <c r="B444" s="213"/>
      <c r="C444" s="210"/>
      <c r="D444" s="207"/>
      <c r="E444" s="207"/>
      <c r="F444" s="244"/>
      <c r="G444" s="71"/>
      <c r="H444" s="116" t="s">
        <v>648</v>
      </c>
      <c r="I444" s="116" t="s">
        <v>791</v>
      </c>
      <c r="J444" s="117" t="s">
        <v>954</v>
      </c>
      <c r="K444" s="78" t="s">
        <v>792</v>
      </c>
      <c r="L444" s="116"/>
      <c r="M444" s="116"/>
      <c r="N444" s="54"/>
      <c r="O444" s="130"/>
      <c r="P444" s="78"/>
      <c r="Q444" s="78"/>
    </row>
    <row r="445" spans="1:17" ht="22.5">
      <c r="A445" s="43" t="str" cm="1">
        <f t="array" aca="1" ref="A445" ca="1">_xlfn.LET(
_xlpm.詳細項目数, COUNTA($E$11:E445),
_xlpm.直近で詳細項目が空でないセルの行番号, MAX(INDEX((LEN($E$11:E445)&gt;0)*ROW($E$11:E445),0)),
_xlpm.観点数, COUNTA(INDIRECT("F"&amp;_xlpm.直近で詳細項目が空でないセルの行番号):F445),
_xlpm.直近で観点が空でないセルの行番号, MAX(INDEX((LEN($F$11:F445)&gt;0)*ROW($F$11:F445),0)),
_xlpm.テスト内容数, COUNTA(INDIRECT("J"&amp;_xlpm.直近で観点が空でないセルの行番号):J445),
_xlpm.テスト内容数_空なら1, IF(_xlpm.テスト内容数=0,1,_xlpm.テスト内容数),
_xlpm.詳細項目数&amp;"-"&amp;_xlpm.観点数&amp;"-"&amp;_xlpm.テスト内容数_空なら1
)</f>
        <v>111-3-6</v>
      </c>
      <c r="B445" s="213"/>
      <c r="C445" s="210"/>
      <c r="D445" s="207"/>
      <c r="E445" s="207"/>
      <c r="F445" s="239"/>
      <c r="G445" s="71"/>
      <c r="H445" s="116" t="s">
        <v>648</v>
      </c>
      <c r="I445" s="116" t="s">
        <v>791</v>
      </c>
      <c r="J445" s="117" t="s">
        <v>955</v>
      </c>
      <c r="K445" s="78" t="s">
        <v>792</v>
      </c>
      <c r="L445" s="116"/>
      <c r="M445" s="116"/>
      <c r="N445" s="54"/>
      <c r="O445" s="130"/>
      <c r="P445" s="78"/>
      <c r="Q445" s="78"/>
    </row>
    <row r="446" spans="1:17" ht="22.5">
      <c r="A446" s="43" t="str" cm="1">
        <f t="array" aca="1" ref="A446" ca="1">_xlfn.LET(
_xlpm.詳細項目数, COUNTA($E$11:E446),
_xlpm.直近で詳細項目が空でないセルの行番号, MAX(INDEX((LEN($E$11:E446)&gt;0)*ROW($E$11:E446),0)),
_xlpm.観点数, COUNTA(INDIRECT("F"&amp;_xlpm.直近で詳細項目が空でないセルの行番号):F446),
_xlpm.直近で観点が空でないセルの行番号, MAX(INDEX((LEN($F$11:F446)&gt;0)*ROW($F$11:F446),0)),
_xlpm.テスト内容数, COUNTA(INDIRECT("J"&amp;_xlpm.直近で観点が空でないセルの行番号):J446),
_xlpm.テスト内容数_空なら1, IF(_xlpm.テスト内容数=0,1,_xlpm.テスト内容数),
_xlpm.詳細項目数&amp;"-"&amp;_xlpm.観点数&amp;"-"&amp;_xlpm.テスト内容数_空なら1
)</f>
        <v>111-4-1</v>
      </c>
      <c r="B446" s="213"/>
      <c r="C446" s="210"/>
      <c r="D446" s="207"/>
      <c r="E446" s="207"/>
      <c r="F446" s="94" t="s">
        <v>469</v>
      </c>
      <c r="G446" s="95"/>
      <c r="H446" s="96"/>
      <c r="I446" s="96"/>
      <c r="J446" s="235" t="s">
        <v>793</v>
      </c>
      <c r="K446" s="97"/>
      <c r="L446" s="96"/>
      <c r="M446" s="96"/>
      <c r="N446" s="96"/>
      <c r="O446" s="126"/>
      <c r="P446" s="97"/>
      <c r="Q446" s="97"/>
    </row>
    <row r="447" spans="1:17" ht="33.75">
      <c r="A447" s="43" t="str" cm="1">
        <f t="array" aca="1" ref="A447" ca="1">_xlfn.LET(
_xlpm.詳細項目数, COUNTA($E$11:E447),
_xlpm.直近で詳細項目が空でないセルの行番号, MAX(INDEX((LEN($E$11:E447)&gt;0)*ROW($E$11:E447),0)),
_xlpm.観点数, COUNTA(INDIRECT("F"&amp;_xlpm.直近で詳細項目が空でないセルの行番号):F447),
_xlpm.直近で観点が空でないセルの行番号, MAX(INDEX((LEN($F$11:F447)&gt;0)*ROW($F$11:F447),0)),
_xlpm.テスト内容数, COUNTA(INDIRECT("J"&amp;_xlpm.直近で観点が空でないセルの行番号):J447),
_xlpm.テスト内容数_空なら1, IF(_xlpm.テスト内容数=0,1,_xlpm.テスト内容数),
_xlpm.詳細項目数&amp;"-"&amp;_xlpm.観点数&amp;"-"&amp;_xlpm.テスト内容数_空なら1
)</f>
        <v>111-5-1</v>
      </c>
      <c r="B447" s="213"/>
      <c r="C447" s="210"/>
      <c r="D447" s="207"/>
      <c r="E447" s="207"/>
      <c r="F447" s="60" t="s">
        <v>470</v>
      </c>
      <c r="G447" s="71"/>
      <c r="H447" s="116" t="s">
        <v>648</v>
      </c>
      <c r="I447" s="116" t="s">
        <v>649</v>
      </c>
      <c r="J447" s="117" t="s">
        <v>958</v>
      </c>
      <c r="K447" s="78" t="s">
        <v>1034</v>
      </c>
      <c r="L447" s="116"/>
      <c r="M447" s="116"/>
      <c r="N447" s="54"/>
      <c r="O447" s="130"/>
      <c r="P447" s="78"/>
      <c r="Q447" s="78"/>
    </row>
    <row r="448" spans="1:17" ht="33.75">
      <c r="A448" s="43" t="str" cm="1">
        <f t="array" aca="1" ref="A448" ca="1">_xlfn.LET(
_xlpm.詳細項目数, COUNTA($E$11:E448),
_xlpm.直近で詳細項目が空でないセルの行番号, MAX(INDEX((LEN($E$11:E448)&gt;0)*ROW($E$11:E448),0)),
_xlpm.観点数, COUNTA(INDIRECT("F"&amp;_xlpm.直近で詳細項目が空でないセルの行番号):F448),
_xlpm.直近で観点が空でないセルの行番号, MAX(INDEX((LEN($F$11:F448)&gt;0)*ROW($F$11:F448),0)),
_xlpm.テスト内容数, COUNTA(INDIRECT("J"&amp;_xlpm.直近で観点が空でないセルの行番号):J448),
_xlpm.テスト内容数_空なら1, IF(_xlpm.テスト内容数=0,1,_xlpm.テスト内容数),
_xlpm.詳細項目数&amp;"-"&amp;_xlpm.観点数&amp;"-"&amp;_xlpm.テスト内容数_空なら1
)</f>
        <v>111-5-2</v>
      </c>
      <c r="B448" s="213"/>
      <c r="C448" s="210"/>
      <c r="D448" s="207"/>
      <c r="E448" s="207"/>
      <c r="F448" s="239"/>
      <c r="G448" s="71"/>
      <c r="H448" s="116" t="s">
        <v>648</v>
      </c>
      <c r="I448" s="116" t="s">
        <v>649</v>
      </c>
      <c r="J448" s="238" t="s">
        <v>959</v>
      </c>
      <c r="K448" s="78" t="s">
        <v>1035</v>
      </c>
      <c r="L448" s="116"/>
      <c r="M448" s="116"/>
      <c r="N448" s="54"/>
      <c r="O448" s="130"/>
      <c r="P448" s="78"/>
      <c r="Q448" s="78"/>
    </row>
    <row r="449" spans="1:17" ht="33.75">
      <c r="A449" s="43" t="str" cm="1">
        <f t="array" aca="1" ref="A449" ca="1">_xlfn.LET(
_xlpm.詳細項目数, COUNTA($E$11:E449),
_xlpm.直近で詳細項目が空でないセルの行番号, MAX(INDEX((LEN($E$11:E449)&gt;0)*ROW($E$11:E449),0)),
_xlpm.観点数, COUNTA(INDIRECT("F"&amp;_xlpm.直近で詳細項目が空でないセルの行番号):F449),
_xlpm.直近で観点が空でないセルの行番号, MAX(INDEX((LEN($F$11:F449)&gt;0)*ROW($F$11:F449),0)),
_xlpm.テスト内容数, COUNTA(INDIRECT("J"&amp;_xlpm.直近で観点が空でないセルの行番号):J449),
_xlpm.テスト内容数_空なら1, IF(_xlpm.テスト内容数=0,1,_xlpm.テスト内容数),
_xlpm.詳細項目数&amp;"-"&amp;_xlpm.観点数&amp;"-"&amp;_xlpm.テスト内容数_空なら1
)</f>
        <v>111-6-1</v>
      </c>
      <c r="B449" s="213"/>
      <c r="C449" s="210"/>
      <c r="D449" s="207"/>
      <c r="E449" s="207"/>
      <c r="F449" s="94" t="s">
        <v>471</v>
      </c>
      <c r="G449" s="95" t="s">
        <v>627</v>
      </c>
      <c r="H449" s="96"/>
      <c r="I449" s="96"/>
      <c r="J449" s="97"/>
      <c r="K449" s="97"/>
      <c r="L449" s="96"/>
      <c r="M449" s="96"/>
      <c r="N449" s="96"/>
      <c r="O449" s="126"/>
      <c r="P449" s="97"/>
      <c r="Q449" s="97"/>
    </row>
    <row r="450" spans="1:17" ht="33.75">
      <c r="A450" s="43" t="str" cm="1">
        <f t="array" aca="1" ref="A450" ca="1">_xlfn.LET(
_xlpm.詳細項目数, COUNTA($E$11:E450),
_xlpm.直近で詳細項目が空でないセルの行番号, MAX(INDEX((LEN($E$11:E450)&gt;0)*ROW($E$11:E450),0)),
_xlpm.観点数, COUNTA(INDIRECT("F"&amp;_xlpm.直近で詳細項目が空でないセルの行番号):F450),
_xlpm.直近で観点が空でないセルの行番号, MAX(INDEX((LEN($F$11:F450)&gt;0)*ROW($F$11:F450),0)),
_xlpm.テスト内容数, COUNTA(INDIRECT("J"&amp;_xlpm.直近で観点が空でないセルの行番号):J450),
_xlpm.テスト内容数_空なら1, IF(_xlpm.テスト内容数=0,1,_xlpm.テスト内容数),
_xlpm.詳細項目数&amp;"-"&amp;_xlpm.観点数&amp;"-"&amp;_xlpm.テスト内容数_空なら1
)</f>
        <v>111-7-1</v>
      </c>
      <c r="B450" s="213"/>
      <c r="C450" s="210"/>
      <c r="D450" s="207"/>
      <c r="E450" s="207"/>
      <c r="F450" s="94" t="s">
        <v>472</v>
      </c>
      <c r="G450" s="95"/>
      <c r="H450" s="96"/>
      <c r="I450" s="96"/>
      <c r="J450" s="97" t="s">
        <v>794</v>
      </c>
      <c r="K450" s="97"/>
      <c r="L450" s="96"/>
      <c r="M450" s="96"/>
      <c r="N450" s="96"/>
      <c r="O450" s="126"/>
      <c r="P450" s="97"/>
      <c r="Q450" s="97"/>
    </row>
    <row r="451" spans="1:17" ht="33.75">
      <c r="A451" s="43" t="str" cm="1">
        <f t="array" aca="1" ref="A451" ca="1">_xlfn.LET(
_xlpm.詳細項目数, COUNTA($E$11:E451),
_xlpm.直近で詳細項目が空でないセルの行番号, MAX(INDEX((LEN($E$11:E451)&gt;0)*ROW($E$11:E451),0)),
_xlpm.観点数, COUNTA(INDIRECT("F"&amp;_xlpm.直近で詳細項目が空でないセルの行番号):F451),
_xlpm.直近で観点が空でないセルの行番号, MAX(INDEX((LEN($F$11:F451)&gt;0)*ROW($F$11:F451),0)),
_xlpm.テスト内容数, COUNTA(INDIRECT("J"&amp;_xlpm.直近で観点が空でないセルの行番号):J451),
_xlpm.テスト内容数_空なら1, IF(_xlpm.テスト内容数=0,1,_xlpm.テスト内容数),
_xlpm.詳細項目数&amp;"-"&amp;_xlpm.観点数&amp;"-"&amp;_xlpm.テスト内容数_空なら1
)</f>
        <v>111-8-1</v>
      </c>
      <c r="B451" s="213"/>
      <c r="C451" s="210"/>
      <c r="D451" s="207"/>
      <c r="E451" s="207"/>
      <c r="F451" s="94" t="s">
        <v>473</v>
      </c>
      <c r="G451" s="95"/>
      <c r="H451" s="96"/>
      <c r="I451" s="96"/>
      <c r="J451" s="97" t="s">
        <v>794</v>
      </c>
      <c r="K451" s="97"/>
      <c r="L451" s="96"/>
      <c r="M451" s="96"/>
      <c r="N451" s="96"/>
      <c r="O451" s="126"/>
      <c r="P451" s="97"/>
      <c r="Q451" s="97"/>
    </row>
    <row r="452" spans="1:17" ht="33.75">
      <c r="A452" s="43" t="str" cm="1">
        <f t="array" aca="1" ref="A452" ca="1">_xlfn.LET(
_xlpm.詳細項目数, COUNTA($E$11:E452),
_xlpm.直近で詳細項目が空でないセルの行番号, MAX(INDEX((LEN($E$11:E452)&gt;0)*ROW($E$11:E452),0)),
_xlpm.観点数, COUNTA(INDIRECT("F"&amp;_xlpm.直近で詳細項目が空でないセルの行番号):F452),
_xlpm.直近で観点が空でないセルの行番号, MAX(INDEX((LEN($F$11:F452)&gt;0)*ROW($F$11:F452),0)),
_xlpm.テスト内容数, COUNTA(INDIRECT("J"&amp;_xlpm.直近で観点が空でないセルの行番号):J452),
_xlpm.テスト内容数_空なら1, IF(_xlpm.テスト内容数=0,1,_xlpm.テスト内容数),
_xlpm.詳細項目数&amp;"-"&amp;_xlpm.観点数&amp;"-"&amp;_xlpm.テスト内容数_空なら1
)</f>
        <v>111-9-1</v>
      </c>
      <c r="B452" s="213"/>
      <c r="C452" s="210"/>
      <c r="D452" s="207"/>
      <c r="E452" s="207"/>
      <c r="F452" s="94" t="s">
        <v>474</v>
      </c>
      <c r="G452" s="95"/>
      <c r="H452" s="96"/>
      <c r="I452" s="96"/>
      <c r="J452" s="97" t="s">
        <v>795</v>
      </c>
      <c r="K452" s="97"/>
      <c r="L452" s="96"/>
      <c r="M452" s="96"/>
      <c r="N452" s="96"/>
      <c r="O452" s="126"/>
      <c r="P452" s="97"/>
      <c r="Q452" s="97"/>
    </row>
    <row r="453" spans="1:17" ht="33.75">
      <c r="A453" s="43" t="str" cm="1">
        <f t="array" aca="1" ref="A453" ca="1">_xlfn.LET(
_xlpm.詳細項目数, COUNTA($E$11:E453),
_xlpm.直近で詳細項目が空でないセルの行番号, MAX(INDEX((LEN($E$11:E453)&gt;0)*ROW($E$11:E453),0)),
_xlpm.観点数, COUNTA(INDIRECT("F"&amp;_xlpm.直近で詳細項目が空でないセルの行番号):F453),
_xlpm.直近で観点が空でないセルの行番号, MAX(INDEX((LEN($F$11:F453)&gt;0)*ROW($F$11:F453),0)),
_xlpm.テスト内容数, COUNTA(INDIRECT("J"&amp;_xlpm.直近で観点が空でないセルの行番号):J453),
_xlpm.テスト内容数_空なら1, IF(_xlpm.テスト内容数=0,1,_xlpm.テスト内容数),
_xlpm.詳細項目数&amp;"-"&amp;_xlpm.観点数&amp;"-"&amp;_xlpm.テスト内容数_空なら1
)</f>
        <v>111-10-1</v>
      </c>
      <c r="B453" s="213"/>
      <c r="C453" s="210"/>
      <c r="D453" s="207"/>
      <c r="E453" s="207"/>
      <c r="F453" s="94" t="s">
        <v>475</v>
      </c>
      <c r="G453" s="95"/>
      <c r="H453" s="96"/>
      <c r="I453" s="96"/>
      <c r="J453" s="97" t="s">
        <v>795</v>
      </c>
      <c r="K453" s="97"/>
      <c r="L453" s="96"/>
      <c r="M453" s="96"/>
      <c r="N453" s="96"/>
      <c r="O453" s="126"/>
      <c r="P453" s="97"/>
      <c r="Q453" s="97"/>
    </row>
    <row r="454" spans="1:17" ht="33.75">
      <c r="A454" s="43" t="str" cm="1">
        <f t="array" aca="1" ref="A454" ca="1">_xlfn.LET(
_xlpm.詳細項目数, COUNTA($E$11:E454),
_xlpm.直近で詳細項目が空でないセルの行番号, MAX(INDEX((LEN($E$11:E454)&gt;0)*ROW($E$11:E454),0)),
_xlpm.観点数, COUNTA(INDIRECT("F"&amp;_xlpm.直近で詳細項目が空でないセルの行番号):F454),
_xlpm.直近で観点が空でないセルの行番号, MAX(INDEX((LEN($F$11:F454)&gt;0)*ROW($F$11:F454),0)),
_xlpm.テスト内容数, COUNTA(INDIRECT("J"&amp;_xlpm.直近で観点が空でないセルの行番号):J454),
_xlpm.テスト内容数_空なら1, IF(_xlpm.テスト内容数=0,1,_xlpm.テスト内容数),
_xlpm.詳細項目数&amp;"-"&amp;_xlpm.観点数&amp;"-"&amp;_xlpm.テスト内容数_空なら1
)</f>
        <v>111-11-1</v>
      </c>
      <c r="B454" s="213"/>
      <c r="C454" s="210"/>
      <c r="D454" s="207"/>
      <c r="E454" s="207"/>
      <c r="F454" s="60" t="s">
        <v>476</v>
      </c>
      <c r="G454" s="71"/>
      <c r="H454" s="116" t="s">
        <v>648</v>
      </c>
      <c r="I454" s="116" t="s">
        <v>649</v>
      </c>
      <c r="J454" s="78" t="s">
        <v>1020</v>
      </c>
      <c r="K454" s="78" t="s">
        <v>1032</v>
      </c>
      <c r="L454" s="116"/>
      <c r="M454" s="116"/>
      <c r="N454" s="54"/>
      <c r="O454" s="130"/>
      <c r="P454" s="78"/>
      <c r="Q454" s="78"/>
    </row>
    <row r="455" spans="1:17" ht="33.75">
      <c r="A455" s="43" t="str" cm="1">
        <f t="array" aca="1" ref="A455" ca="1">_xlfn.LET(
_xlpm.詳細項目数, COUNTA($E$11:E455),
_xlpm.直近で詳細項目が空でないセルの行番号, MAX(INDEX((LEN($E$11:E455)&gt;0)*ROW($E$11:E455),0)),
_xlpm.観点数, COUNTA(INDIRECT("F"&amp;_xlpm.直近で詳細項目が空でないセルの行番号):F455),
_xlpm.直近で観点が空でないセルの行番号, MAX(INDEX((LEN($F$11:F455)&gt;0)*ROW($F$11:F455),0)),
_xlpm.テスト内容数, COUNTA(INDIRECT("J"&amp;_xlpm.直近で観点が空でないセルの行番号):J455),
_xlpm.テスト内容数_空なら1, IF(_xlpm.テスト内容数=0,1,_xlpm.テスト内容数),
_xlpm.詳細項目数&amp;"-"&amp;_xlpm.観点数&amp;"-"&amp;_xlpm.テスト内容数_空なら1
)</f>
        <v>111-11-2</v>
      </c>
      <c r="B455" s="213"/>
      <c r="C455" s="210"/>
      <c r="D455" s="207"/>
      <c r="E455" s="207"/>
      <c r="F455" s="239"/>
      <c r="G455" s="71"/>
      <c r="H455" s="116" t="s">
        <v>648</v>
      </c>
      <c r="I455" s="116" t="s">
        <v>649</v>
      </c>
      <c r="J455" s="78" t="s">
        <v>1021</v>
      </c>
      <c r="K455" s="78" t="s">
        <v>1036</v>
      </c>
      <c r="L455" s="116"/>
      <c r="M455" s="116"/>
      <c r="N455" s="54"/>
      <c r="O455" s="130"/>
      <c r="P455" s="78"/>
      <c r="Q455" s="78"/>
    </row>
    <row r="456" spans="1:17" ht="33.75">
      <c r="A456" s="43" t="str" cm="1">
        <f t="array" aca="1" ref="A456" ca="1">_xlfn.LET(
_xlpm.詳細項目数, COUNTA($E$11:E456),
_xlpm.直近で詳細項目が空でないセルの行番号, MAX(INDEX((LEN($E$11:E456)&gt;0)*ROW($E$11:E456),0)),
_xlpm.観点数, COUNTA(INDIRECT("F"&amp;_xlpm.直近で詳細項目が空でないセルの行番号):F456),
_xlpm.直近で観点が空でないセルの行番号, MAX(INDEX((LEN($F$11:F456)&gt;0)*ROW($F$11:F456),0)),
_xlpm.テスト内容数, COUNTA(INDIRECT("J"&amp;_xlpm.直近で観点が空でないセルの行番号):J456),
_xlpm.テスト内容数_空なら1, IF(_xlpm.テスト内容数=0,1,_xlpm.テスト内容数),
_xlpm.詳細項目数&amp;"-"&amp;_xlpm.観点数&amp;"-"&amp;_xlpm.テスト内容数_空なら1
)</f>
        <v>111-12-1</v>
      </c>
      <c r="B456" s="213"/>
      <c r="C456" s="210"/>
      <c r="D456" s="207"/>
      <c r="E456" s="207"/>
      <c r="F456" s="60" t="s">
        <v>477</v>
      </c>
      <c r="G456" s="71"/>
      <c r="H456" s="116" t="s">
        <v>648</v>
      </c>
      <c r="I456" s="116" t="s">
        <v>761</v>
      </c>
      <c r="J456" s="78" t="s">
        <v>948</v>
      </c>
      <c r="K456" s="78" t="s">
        <v>776</v>
      </c>
      <c r="L456" s="116"/>
      <c r="M456" s="116"/>
      <c r="N456" s="54"/>
      <c r="O456" s="130"/>
      <c r="P456" s="78"/>
      <c r="Q456" s="78"/>
    </row>
    <row r="457" spans="1:17" ht="33.75">
      <c r="A457" s="43" t="str" cm="1">
        <f t="array" aca="1" ref="A457" ca="1">_xlfn.LET(
_xlpm.詳細項目数, COUNTA($E$11:E457),
_xlpm.直近で詳細項目が空でないセルの行番号, MAX(INDEX((LEN($E$11:E457)&gt;0)*ROW($E$11:E457),0)),
_xlpm.観点数, COUNTA(INDIRECT("F"&amp;_xlpm.直近で詳細項目が空でないセルの行番号):F457),
_xlpm.直近で観点が空でないセルの行番号, MAX(INDEX((LEN($F$11:F457)&gt;0)*ROW($F$11:F457),0)),
_xlpm.テスト内容数, COUNTA(INDIRECT("J"&amp;_xlpm.直近で観点が空でないセルの行番号):J457),
_xlpm.テスト内容数_空なら1, IF(_xlpm.テスト内容数=0,1,_xlpm.テスト内容数),
_xlpm.詳細項目数&amp;"-"&amp;_xlpm.観点数&amp;"-"&amp;_xlpm.テスト内容数_空なら1
)</f>
        <v>111-12-2</v>
      </c>
      <c r="B457" s="213"/>
      <c r="C457" s="210"/>
      <c r="D457" s="207"/>
      <c r="E457" s="207"/>
      <c r="F457" s="244"/>
      <c r="G457" s="71"/>
      <c r="H457" s="116" t="s">
        <v>648</v>
      </c>
      <c r="I457" s="116" t="s">
        <v>761</v>
      </c>
      <c r="J457" s="78" t="s">
        <v>948</v>
      </c>
      <c r="K457" s="78" t="s">
        <v>777</v>
      </c>
      <c r="L457" s="116"/>
      <c r="M457" s="116"/>
      <c r="N457" s="54"/>
      <c r="O457" s="130"/>
      <c r="P457" s="78"/>
      <c r="Q457" s="78"/>
    </row>
    <row r="458" spans="1:17" ht="22.5">
      <c r="A458" s="43" t="str" cm="1">
        <f t="array" aca="1" ref="A458" ca="1">_xlfn.LET(
_xlpm.詳細項目数, COUNTA($E$11:E458),
_xlpm.直近で詳細項目が空でないセルの行番号, MAX(INDEX((LEN($E$11:E458)&gt;0)*ROW($E$11:E458),0)),
_xlpm.観点数, COUNTA(INDIRECT("F"&amp;_xlpm.直近で詳細項目が空でないセルの行番号):F458),
_xlpm.直近で観点が空でないセルの行番号, MAX(INDEX((LEN($F$11:F458)&gt;0)*ROW($F$11:F458),0)),
_xlpm.テスト内容数, COUNTA(INDIRECT("J"&amp;_xlpm.直近で観点が空でないセルの行番号):J458),
_xlpm.テスト内容数_空なら1, IF(_xlpm.テスト内容数=0,1,_xlpm.テスト内容数),
_xlpm.詳細項目数&amp;"-"&amp;_xlpm.観点数&amp;"-"&amp;_xlpm.テスト内容数_空なら1
)</f>
        <v>111-12-3</v>
      </c>
      <c r="B458" s="213"/>
      <c r="C458" s="210"/>
      <c r="D458" s="207"/>
      <c r="E458" s="207"/>
      <c r="F458" s="244"/>
      <c r="G458" s="71"/>
      <c r="H458" s="116" t="s">
        <v>648</v>
      </c>
      <c r="I458" s="116" t="s">
        <v>761</v>
      </c>
      <c r="J458" s="78" t="s">
        <v>948</v>
      </c>
      <c r="K458" s="78" t="s">
        <v>796</v>
      </c>
      <c r="L458" s="116"/>
      <c r="M458" s="116"/>
      <c r="N458" s="54"/>
      <c r="O458" s="130"/>
      <c r="P458" s="78"/>
      <c r="Q458" s="78"/>
    </row>
    <row r="459" spans="1:17" ht="33.75">
      <c r="A459" s="43" t="str" cm="1">
        <f t="array" aca="1" ref="A459" ca="1">_xlfn.LET(
_xlpm.詳細項目数, COUNTA($E$11:E459),
_xlpm.直近で詳細項目が空でないセルの行番号, MAX(INDEX((LEN($E$11:E459)&gt;0)*ROW($E$11:E459),0)),
_xlpm.観点数, COUNTA(INDIRECT("F"&amp;_xlpm.直近で詳細項目が空でないセルの行番号):F459),
_xlpm.直近で観点が空でないセルの行番号, MAX(INDEX((LEN($F$11:F459)&gt;0)*ROW($F$11:F459),0)),
_xlpm.テスト内容数, COUNTA(INDIRECT("J"&amp;_xlpm.直近で観点が空でないセルの行番号):J459),
_xlpm.テスト内容数_空なら1, IF(_xlpm.テスト内容数=0,1,_xlpm.テスト内容数),
_xlpm.詳細項目数&amp;"-"&amp;_xlpm.観点数&amp;"-"&amp;_xlpm.テスト内容数_空なら1
)</f>
        <v>111-12-4</v>
      </c>
      <c r="B459" s="213"/>
      <c r="C459" s="210"/>
      <c r="D459" s="207"/>
      <c r="E459" s="207"/>
      <c r="F459" s="244"/>
      <c r="G459" s="71"/>
      <c r="H459" s="116" t="s">
        <v>648</v>
      </c>
      <c r="I459" s="116" t="s">
        <v>761</v>
      </c>
      <c r="J459" s="78" t="s">
        <v>948</v>
      </c>
      <c r="K459" s="78" t="s">
        <v>781</v>
      </c>
      <c r="L459" s="116"/>
      <c r="M459" s="116"/>
      <c r="N459" s="54"/>
      <c r="O459" s="130"/>
      <c r="P459" s="78"/>
      <c r="Q459" s="78"/>
    </row>
    <row r="460" spans="1:17" ht="33.75">
      <c r="A460" s="43" t="str" cm="1">
        <f t="array" aca="1" ref="A460" ca="1">_xlfn.LET(
_xlpm.詳細項目数, COUNTA($E$11:E460),
_xlpm.直近で詳細項目が空でないセルの行番号, MAX(INDEX((LEN($E$11:E460)&gt;0)*ROW($E$11:E460),0)),
_xlpm.観点数, COUNTA(INDIRECT("F"&amp;_xlpm.直近で詳細項目が空でないセルの行番号):F460),
_xlpm.直近で観点が空でないセルの行番号, MAX(INDEX((LEN($F$11:F460)&gt;0)*ROW($F$11:F460),0)),
_xlpm.テスト内容数, COUNTA(INDIRECT("J"&amp;_xlpm.直近で観点が空でないセルの行番号):J460),
_xlpm.テスト内容数_空なら1, IF(_xlpm.テスト内容数=0,1,_xlpm.テスト内容数),
_xlpm.詳細項目数&amp;"-"&amp;_xlpm.観点数&amp;"-"&amp;_xlpm.テスト内容数_空なら1
)</f>
        <v>111-12-5</v>
      </c>
      <c r="B460" s="213"/>
      <c r="C460" s="210"/>
      <c r="D460" s="207"/>
      <c r="E460" s="207"/>
      <c r="F460" s="244"/>
      <c r="G460" s="71"/>
      <c r="H460" s="116" t="s">
        <v>648</v>
      </c>
      <c r="I460" s="116" t="s">
        <v>761</v>
      </c>
      <c r="J460" s="78" t="s">
        <v>948</v>
      </c>
      <c r="K460" s="78" t="s">
        <v>782</v>
      </c>
      <c r="L460" s="116"/>
      <c r="M460" s="116"/>
      <c r="N460" s="54"/>
      <c r="O460" s="130"/>
      <c r="P460" s="78"/>
      <c r="Q460" s="78"/>
    </row>
    <row r="461" spans="1:17" ht="22.5">
      <c r="A461" s="43" t="str" cm="1">
        <f t="array" aca="1" ref="A461" ca="1">_xlfn.LET(
_xlpm.詳細項目数, COUNTA($E$11:E461),
_xlpm.直近で詳細項目が空でないセルの行番号, MAX(INDEX((LEN($E$11:E461)&gt;0)*ROW($E$11:E461),0)),
_xlpm.観点数, COUNTA(INDIRECT("F"&amp;_xlpm.直近で詳細項目が空でないセルの行番号):F461),
_xlpm.直近で観点が空でないセルの行番号, MAX(INDEX((LEN($F$11:F461)&gt;0)*ROW($F$11:F461),0)),
_xlpm.テスト内容数, COUNTA(INDIRECT("J"&amp;_xlpm.直近で観点が空でないセルの行番号):J461),
_xlpm.テスト内容数_空なら1, IF(_xlpm.テスト内容数=0,1,_xlpm.テスト内容数),
_xlpm.詳細項目数&amp;"-"&amp;_xlpm.観点数&amp;"-"&amp;_xlpm.テスト内容数_空なら1
)</f>
        <v>111-12-6</v>
      </c>
      <c r="B461" s="213"/>
      <c r="C461" s="210"/>
      <c r="D461" s="207"/>
      <c r="E461" s="207"/>
      <c r="F461" s="244"/>
      <c r="G461" s="71"/>
      <c r="H461" s="116" t="s">
        <v>648</v>
      </c>
      <c r="I461" s="116" t="s">
        <v>761</v>
      </c>
      <c r="J461" s="78" t="s">
        <v>948</v>
      </c>
      <c r="K461" s="78" t="s">
        <v>797</v>
      </c>
      <c r="L461" s="116"/>
      <c r="M461" s="116"/>
      <c r="N461" s="54"/>
      <c r="O461" s="130"/>
      <c r="P461" s="78"/>
      <c r="Q461" s="78"/>
    </row>
    <row r="462" spans="1:17" ht="22.5">
      <c r="A462" s="43" t="str" cm="1">
        <f t="array" aca="1" ref="A462" ca="1">_xlfn.LET(
_xlpm.詳細項目数, COUNTA($E$11:E462),
_xlpm.直近で詳細項目が空でないセルの行番号, MAX(INDEX((LEN($E$11:E462)&gt;0)*ROW($E$11:E462),0)),
_xlpm.観点数, COUNTA(INDIRECT("F"&amp;_xlpm.直近で詳細項目が空でないセルの行番号):F462),
_xlpm.直近で観点が空でないセルの行番号, MAX(INDEX((LEN($F$11:F462)&gt;0)*ROW($F$11:F462),0)),
_xlpm.テスト内容数, COUNTA(INDIRECT("J"&amp;_xlpm.直近で観点が空でないセルの行番号):J462),
_xlpm.テスト内容数_空なら1, IF(_xlpm.テスト内容数=0,1,_xlpm.テスト内容数),
_xlpm.詳細項目数&amp;"-"&amp;_xlpm.観点数&amp;"-"&amp;_xlpm.テスト内容数_空なら1
)</f>
        <v>111-12-7</v>
      </c>
      <c r="B462" s="213"/>
      <c r="C462" s="210"/>
      <c r="D462" s="207"/>
      <c r="E462" s="207"/>
      <c r="F462" s="244"/>
      <c r="G462" s="71"/>
      <c r="H462" s="116" t="s">
        <v>648</v>
      </c>
      <c r="I462" s="116" t="s">
        <v>761</v>
      </c>
      <c r="J462" s="78" t="s">
        <v>948</v>
      </c>
      <c r="K462" s="78" t="s">
        <v>798</v>
      </c>
      <c r="L462" s="116"/>
      <c r="M462" s="116"/>
      <c r="N462" s="54"/>
      <c r="O462" s="130"/>
      <c r="P462" s="78"/>
      <c r="Q462" s="78"/>
    </row>
    <row r="463" spans="1:17" ht="22.5">
      <c r="A463" s="43" t="str" cm="1">
        <f t="array" aca="1" ref="A463" ca="1">_xlfn.LET(
_xlpm.詳細項目数, COUNTA($E$11:E463),
_xlpm.直近で詳細項目が空でないセルの行番号, MAX(INDEX((LEN($E$11:E463)&gt;0)*ROW($E$11:E463),0)),
_xlpm.観点数, COUNTA(INDIRECT("F"&amp;_xlpm.直近で詳細項目が空でないセルの行番号):F463),
_xlpm.直近で観点が空でないセルの行番号, MAX(INDEX((LEN($F$11:F463)&gt;0)*ROW($F$11:F463),0)),
_xlpm.テスト内容数, COUNTA(INDIRECT("J"&amp;_xlpm.直近で観点が空でないセルの行番号):J463),
_xlpm.テスト内容数_空なら1, IF(_xlpm.テスト内容数=0,1,_xlpm.テスト内容数),
_xlpm.詳細項目数&amp;"-"&amp;_xlpm.観点数&amp;"-"&amp;_xlpm.テスト内容数_空なら1
)</f>
        <v>111-12-8</v>
      </c>
      <c r="B463" s="213"/>
      <c r="C463" s="210"/>
      <c r="D463" s="207"/>
      <c r="E463" s="207"/>
      <c r="F463" s="244"/>
      <c r="G463" s="71"/>
      <c r="H463" s="116" t="s">
        <v>648</v>
      </c>
      <c r="I463" s="116" t="s">
        <v>761</v>
      </c>
      <c r="J463" s="78" t="s">
        <v>948</v>
      </c>
      <c r="K463" s="78" t="s">
        <v>799</v>
      </c>
      <c r="L463" s="116"/>
      <c r="M463" s="116"/>
      <c r="N463" s="54"/>
      <c r="O463" s="130"/>
      <c r="P463" s="78"/>
      <c r="Q463" s="78"/>
    </row>
    <row r="464" spans="1:17" ht="22.5">
      <c r="A464" s="43" t="str" cm="1">
        <f t="array" aca="1" ref="A464" ca="1">_xlfn.LET(
_xlpm.詳細項目数, COUNTA($E$11:E464),
_xlpm.直近で詳細項目が空でないセルの行番号, MAX(INDEX((LEN($E$11:E464)&gt;0)*ROW($E$11:E464),0)),
_xlpm.観点数, COUNTA(INDIRECT("F"&amp;_xlpm.直近で詳細項目が空でないセルの行番号):F464),
_xlpm.直近で観点が空でないセルの行番号, MAX(INDEX((LEN($F$11:F464)&gt;0)*ROW($F$11:F464),0)),
_xlpm.テスト内容数, COUNTA(INDIRECT("J"&amp;_xlpm.直近で観点が空でないセルの行番号):J464),
_xlpm.テスト内容数_空なら1, IF(_xlpm.テスト内容数=0,1,_xlpm.テスト内容数),
_xlpm.詳細項目数&amp;"-"&amp;_xlpm.観点数&amp;"-"&amp;_xlpm.テスト内容数_空なら1
)</f>
        <v>111-12-9</v>
      </c>
      <c r="B464" s="213"/>
      <c r="C464" s="210"/>
      <c r="D464" s="207"/>
      <c r="E464" s="207"/>
      <c r="F464" s="244"/>
      <c r="G464" s="71"/>
      <c r="H464" s="116" t="s">
        <v>648</v>
      </c>
      <c r="I464" s="116" t="s">
        <v>761</v>
      </c>
      <c r="J464" s="78" t="s">
        <v>948</v>
      </c>
      <c r="K464" s="78" t="s">
        <v>800</v>
      </c>
      <c r="L464" s="116"/>
      <c r="M464" s="116"/>
      <c r="N464" s="54"/>
      <c r="O464" s="130"/>
      <c r="P464" s="78"/>
      <c r="Q464" s="78"/>
    </row>
    <row r="465" spans="1:17" ht="22.5">
      <c r="A465" s="43" t="str" cm="1">
        <f t="array" aca="1" ref="A465" ca="1">_xlfn.LET(
_xlpm.詳細項目数, COUNTA($E$11:E465),
_xlpm.直近で詳細項目が空でないセルの行番号, MAX(INDEX((LEN($E$11:E465)&gt;0)*ROW($E$11:E465),0)),
_xlpm.観点数, COUNTA(INDIRECT("F"&amp;_xlpm.直近で詳細項目が空でないセルの行番号):F465),
_xlpm.直近で観点が空でないセルの行番号, MAX(INDEX((LEN($F$11:F465)&gt;0)*ROW($F$11:F465),0)),
_xlpm.テスト内容数, COUNTA(INDIRECT("J"&amp;_xlpm.直近で観点が空でないセルの行番号):J465),
_xlpm.テスト内容数_空なら1, IF(_xlpm.テスト内容数=0,1,_xlpm.テスト内容数),
_xlpm.詳細項目数&amp;"-"&amp;_xlpm.観点数&amp;"-"&amp;_xlpm.テスト内容数_空なら1
)</f>
        <v>111-12-10</v>
      </c>
      <c r="B465" s="213"/>
      <c r="C465" s="210"/>
      <c r="D465" s="207"/>
      <c r="E465" s="207"/>
      <c r="F465" s="244"/>
      <c r="G465" s="71"/>
      <c r="H465" s="116" t="s">
        <v>648</v>
      </c>
      <c r="I465" s="116" t="s">
        <v>761</v>
      </c>
      <c r="J465" s="78" t="s">
        <v>948</v>
      </c>
      <c r="K465" s="78" t="s">
        <v>801</v>
      </c>
      <c r="L465" s="116"/>
      <c r="M465" s="116"/>
      <c r="N465" s="54"/>
      <c r="O465" s="130"/>
      <c r="P465" s="78"/>
      <c r="Q465" s="78"/>
    </row>
    <row r="466" spans="1:17" ht="22.5">
      <c r="A466" s="43" t="str" cm="1">
        <f t="array" aca="1" ref="A466" ca="1">_xlfn.LET(
_xlpm.詳細項目数, COUNTA($E$11:E466),
_xlpm.直近で詳細項目が空でないセルの行番号, MAX(INDEX((LEN($E$11:E466)&gt;0)*ROW($E$11:E466),0)),
_xlpm.観点数, COUNTA(INDIRECT("F"&amp;_xlpm.直近で詳細項目が空でないセルの行番号):F466),
_xlpm.直近で観点が空でないセルの行番号, MAX(INDEX((LEN($F$11:F466)&gt;0)*ROW($F$11:F466),0)),
_xlpm.テスト内容数, COUNTA(INDIRECT("J"&amp;_xlpm.直近で観点が空でないセルの行番号):J466),
_xlpm.テスト内容数_空なら1, IF(_xlpm.テスト内容数=0,1,_xlpm.テスト内容数),
_xlpm.詳細項目数&amp;"-"&amp;_xlpm.観点数&amp;"-"&amp;_xlpm.テスト内容数_空なら1
)</f>
        <v>111-12-11</v>
      </c>
      <c r="B466" s="213"/>
      <c r="C466" s="210"/>
      <c r="D466" s="207"/>
      <c r="E466" s="207"/>
      <c r="F466" s="244"/>
      <c r="G466" s="71"/>
      <c r="H466" s="116" t="s">
        <v>648</v>
      </c>
      <c r="I466" s="116" t="s">
        <v>761</v>
      </c>
      <c r="J466" s="78" t="s">
        <v>948</v>
      </c>
      <c r="K466" s="78" t="s">
        <v>802</v>
      </c>
      <c r="L466" s="116"/>
      <c r="M466" s="116"/>
      <c r="N466" s="54"/>
      <c r="O466" s="130"/>
      <c r="P466" s="78"/>
      <c r="Q466" s="78"/>
    </row>
    <row r="467" spans="1:17" ht="22.5">
      <c r="A467" s="43" t="str" cm="1">
        <f t="array" aca="1" ref="A467" ca="1">_xlfn.LET(
_xlpm.詳細項目数, COUNTA($E$11:E467),
_xlpm.直近で詳細項目が空でないセルの行番号, MAX(INDEX((LEN($E$11:E467)&gt;0)*ROW($E$11:E467),0)),
_xlpm.観点数, COUNTA(INDIRECT("F"&amp;_xlpm.直近で詳細項目が空でないセルの行番号):F467),
_xlpm.直近で観点が空でないセルの行番号, MAX(INDEX((LEN($F$11:F467)&gt;0)*ROW($F$11:F467),0)),
_xlpm.テスト内容数, COUNTA(INDIRECT("J"&amp;_xlpm.直近で観点が空でないセルの行番号):J467),
_xlpm.テスト内容数_空なら1, IF(_xlpm.テスト内容数=0,1,_xlpm.テスト内容数),
_xlpm.詳細項目数&amp;"-"&amp;_xlpm.観点数&amp;"-"&amp;_xlpm.テスト内容数_空なら1
)</f>
        <v>111-12-12</v>
      </c>
      <c r="B467" s="213"/>
      <c r="C467" s="210"/>
      <c r="D467" s="207"/>
      <c r="E467" s="207"/>
      <c r="F467" s="239"/>
      <c r="G467" s="71"/>
      <c r="H467" s="116" t="s">
        <v>648</v>
      </c>
      <c r="I467" s="116" t="s">
        <v>761</v>
      </c>
      <c r="J467" s="78" t="s">
        <v>948</v>
      </c>
      <c r="K467" s="78" t="s">
        <v>803</v>
      </c>
      <c r="L467" s="116"/>
      <c r="M467" s="116"/>
      <c r="N467" s="54"/>
      <c r="O467" s="130"/>
      <c r="P467" s="78"/>
      <c r="Q467" s="78"/>
    </row>
    <row r="468" spans="1:17" ht="22.5">
      <c r="A468" s="43" t="str" cm="1">
        <f t="array" aca="1" ref="A468" ca="1">_xlfn.LET(
_xlpm.詳細項目数, COUNTA($E$11:E468),
_xlpm.直近で詳細項目が空でないセルの行番号, MAX(INDEX((LEN($E$11:E468)&gt;0)*ROW($E$11:E468),0)),
_xlpm.観点数, COUNTA(INDIRECT("F"&amp;_xlpm.直近で詳細項目が空でないセルの行番号):F468),
_xlpm.直近で観点が空でないセルの行番号, MAX(INDEX((LEN($F$11:F468)&gt;0)*ROW($F$11:F468),0)),
_xlpm.テスト内容数, COUNTA(INDIRECT("J"&amp;_xlpm.直近で観点が空でないセルの行番号):J468),
_xlpm.テスト内容数_空なら1, IF(_xlpm.テスト内容数=0,1,_xlpm.テスト内容数),
_xlpm.詳細項目数&amp;"-"&amp;_xlpm.観点数&amp;"-"&amp;_xlpm.テスト内容数_空なら1
)</f>
        <v>111-13-1</v>
      </c>
      <c r="B468" s="213"/>
      <c r="C468" s="210"/>
      <c r="D468" s="207"/>
      <c r="E468" s="207"/>
      <c r="F468" s="94" t="s">
        <v>478</v>
      </c>
      <c r="G468" s="95"/>
      <c r="H468" s="96"/>
      <c r="I468" s="96"/>
      <c r="J468" s="97" t="s">
        <v>778</v>
      </c>
      <c r="K468" s="97"/>
      <c r="L468" s="96"/>
      <c r="M468" s="96"/>
      <c r="N468" s="96"/>
      <c r="O468" s="126"/>
      <c r="P468" s="97"/>
      <c r="Q468" s="97"/>
    </row>
    <row r="469" spans="1:17" ht="22.5">
      <c r="A469" s="43" t="str" cm="1">
        <f t="array" aca="1" ref="A469" ca="1">_xlfn.LET(
_xlpm.詳細項目数, COUNTA($E$11:E469),
_xlpm.直近で詳細項目が空でないセルの行番号, MAX(INDEX((LEN($E$11:E469)&gt;0)*ROW($E$11:E469),0)),
_xlpm.観点数, COUNTA(INDIRECT("F"&amp;_xlpm.直近で詳細項目が空でないセルの行番号):F469),
_xlpm.直近で観点が空でないセルの行番号, MAX(INDEX((LEN($F$11:F469)&gt;0)*ROW($F$11:F469),0)),
_xlpm.テスト内容数, COUNTA(INDIRECT("J"&amp;_xlpm.直近で観点が空でないセルの行番号):J469),
_xlpm.テスト内容数_空なら1, IF(_xlpm.テスト内容数=0,1,_xlpm.テスト内容数),
_xlpm.詳細項目数&amp;"-"&amp;_xlpm.観点数&amp;"-"&amp;_xlpm.テスト内容数_空なら1
)</f>
        <v>111-14-1</v>
      </c>
      <c r="B469" s="213"/>
      <c r="C469" s="210"/>
      <c r="D469" s="207"/>
      <c r="E469" s="211"/>
      <c r="F469" s="61" t="s">
        <v>479</v>
      </c>
      <c r="G469" s="71"/>
      <c r="H469" s="116" t="s">
        <v>648</v>
      </c>
      <c r="I469" s="116" t="s">
        <v>761</v>
      </c>
      <c r="J469" s="78" t="s">
        <v>960</v>
      </c>
      <c r="K469" s="78" t="s">
        <v>804</v>
      </c>
      <c r="L469" s="116"/>
      <c r="M469" s="116"/>
      <c r="N469" s="54"/>
      <c r="O469" s="130"/>
      <c r="P469" s="78"/>
      <c r="Q469" s="78"/>
    </row>
    <row r="470" spans="1:17" ht="33.75">
      <c r="A470" s="43" t="str" cm="1">
        <f t="array" aca="1" ref="A470" ca="1">_xlfn.LET(
_xlpm.詳細項目数, COUNTA($E$11:E470),
_xlpm.直近で詳細項目が空でないセルの行番号, MAX(INDEX((LEN($E$11:E470)&gt;0)*ROW($E$11:E470),0)),
_xlpm.観点数, COUNTA(INDIRECT("F"&amp;_xlpm.直近で詳細項目が空でないセルの行番号):F470),
_xlpm.直近で観点が空でないセルの行番号, MAX(INDEX((LEN($F$11:F470)&gt;0)*ROW($F$11:F470),0)),
_xlpm.テスト内容数, COUNTA(INDIRECT("J"&amp;_xlpm.直近で観点が空でないセルの行番号):J470),
_xlpm.テスト内容数_空なら1, IF(_xlpm.テスト内容数=0,1,_xlpm.テスト内容数),
_xlpm.詳細項目数&amp;"-"&amp;_xlpm.観点数&amp;"-"&amp;_xlpm.テスト内容数_空なら1
)</f>
        <v>112-1-1</v>
      </c>
      <c r="B470" s="213"/>
      <c r="C470" s="210"/>
      <c r="D470" s="207"/>
      <c r="E470" s="207" t="s">
        <v>127</v>
      </c>
      <c r="F470" s="60" t="s">
        <v>480</v>
      </c>
      <c r="G470" s="71"/>
      <c r="H470" s="116" t="s">
        <v>648</v>
      </c>
      <c r="I470" s="116" t="s">
        <v>805</v>
      </c>
      <c r="J470" s="78" t="s">
        <v>948</v>
      </c>
      <c r="K470" s="78" t="s">
        <v>776</v>
      </c>
      <c r="L470" s="116"/>
      <c r="M470" s="116"/>
      <c r="N470" s="54"/>
      <c r="O470" s="130"/>
      <c r="P470" s="78"/>
      <c r="Q470" s="78"/>
    </row>
    <row r="471" spans="1:17" ht="33.75">
      <c r="A471" s="43" t="str" cm="1">
        <f t="array" aca="1" ref="A471" ca="1">_xlfn.LET(
_xlpm.詳細項目数, COUNTA($E$11:E471),
_xlpm.直近で詳細項目が空でないセルの行番号, MAX(INDEX((LEN($E$11:E471)&gt;0)*ROW($E$11:E471),0)),
_xlpm.観点数, COUNTA(INDIRECT("F"&amp;_xlpm.直近で詳細項目が空でないセルの行番号):F471),
_xlpm.直近で観点が空でないセルの行番号, MAX(INDEX((LEN($F$11:F471)&gt;0)*ROW($F$11:F471),0)),
_xlpm.テスト内容数, COUNTA(INDIRECT("J"&amp;_xlpm.直近で観点が空でないセルの行番号):J471),
_xlpm.テスト内容数_空なら1, IF(_xlpm.テスト内容数=0,1,_xlpm.テスト内容数),
_xlpm.詳細項目数&amp;"-"&amp;_xlpm.観点数&amp;"-"&amp;_xlpm.テスト内容数_空なら1
)</f>
        <v>112-1-2</v>
      </c>
      <c r="B471" s="213"/>
      <c r="C471" s="210"/>
      <c r="D471" s="207"/>
      <c r="E471" s="207"/>
      <c r="F471" s="244"/>
      <c r="G471" s="71"/>
      <c r="H471" s="116" t="s">
        <v>648</v>
      </c>
      <c r="I471" s="116" t="s">
        <v>805</v>
      </c>
      <c r="J471" s="78" t="s">
        <v>948</v>
      </c>
      <c r="K471" s="78" t="s">
        <v>777</v>
      </c>
      <c r="L471" s="116"/>
      <c r="M471" s="116"/>
      <c r="N471" s="54"/>
      <c r="O471" s="130"/>
      <c r="P471" s="78"/>
      <c r="Q471" s="78"/>
    </row>
    <row r="472" spans="1:17" ht="33.75">
      <c r="A472" s="43" t="str" cm="1">
        <f t="array" aca="1" ref="A472" ca="1">_xlfn.LET(
_xlpm.詳細項目数, COUNTA($E$11:E472),
_xlpm.直近で詳細項目が空でないセルの行番号, MAX(INDEX((LEN($E$11:E472)&gt;0)*ROW($E$11:E472),0)),
_xlpm.観点数, COUNTA(INDIRECT("F"&amp;_xlpm.直近で詳細項目が空でないセルの行番号):F472),
_xlpm.直近で観点が空でないセルの行番号, MAX(INDEX((LEN($F$11:F472)&gt;0)*ROW($F$11:F472),0)),
_xlpm.テスト内容数, COUNTA(INDIRECT("J"&amp;_xlpm.直近で観点が空でないセルの行番号):J472),
_xlpm.テスト内容数_空なら1, IF(_xlpm.テスト内容数=0,1,_xlpm.テスト内容数),
_xlpm.詳細項目数&amp;"-"&amp;_xlpm.観点数&amp;"-"&amp;_xlpm.テスト内容数_空なら1
)</f>
        <v>112-1-3</v>
      </c>
      <c r="B472" s="213"/>
      <c r="C472" s="210"/>
      <c r="D472" s="207"/>
      <c r="E472" s="207"/>
      <c r="F472" s="244"/>
      <c r="G472" s="71"/>
      <c r="H472" s="116" t="s">
        <v>648</v>
      </c>
      <c r="I472" s="116" t="s">
        <v>805</v>
      </c>
      <c r="J472" s="78" t="s">
        <v>948</v>
      </c>
      <c r="K472" s="78" t="s">
        <v>781</v>
      </c>
      <c r="L472" s="116"/>
      <c r="M472" s="116"/>
      <c r="N472" s="54"/>
      <c r="O472" s="130"/>
      <c r="P472" s="78"/>
      <c r="Q472" s="78"/>
    </row>
    <row r="473" spans="1:17" ht="33.75">
      <c r="A473" s="43" t="str" cm="1">
        <f t="array" aca="1" ref="A473" ca="1">_xlfn.LET(
_xlpm.詳細項目数, COUNTA($E$11:E473),
_xlpm.直近で詳細項目が空でないセルの行番号, MAX(INDEX((LEN($E$11:E473)&gt;0)*ROW($E$11:E473),0)),
_xlpm.観点数, COUNTA(INDIRECT("F"&amp;_xlpm.直近で詳細項目が空でないセルの行番号):F473),
_xlpm.直近で観点が空でないセルの行番号, MAX(INDEX((LEN($F$11:F473)&gt;0)*ROW($F$11:F473),0)),
_xlpm.テスト内容数, COUNTA(INDIRECT("J"&amp;_xlpm.直近で観点が空でないセルの行番号):J473),
_xlpm.テスト内容数_空なら1, IF(_xlpm.テスト内容数=0,1,_xlpm.テスト内容数),
_xlpm.詳細項目数&amp;"-"&amp;_xlpm.観点数&amp;"-"&amp;_xlpm.テスト内容数_空なら1
)</f>
        <v>112-1-4</v>
      </c>
      <c r="B473" s="213"/>
      <c r="C473" s="210"/>
      <c r="D473" s="207"/>
      <c r="E473" s="207"/>
      <c r="F473" s="244"/>
      <c r="G473" s="71"/>
      <c r="H473" s="116" t="s">
        <v>648</v>
      </c>
      <c r="I473" s="116" t="s">
        <v>805</v>
      </c>
      <c r="J473" s="78" t="s">
        <v>948</v>
      </c>
      <c r="K473" s="78" t="s">
        <v>782</v>
      </c>
      <c r="L473" s="116"/>
      <c r="M473" s="116"/>
      <c r="N473" s="54"/>
      <c r="O473" s="130"/>
      <c r="P473" s="78"/>
      <c r="Q473" s="78"/>
    </row>
    <row r="474" spans="1:17" ht="22.5">
      <c r="A474" s="43" t="str" cm="1">
        <f t="array" aca="1" ref="A474" ca="1">_xlfn.LET(
_xlpm.詳細項目数, COUNTA($E$11:E474),
_xlpm.直近で詳細項目が空でないセルの行番号, MAX(INDEX((LEN($E$11:E474)&gt;0)*ROW($E$11:E474),0)),
_xlpm.観点数, COUNTA(INDIRECT("F"&amp;_xlpm.直近で詳細項目が空でないセルの行番号):F474),
_xlpm.直近で観点が空でないセルの行番号, MAX(INDEX((LEN($F$11:F474)&gt;0)*ROW($F$11:F474),0)),
_xlpm.テスト内容数, COUNTA(INDIRECT("J"&amp;_xlpm.直近で観点が空でないセルの行番号):J474),
_xlpm.テスト内容数_空なら1, IF(_xlpm.テスト内容数=0,1,_xlpm.テスト内容数),
_xlpm.詳細項目数&amp;"-"&amp;_xlpm.観点数&amp;"-"&amp;_xlpm.テスト内容数_空なら1
)</f>
        <v>112-1-5</v>
      </c>
      <c r="B474" s="213"/>
      <c r="C474" s="210"/>
      <c r="D474" s="207"/>
      <c r="E474" s="207"/>
      <c r="F474" s="239"/>
      <c r="G474" s="71"/>
      <c r="H474" s="116" t="s">
        <v>648</v>
      </c>
      <c r="I474" s="116" t="s">
        <v>805</v>
      </c>
      <c r="J474" s="78" t="s">
        <v>948</v>
      </c>
      <c r="K474" s="78" t="s">
        <v>784</v>
      </c>
      <c r="L474" s="116"/>
      <c r="M474" s="116"/>
      <c r="N474" s="54"/>
      <c r="O474" s="130"/>
      <c r="P474" s="78"/>
      <c r="Q474" s="78"/>
    </row>
    <row r="475" spans="1:17" ht="33.75">
      <c r="A475" s="43" t="str" cm="1">
        <f t="array" aca="1" ref="A475" ca="1">_xlfn.LET(
_xlpm.詳細項目数, COUNTA($E$11:E475),
_xlpm.直近で詳細項目が空でないセルの行番号, MAX(INDEX((LEN($E$11:E475)&gt;0)*ROW($E$11:E475),0)),
_xlpm.観点数, COUNTA(INDIRECT("F"&amp;_xlpm.直近で詳細項目が空でないセルの行番号):F475),
_xlpm.直近で観点が空でないセルの行番号, MAX(INDEX((LEN($F$11:F475)&gt;0)*ROW($F$11:F475),0)),
_xlpm.テスト内容数, COUNTA(INDIRECT("J"&amp;_xlpm.直近で観点が空でないセルの行番号):J475),
_xlpm.テスト内容数_空なら1, IF(_xlpm.テスト内容数=0,1,_xlpm.テスト内容数),
_xlpm.詳細項目数&amp;"-"&amp;_xlpm.観点数&amp;"-"&amp;_xlpm.テスト内容数_空なら1
)</f>
        <v>112-2-1</v>
      </c>
      <c r="B475" s="213"/>
      <c r="C475" s="210"/>
      <c r="D475" s="207"/>
      <c r="E475" s="207"/>
      <c r="F475" s="94" t="s">
        <v>481</v>
      </c>
      <c r="G475" s="95"/>
      <c r="H475" s="96"/>
      <c r="I475" s="96"/>
      <c r="J475" s="97" t="s">
        <v>806</v>
      </c>
      <c r="K475" s="97"/>
      <c r="L475" s="96"/>
      <c r="M475" s="96"/>
      <c r="N475" s="96"/>
      <c r="O475" s="126"/>
      <c r="P475" s="97"/>
      <c r="Q475" s="97"/>
    </row>
    <row r="476" spans="1:17" ht="33.75">
      <c r="A476" s="43" t="str" cm="1">
        <f t="array" aca="1" ref="A476" ca="1">_xlfn.LET(
_xlpm.詳細項目数, COUNTA($E$11:E476),
_xlpm.直近で詳細項目が空でないセルの行番号, MAX(INDEX((LEN($E$11:E476)&gt;0)*ROW($E$11:E476),0)),
_xlpm.観点数, COUNTA(INDIRECT("F"&amp;_xlpm.直近で詳細項目が空でないセルの行番号):F476),
_xlpm.直近で観点が空でないセルの行番号, MAX(INDEX((LEN($F$11:F476)&gt;0)*ROW($F$11:F476),0)),
_xlpm.テスト内容数, COUNTA(INDIRECT("J"&amp;_xlpm.直近で観点が空でないセルの行番号):J476),
_xlpm.テスト内容数_空なら1, IF(_xlpm.テスト内容数=0,1,_xlpm.テスト内容数),
_xlpm.詳細項目数&amp;"-"&amp;_xlpm.観点数&amp;"-"&amp;_xlpm.テスト内容数_空なら1
)</f>
        <v>112-3-1</v>
      </c>
      <c r="B476" s="213"/>
      <c r="C476" s="210"/>
      <c r="D476" s="207"/>
      <c r="E476" s="207"/>
      <c r="F476" s="94" t="s">
        <v>501</v>
      </c>
      <c r="G476" s="95"/>
      <c r="H476" s="96"/>
      <c r="I476" s="96"/>
      <c r="J476" s="97" t="s">
        <v>778</v>
      </c>
      <c r="K476" s="97"/>
      <c r="L476" s="96"/>
      <c r="M476" s="96"/>
      <c r="N476" s="96"/>
      <c r="O476" s="126"/>
      <c r="P476" s="97"/>
      <c r="Q476" s="97"/>
    </row>
    <row r="477" spans="1:17" ht="33.75">
      <c r="A477" s="43" t="str" cm="1">
        <f t="array" aca="1" ref="A477" ca="1">_xlfn.LET(
_xlpm.詳細項目数, COUNTA($E$11:E477),
_xlpm.直近で詳細項目が空でないセルの行番号, MAX(INDEX((LEN($E$11:E477)&gt;0)*ROW($E$11:E477),0)),
_xlpm.観点数, COUNTA(INDIRECT("F"&amp;_xlpm.直近で詳細項目が空でないセルの行番号):F477),
_xlpm.直近で観点が空でないセルの行番号, MAX(INDEX((LEN($F$11:F477)&gt;0)*ROW($F$11:F477),0)),
_xlpm.テスト内容数, COUNTA(INDIRECT("J"&amp;_xlpm.直近で観点が空でないセルの行番号):J477),
_xlpm.テスト内容数_空なら1, IF(_xlpm.テスト内容数=0,1,_xlpm.テスト内容数),
_xlpm.詳細項目数&amp;"-"&amp;_xlpm.観点数&amp;"-"&amp;_xlpm.テスト内容数_空なら1
)</f>
        <v>112-4-1</v>
      </c>
      <c r="B477" s="213"/>
      <c r="C477" s="210"/>
      <c r="D477" s="207"/>
      <c r="E477" s="207"/>
      <c r="F477" s="94" t="s">
        <v>482</v>
      </c>
      <c r="G477" s="95"/>
      <c r="H477" s="96"/>
      <c r="I477" s="96"/>
      <c r="J477" s="97" t="s">
        <v>807</v>
      </c>
      <c r="K477" s="97"/>
      <c r="L477" s="96"/>
      <c r="M477" s="96"/>
      <c r="N477" s="96"/>
      <c r="O477" s="126"/>
      <c r="P477" s="97"/>
      <c r="Q477" s="97"/>
    </row>
    <row r="478" spans="1:17" ht="22.5">
      <c r="A478" s="43" t="str" cm="1">
        <f t="array" aca="1" ref="A478" ca="1">_xlfn.LET(
_xlpm.詳細項目数, COUNTA($E$11:E478),
_xlpm.直近で詳細項目が空でないセルの行番号, MAX(INDEX((LEN($E$11:E478)&gt;0)*ROW($E$11:E478),0)),
_xlpm.観点数, COUNTA(INDIRECT("F"&amp;_xlpm.直近で詳細項目が空でないセルの行番号):F478),
_xlpm.直近で観点が空でないセルの行番号, MAX(INDEX((LEN($F$11:F478)&gt;0)*ROW($F$11:F478),0)),
_xlpm.テスト内容数, COUNTA(INDIRECT("J"&amp;_xlpm.直近で観点が空でないセルの行番号):J478),
_xlpm.テスト内容数_空なら1, IF(_xlpm.テスト内容数=0,1,_xlpm.テスト内容数),
_xlpm.詳細項目数&amp;"-"&amp;_xlpm.観点数&amp;"-"&amp;_xlpm.テスト内容数_空なら1
)</f>
        <v>112-5-1</v>
      </c>
      <c r="B478" s="213"/>
      <c r="C478" s="210"/>
      <c r="D478" s="207"/>
      <c r="E478" s="207"/>
      <c r="F478" s="94" t="s">
        <v>483</v>
      </c>
      <c r="G478" s="95"/>
      <c r="H478" s="96"/>
      <c r="I478" s="96"/>
      <c r="J478" s="97" t="s">
        <v>808</v>
      </c>
      <c r="K478" s="97"/>
      <c r="L478" s="96"/>
      <c r="M478" s="96"/>
      <c r="N478" s="96"/>
      <c r="O478" s="126"/>
      <c r="P478" s="97"/>
      <c r="Q478" s="97"/>
    </row>
    <row r="479" spans="1:17" ht="22.5">
      <c r="A479" s="43" t="str" cm="1">
        <f t="array" aca="1" ref="A479" ca="1">_xlfn.LET(
_xlpm.詳細項目数, COUNTA($E$11:E479),
_xlpm.直近で詳細項目が空でないセルの行番号, MAX(INDEX((LEN($E$11:E479)&gt;0)*ROW($E$11:E479),0)),
_xlpm.観点数, COUNTA(INDIRECT("F"&amp;_xlpm.直近で詳細項目が空でないセルの行番号):F479),
_xlpm.直近で観点が空でないセルの行番号, MAX(INDEX((LEN($F$11:F479)&gt;0)*ROW($F$11:F479),0)),
_xlpm.テスト内容数, COUNTA(INDIRECT("J"&amp;_xlpm.直近で観点が空でないセルの行番号):J479),
_xlpm.テスト内容数_空なら1, IF(_xlpm.テスト内容数=0,1,_xlpm.テスト内容数),
_xlpm.詳細項目数&amp;"-"&amp;_xlpm.観点数&amp;"-"&amp;_xlpm.テスト内容数_空なら1
)</f>
        <v>112-6-1</v>
      </c>
      <c r="B479" s="213"/>
      <c r="C479" s="210"/>
      <c r="D479" s="207"/>
      <c r="E479" s="207"/>
      <c r="F479" s="94" t="s">
        <v>484</v>
      </c>
      <c r="G479" s="95"/>
      <c r="H479" s="96"/>
      <c r="I479" s="96"/>
      <c r="J479" s="97" t="s">
        <v>809</v>
      </c>
      <c r="K479" s="97"/>
      <c r="L479" s="96"/>
      <c r="M479" s="96"/>
      <c r="N479" s="96"/>
      <c r="O479" s="126"/>
      <c r="P479" s="97"/>
      <c r="Q479" s="97"/>
    </row>
    <row r="480" spans="1:17" ht="22.5">
      <c r="A480" s="43" t="str" cm="1">
        <f t="array" aca="1" ref="A480" ca="1">_xlfn.LET(
_xlpm.詳細項目数, COUNTA($E$11:E480),
_xlpm.直近で詳細項目が空でないセルの行番号, MAX(INDEX((LEN($E$11:E480)&gt;0)*ROW($E$11:E480),0)),
_xlpm.観点数, COUNTA(INDIRECT("F"&amp;_xlpm.直近で詳細項目が空でないセルの行番号):F480),
_xlpm.直近で観点が空でないセルの行番号, MAX(INDEX((LEN($F$11:F480)&gt;0)*ROW($F$11:F480),0)),
_xlpm.テスト内容数, COUNTA(INDIRECT("J"&amp;_xlpm.直近で観点が空でないセルの行番号):J480),
_xlpm.テスト内容数_空なら1, IF(_xlpm.テスト内容数=0,1,_xlpm.テスト内容数),
_xlpm.詳細項目数&amp;"-"&amp;_xlpm.観点数&amp;"-"&amp;_xlpm.テスト内容数_空なら1
)</f>
        <v>112-7-1</v>
      </c>
      <c r="B480" s="224"/>
      <c r="C480" s="215"/>
      <c r="D480" s="211"/>
      <c r="E480" s="211"/>
      <c r="F480" s="94" t="s">
        <v>485</v>
      </c>
      <c r="G480" s="95"/>
      <c r="H480" s="96"/>
      <c r="I480" s="96"/>
      <c r="J480" s="97" t="s">
        <v>810</v>
      </c>
      <c r="K480" s="97"/>
      <c r="L480" s="96"/>
      <c r="M480" s="96"/>
      <c r="N480" s="96"/>
      <c r="O480" s="126"/>
      <c r="P480" s="97"/>
      <c r="Q480" s="97"/>
    </row>
    <row r="481" spans="1:17" s="30" customFormat="1" ht="22.5">
      <c r="A481" s="43" t="str" cm="1">
        <f t="array" aca="1" ref="A481" ca="1">_xlfn.LET(
_xlpm.詳細項目数, COUNTA($E$11:E481),
_xlpm.直近で詳細項目が空でないセルの行番号, MAX(INDEX((LEN($E$11:E481)&gt;0)*ROW($E$11:E481),0)),
_xlpm.観点数, COUNTA(INDIRECT("F"&amp;_xlpm.直近で詳細項目が空でないセルの行番号):F481),
_xlpm.直近で観点が空でないセルの行番号, MAX(INDEX((LEN($F$11:F481)&gt;0)*ROW($F$11:F481),0)),
_xlpm.テスト内容数, COUNTA(INDIRECT("J"&amp;_xlpm.直近で観点が空でないセルの行番号):J481),
_xlpm.テスト内容数_空なら1, IF(_xlpm.テスト内容数=0,1,_xlpm.テスト内容数),
_xlpm.詳細項目数&amp;"-"&amp;_xlpm.観点数&amp;"-"&amp;_xlpm.テスト内容数_空なら1
)</f>
        <v>113-1-1</v>
      </c>
      <c r="B481" s="56" t="s">
        <v>503</v>
      </c>
      <c r="C481" s="212" t="s">
        <v>486</v>
      </c>
      <c r="D481" s="212" t="s">
        <v>499</v>
      </c>
      <c r="E481" s="212" t="s">
        <v>499</v>
      </c>
      <c r="F481" s="236" t="s">
        <v>504</v>
      </c>
      <c r="G481" s="236"/>
      <c r="H481" s="84"/>
      <c r="I481" s="84"/>
      <c r="J481" s="96" t="s">
        <v>811</v>
      </c>
      <c r="K481" s="246"/>
      <c r="L481" s="247"/>
      <c r="M481" s="248"/>
      <c r="N481" s="248"/>
      <c r="O481" s="248"/>
      <c r="P481" s="248"/>
      <c r="Q481" s="248"/>
    </row>
    <row r="482" spans="1:17" s="30" customFormat="1" ht="22.5">
      <c r="A482" s="43" t="str" cm="1">
        <f t="array" aca="1" ref="A482" ca="1">_xlfn.LET(
_xlpm.詳細項目数, COUNTA($E$11:E482),
_xlpm.直近で詳細項目が空でないセルの行番号, MAX(INDEX((LEN($E$11:E482)&gt;0)*ROW($E$11:E482),0)),
_xlpm.観点数, COUNTA(INDIRECT("F"&amp;_xlpm.直近で詳細項目が空でないセルの行番号):F482),
_xlpm.直近で観点が空でないセルの行番号, MAX(INDEX((LEN($F$11:F482)&gt;0)*ROW($F$11:F482),0)),
_xlpm.テスト内容数, COUNTA(INDIRECT("J"&amp;_xlpm.直近で観点が空でないセルの行番号):J482),
_xlpm.テスト内容数_空なら1, IF(_xlpm.テスト内容数=0,1,_xlpm.テスト内容数),
_xlpm.詳細項目数&amp;"-"&amp;_xlpm.観点数&amp;"-"&amp;_xlpm.テスト内容数_空なら1
)</f>
        <v>113-2-1</v>
      </c>
      <c r="B482" s="93"/>
      <c r="C482" s="207"/>
      <c r="D482" s="207"/>
      <c r="E482" s="213"/>
      <c r="F482" s="249" t="s">
        <v>505</v>
      </c>
      <c r="G482" s="249"/>
      <c r="H482" s="84"/>
      <c r="I482" s="84"/>
      <c r="J482" s="96" t="s">
        <v>778</v>
      </c>
      <c r="K482" s="235"/>
      <c r="L482" s="250"/>
      <c r="M482" s="251"/>
      <c r="N482" s="251"/>
      <c r="O482" s="251"/>
      <c r="P482" s="251"/>
      <c r="Q482" s="251"/>
    </row>
    <row r="483" spans="1:17" s="30" customFormat="1" ht="33.75">
      <c r="A483" s="43" t="str" cm="1">
        <f t="array" aca="1" ref="A483" ca="1">_xlfn.LET(
_xlpm.詳細項目数, COUNTA($E$11:E483),
_xlpm.直近で詳細項目が空でないセルの行番号, MAX(INDEX((LEN($E$11:E483)&gt;0)*ROW($E$11:E483),0)),
_xlpm.観点数, COUNTA(INDIRECT("F"&amp;_xlpm.直近で詳細項目が空でないセルの行番号):F483),
_xlpm.直近で観点が空でないセルの行番号, MAX(INDEX((LEN($F$11:F483)&gt;0)*ROW($F$11:F483),0)),
_xlpm.テスト内容数, COUNTA(INDIRECT("J"&amp;_xlpm.直近で観点が空でないセルの行番号):J483),
_xlpm.テスト内容数_空なら1, IF(_xlpm.テスト内容数=0,1,_xlpm.テスト内容数),
_xlpm.詳細項目数&amp;"-"&amp;_xlpm.観点数&amp;"-"&amp;_xlpm.テスト内容数_空なら1
)</f>
        <v>113-3-1</v>
      </c>
      <c r="B483" s="93"/>
      <c r="C483" s="207"/>
      <c r="D483" s="207"/>
      <c r="E483" s="213"/>
      <c r="F483" s="249" t="s">
        <v>506</v>
      </c>
      <c r="G483" s="249"/>
      <c r="H483" s="84"/>
      <c r="I483" s="84"/>
      <c r="J483" s="96" t="s">
        <v>814</v>
      </c>
      <c r="K483" s="235"/>
      <c r="L483" s="250"/>
      <c r="M483" s="251"/>
      <c r="N483" s="251"/>
      <c r="O483" s="251"/>
      <c r="P483" s="251"/>
      <c r="Q483" s="251"/>
    </row>
    <row r="484" spans="1:17" s="30" customFormat="1" ht="33.75">
      <c r="A484" s="43" t="str" cm="1">
        <f t="array" aca="1" ref="A484" ca="1">_xlfn.LET(
_xlpm.詳細項目数, COUNTA($E$11:E484),
_xlpm.直近で詳細項目が空でないセルの行番号, MAX(INDEX((LEN($E$11:E484)&gt;0)*ROW($E$11:E484),0)),
_xlpm.観点数, COUNTA(INDIRECT("F"&amp;_xlpm.直近で詳細項目が空でないセルの行番号):F484),
_xlpm.直近で観点が空でないセルの行番号, MAX(INDEX((LEN($F$11:F484)&gt;0)*ROW($F$11:F484),0)),
_xlpm.テスト内容数, COUNTA(INDIRECT("J"&amp;_xlpm.直近で観点が空でないセルの行番号):J484),
_xlpm.テスト内容数_空なら1, IF(_xlpm.テスト内容数=0,1,_xlpm.テスト内容数),
_xlpm.詳細項目数&amp;"-"&amp;_xlpm.観点数&amp;"-"&amp;_xlpm.テスト内容数_空なら1
)</f>
        <v>113-4-1</v>
      </c>
      <c r="B484" s="93"/>
      <c r="C484" s="207"/>
      <c r="D484" s="207"/>
      <c r="E484" s="213"/>
      <c r="F484" s="249" t="s">
        <v>507</v>
      </c>
      <c r="G484" s="249"/>
      <c r="H484" s="84"/>
      <c r="I484" s="84"/>
      <c r="J484" s="96" t="s">
        <v>814</v>
      </c>
      <c r="K484" s="235"/>
      <c r="L484" s="250"/>
      <c r="M484" s="251"/>
      <c r="N484" s="251"/>
      <c r="O484" s="251"/>
      <c r="P484" s="251"/>
      <c r="Q484" s="251"/>
    </row>
    <row r="485" spans="1:17" s="30" customFormat="1" ht="22.5">
      <c r="A485" s="43" t="str" cm="1">
        <f t="array" aca="1" ref="A485" ca="1">_xlfn.LET(
_xlpm.詳細項目数, COUNTA($E$11:E485),
_xlpm.直近で詳細項目が空でないセルの行番号, MAX(INDEX((LEN($E$11:E485)&gt;0)*ROW($E$11:E485),0)),
_xlpm.観点数, COUNTA(INDIRECT("F"&amp;_xlpm.直近で詳細項目が空でないセルの行番号):F485),
_xlpm.直近で観点が空でないセルの行番号, MAX(INDEX((LEN($F$11:F485)&gt;0)*ROW($F$11:F485),0)),
_xlpm.テスト内容数, COUNTA(INDIRECT("J"&amp;_xlpm.直近で観点が空でないセルの行番号):J485),
_xlpm.テスト内容数_空なら1, IF(_xlpm.テスト内容数=0,1,_xlpm.テスト内容数),
_xlpm.詳細項目数&amp;"-"&amp;_xlpm.観点数&amp;"-"&amp;_xlpm.テスト内容数_空なら1
)</f>
        <v>113-5-1</v>
      </c>
      <c r="B485" s="93"/>
      <c r="C485" s="207"/>
      <c r="D485" s="207"/>
      <c r="E485" s="213"/>
      <c r="F485" s="249" t="s">
        <v>508</v>
      </c>
      <c r="G485" s="249" t="s">
        <v>903</v>
      </c>
      <c r="H485" s="84"/>
      <c r="I485" s="84"/>
      <c r="J485" s="96"/>
      <c r="K485" s="235"/>
      <c r="L485" s="250"/>
      <c r="M485" s="251"/>
      <c r="N485" s="251"/>
      <c r="O485" s="251"/>
      <c r="P485" s="251"/>
      <c r="Q485" s="251"/>
    </row>
    <row r="486" spans="1:17" s="30" customFormat="1" ht="22.5">
      <c r="A486" s="43" t="str" cm="1">
        <f t="array" aca="1" ref="A486" ca="1">_xlfn.LET(
_xlpm.詳細項目数, COUNTA($E$11:E486),
_xlpm.直近で詳細項目が空でないセルの行番号, MAX(INDEX((LEN($E$11:E486)&gt;0)*ROW($E$11:E486),0)),
_xlpm.観点数, COUNTA(INDIRECT("F"&amp;_xlpm.直近で詳細項目が空でないセルの行番号):F486),
_xlpm.直近で観点が空でないセルの行番号, MAX(INDEX((LEN($F$11:F486)&gt;0)*ROW($F$11:F486),0)),
_xlpm.テスト内容数, COUNTA(INDIRECT("J"&amp;_xlpm.直近で観点が空でないセルの行番号):J486),
_xlpm.テスト内容数_空なら1, IF(_xlpm.テスト内容数=0,1,_xlpm.テスト内容数),
_xlpm.詳細項目数&amp;"-"&amp;_xlpm.観点数&amp;"-"&amp;_xlpm.テスト内容数_空なら1
)</f>
        <v>114-1-1</v>
      </c>
      <c r="B486" s="93"/>
      <c r="C486" s="210"/>
      <c r="D486" s="212" t="s">
        <v>509</v>
      </c>
      <c r="E486" s="225" t="s">
        <v>495</v>
      </c>
      <c r="F486" s="249" t="s">
        <v>511</v>
      </c>
      <c r="G486" s="249"/>
      <c r="H486" s="127"/>
      <c r="I486" s="127"/>
      <c r="J486" s="84" t="s">
        <v>813</v>
      </c>
      <c r="K486" s="235"/>
      <c r="L486" s="250"/>
      <c r="M486" s="251"/>
      <c r="N486" s="251"/>
      <c r="O486" s="251"/>
      <c r="P486" s="251"/>
      <c r="Q486" s="251"/>
    </row>
    <row r="487" spans="1:17" s="30" customFormat="1" ht="22.5">
      <c r="A487" s="43" t="str" cm="1">
        <f t="array" aca="1" ref="A487" ca="1">_xlfn.LET(
_xlpm.詳細項目数, COUNTA($E$11:E487),
_xlpm.直近で詳細項目が空でないセルの行番号, MAX(INDEX((LEN($E$11:E487)&gt;0)*ROW($E$11:E487),0)),
_xlpm.観点数, COUNTA(INDIRECT("F"&amp;_xlpm.直近で詳細項目が空でないセルの行番号):F487),
_xlpm.直近で観点が空でないセルの行番号, MAX(INDEX((LEN($F$11:F487)&gt;0)*ROW($F$11:F487),0)),
_xlpm.テスト内容数, COUNTA(INDIRECT("J"&amp;_xlpm.直近で観点が空でないセルの行番号):J487),
_xlpm.テスト内容数_空なら1, IF(_xlpm.テスト内容数=0,1,_xlpm.テスト内容数),
_xlpm.詳細項目数&amp;"-"&amp;_xlpm.観点数&amp;"-"&amp;_xlpm.テスト内容数_空なら1
)</f>
        <v>114-2-1</v>
      </c>
      <c r="B487" s="93"/>
      <c r="C487" s="207"/>
      <c r="D487" s="207"/>
      <c r="E487" s="213"/>
      <c r="F487" s="118" t="s">
        <v>512</v>
      </c>
      <c r="G487" s="118"/>
      <c r="H487" s="56" t="s">
        <v>648</v>
      </c>
      <c r="I487" s="56" t="s">
        <v>805</v>
      </c>
      <c r="J487" s="122" t="s">
        <v>935</v>
      </c>
      <c r="K487" s="117" t="s">
        <v>815</v>
      </c>
      <c r="L487" s="133"/>
      <c r="M487" s="116"/>
      <c r="N487" s="54"/>
      <c r="O487" s="130"/>
      <c r="P487" s="134"/>
      <c r="Q487" s="134"/>
    </row>
    <row r="488" spans="1:17" s="30" customFormat="1" ht="33.75">
      <c r="A488" s="43" t="str" cm="1">
        <f t="array" aca="1" ref="A488" ca="1">_xlfn.LET(
_xlpm.詳細項目数, COUNTA($E$11:E488),
_xlpm.直近で詳細項目が空でないセルの行番号, MAX(INDEX((LEN($E$11:E488)&gt;0)*ROW($E$11:E488),0)),
_xlpm.観点数, COUNTA(INDIRECT("F"&amp;_xlpm.直近で詳細項目が空でないセルの行番号):F488),
_xlpm.直近で観点が空でないセルの行番号, MAX(INDEX((LEN($F$11:F488)&gt;0)*ROW($F$11:F488),0)),
_xlpm.テスト内容数, COUNTA(INDIRECT("J"&amp;_xlpm.直近で観点が空でないセルの行番号):J488),
_xlpm.テスト内容数_空なら1, IF(_xlpm.テスト内容数=0,1,_xlpm.テスト内容数),
_xlpm.詳細項目数&amp;"-"&amp;_xlpm.観点数&amp;"-"&amp;_xlpm.テスト内容数_空なら1
)</f>
        <v>114-3-1</v>
      </c>
      <c r="B488" s="93"/>
      <c r="C488" s="207"/>
      <c r="D488" s="207"/>
      <c r="E488" s="213"/>
      <c r="F488" s="249" t="s">
        <v>513</v>
      </c>
      <c r="G488" s="249" t="s">
        <v>817</v>
      </c>
      <c r="H488" s="84"/>
      <c r="I488" s="84"/>
      <c r="J488" s="96"/>
      <c r="K488" s="235"/>
      <c r="L488" s="250"/>
      <c r="M488" s="251"/>
      <c r="N488" s="251"/>
      <c r="O488" s="251"/>
      <c r="P488" s="251"/>
      <c r="Q488" s="251"/>
    </row>
    <row r="489" spans="1:17" s="30" customFormat="1" ht="22.5">
      <c r="A489" s="43" t="str" cm="1">
        <f t="array" aca="1" ref="A489" ca="1">_xlfn.LET(
_xlpm.詳細項目数, COUNTA($E$11:E489),
_xlpm.直近で詳細項目が空でないセルの行番号, MAX(INDEX((LEN($E$11:E489)&gt;0)*ROW($E$11:E489),0)),
_xlpm.観点数, COUNTA(INDIRECT("F"&amp;_xlpm.直近で詳細項目が空でないセルの行番号):F489),
_xlpm.直近で観点が空でないセルの行番号, MAX(INDEX((LEN($F$11:F489)&gt;0)*ROW($F$11:F489),0)),
_xlpm.テスト内容数, COUNTA(INDIRECT("J"&amp;_xlpm.直近で観点が空でないセルの行番号):J489),
_xlpm.テスト内容数_空なら1, IF(_xlpm.テスト内容数=0,1,_xlpm.テスト内容数),
_xlpm.詳細項目数&amp;"-"&amp;_xlpm.観点数&amp;"-"&amp;_xlpm.テスト内容数_空なら1
)</f>
        <v>114-4-1</v>
      </c>
      <c r="B489" s="93"/>
      <c r="C489" s="207"/>
      <c r="D489" s="207"/>
      <c r="E489" s="213"/>
      <c r="F489" s="60" t="s">
        <v>514</v>
      </c>
      <c r="G489" s="118"/>
      <c r="H489" s="122" t="s">
        <v>648</v>
      </c>
      <c r="I489" s="122" t="s">
        <v>791</v>
      </c>
      <c r="J489" s="122" t="s">
        <v>961</v>
      </c>
      <c r="K489" s="116" t="s">
        <v>792</v>
      </c>
      <c r="L489" s="133"/>
      <c r="M489" s="116"/>
      <c r="N489" s="54"/>
      <c r="O489" s="130"/>
      <c r="P489" s="134"/>
      <c r="Q489" s="134"/>
    </row>
    <row r="490" spans="1:17" s="30" customFormat="1" ht="22.5">
      <c r="A490" s="43" t="str" cm="1">
        <f t="array" aca="1" ref="A490" ca="1">_xlfn.LET(
_xlpm.詳細項目数, COUNTA($E$11:E490),
_xlpm.直近で詳細項目が空でないセルの行番号, MAX(INDEX((LEN($E$11:E490)&gt;0)*ROW($E$11:E490),0)),
_xlpm.観点数, COUNTA(INDIRECT("F"&amp;_xlpm.直近で詳細項目が空でないセルの行番号):F490),
_xlpm.直近で観点が空でないセルの行番号, MAX(INDEX((LEN($F$11:F490)&gt;0)*ROW($F$11:F490),0)),
_xlpm.テスト内容数, COUNTA(INDIRECT("J"&amp;_xlpm.直近で観点が空でないセルの行番号):J490),
_xlpm.テスト内容数_空なら1, IF(_xlpm.テスト内容数=0,1,_xlpm.テスト内容数),
_xlpm.詳細項目数&amp;"-"&amp;_xlpm.観点数&amp;"-"&amp;_xlpm.テスト内容数_空なら1
)</f>
        <v>114-4-2</v>
      </c>
      <c r="B490" s="93"/>
      <c r="C490" s="207"/>
      <c r="D490" s="207"/>
      <c r="E490" s="213"/>
      <c r="F490" s="244"/>
      <c r="G490" s="118"/>
      <c r="H490" s="131" t="s">
        <v>648</v>
      </c>
      <c r="I490" s="131" t="s">
        <v>791</v>
      </c>
      <c r="J490" s="122" t="s">
        <v>962</v>
      </c>
      <c r="K490" s="116" t="s">
        <v>792</v>
      </c>
      <c r="L490" s="133"/>
      <c r="M490" s="116"/>
      <c r="N490" s="54"/>
      <c r="O490" s="130"/>
      <c r="P490" s="134"/>
      <c r="Q490" s="134"/>
    </row>
    <row r="491" spans="1:17" s="30" customFormat="1" ht="22.5">
      <c r="A491" s="43" t="str" cm="1">
        <f t="array" aca="1" ref="A491" ca="1">_xlfn.LET(
_xlpm.詳細項目数, COUNTA($E$11:E491),
_xlpm.直近で詳細項目が空でないセルの行番号, MAX(INDEX((LEN($E$11:E491)&gt;0)*ROW($E$11:E491),0)),
_xlpm.観点数, COUNTA(INDIRECT("F"&amp;_xlpm.直近で詳細項目が空でないセルの行番号):F491),
_xlpm.直近で観点が空でないセルの行番号, MAX(INDEX((LEN($F$11:F491)&gt;0)*ROW($F$11:F491),0)),
_xlpm.テスト内容数, COUNTA(INDIRECT("J"&amp;_xlpm.直近で観点が空でないセルの行番号):J491),
_xlpm.テスト内容数_空なら1, IF(_xlpm.テスト内容数=0,1,_xlpm.テスト内容数),
_xlpm.詳細項目数&amp;"-"&amp;_xlpm.観点数&amp;"-"&amp;_xlpm.テスト内容数_空なら1
)</f>
        <v>114-4-3</v>
      </c>
      <c r="B491" s="93"/>
      <c r="C491" s="207"/>
      <c r="D491" s="207"/>
      <c r="E491" s="213"/>
      <c r="F491" s="244"/>
      <c r="G491" s="118"/>
      <c r="H491" s="131" t="s">
        <v>648</v>
      </c>
      <c r="I491" s="131" t="s">
        <v>791</v>
      </c>
      <c r="J491" s="122" t="s">
        <v>963</v>
      </c>
      <c r="K491" s="116" t="s">
        <v>792</v>
      </c>
      <c r="L491" s="133"/>
      <c r="M491" s="116"/>
      <c r="N491" s="54"/>
      <c r="O491" s="130"/>
      <c r="P491" s="134"/>
      <c r="Q491" s="134"/>
    </row>
    <row r="492" spans="1:17" s="30" customFormat="1" ht="22.5">
      <c r="A492" s="43" t="str" cm="1">
        <f t="array" aca="1" ref="A492" ca="1">_xlfn.LET(
_xlpm.詳細項目数, COUNTA($E$11:E492),
_xlpm.直近で詳細項目が空でないセルの行番号, MAX(INDEX((LEN($E$11:E492)&gt;0)*ROW($E$11:E492),0)),
_xlpm.観点数, COUNTA(INDIRECT("F"&amp;_xlpm.直近で詳細項目が空でないセルの行番号):F492),
_xlpm.直近で観点が空でないセルの行番号, MAX(INDEX((LEN($F$11:F492)&gt;0)*ROW($F$11:F492),0)),
_xlpm.テスト内容数, COUNTA(INDIRECT("J"&amp;_xlpm.直近で観点が空でないセルの行番号):J492),
_xlpm.テスト内容数_空なら1, IF(_xlpm.テスト内容数=0,1,_xlpm.テスト内容数),
_xlpm.詳細項目数&amp;"-"&amp;_xlpm.観点数&amp;"-"&amp;_xlpm.テスト内容数_空なら1
)</f>
        <v>114-4-4</v>
      </c>
      <c r="B492" s="93"/>
      <c r="C492" s="207"/>
      <c r="D492" s="207"/>
      <c r="E492" s="213"/>
      <c r="F492" s="239"/>
      <c r="G492" s="118"/>
      <c r="H492" s="131" t="s">
        <v>648</v>
      </c>
      <c r="I492" s="131" t="s">
        <v>791</v>
      </c>
      <c r="J492" s="122" t="s">
        <v>964</v>
      </c>
      <c r="K492" s="116" t="s">
        <v>792</v>
      </c>
      <c r="L492" s="133"/>
      <c r="M492" s="116"/>
      <c r="N492" s="54"/>
      <c r="O492" s="130"/>
      <c r="P492" s="134"/>
      <c r="Q492" s="134"/>
    </row>
    <row r="493" spans="1:17" s="30" customFormat="1">
      <c r="A493" s="43" t="str" cm="1">
        <f t="array" aca="1" ref="A493" ca="1">_xlfn.LET(
_xlpm.詳細項目数, COUNTA($E$11:E493),
_xlpm.直近で詳細項目が空でないセルの行番号, MAX(INDEX((LEN($E$11:E493)&gt;0)*ROW($E$11:E493),0)),
_xlpm.観点数, COUNTA(INDIRECT("F"&amp;_xlpm.直近で詳細項目が空でないセルの行番号):F493),
_xlpm.直近で観点が空でないセルの行番号, MAX(INDEX((LEN($F$11:F493)&gt;0)*ROW($F$11:F493),0)),
_xlpm.テスト内容数, COUNTA(INDIRECT("J"&amp;_xlpm.直近で観点が空でないセルの行番号):J493),
_xlpm.テスト内容数_空なら1, IF(_xlpm.テスト内容数=0,1,_xlpm.テスト内容数),
_xlpm.詳細項目数&amp;"-"&amp;_xlpm.観点数&amp;"-"&amp;_xlpm.テスト内容数_空なら1
)</f>
        <v>114-5-1</v>
      </c>
      <c r="B493" s="93"/>
      <c r="C493" s="211"/>
      <c r="D493" s="211"/>
      <c r="E493" s="224"/>
      <c r="F493" s="253" t="s">
        <v>515</v>
      </c>
      <c r="G493" s="249"/>
      <c r="H493" s="84"/>
      <c r="I493" s="84"/>
      <c r="J493" s="123" t="s">
        <v>778</v>
      </c>
      <c r="K493" s="123"/>
      <c r="L493" s="250"/>
      <c r="M493" s="251"/>
      <c r="N493" s="251"/>
      <c r="O493" s="251"/>
      <c r="P493" s="251"/>
      <c r="Q493" s="251"/>
    </row>
    <row r="494" spans="1:17" s="30" customFormat="1" ht="22.5">
      <c r="A494" s="43" t="str" cm="1">
        <f t="array" aca="1" ref="A494" ca="1">_xlfn.LET(
_xlpm.詳細項目数, COUNTA($E$11:E494),
_xlpm.直近で詳細項目が空でないセルの行番号, MAX(INDEX((LEN($E$11:E494)&gt;0)*ROW($E$11:E494),0)),
_xlpm.観点数, COUNTA(INDIRECT("F"&amp;_xlpm.直近で詳細項目が空でないセルの行番号):F494),
_xlpm.直近で観点が空でないセルの行番号, MAX(INDEX((LEN($F$11:F494)&gt;0)*ROW($F$11:F494),0)),
_xlpm.テスト内容数, COUNTA(INDIRECT("J"&amp;_xlpm.直近で観点が空でないセルの行番号):J494),
_xlpm.テスト内容数_空なら1, IF(_xlpm.テスト内容数=0,1,_xlpm.テスト内容数),
_xlpm.詳細項目数&amp;"-"&amp;_xlpm.観点数&amp;"-"&amp;_xlpm.テスト内容数_空なら1
)</f>
        <v>115-1-1</v>
      </c>
      <c r="B494" s="93"/>
      <c r="C494" s="56" t="s">
        <v>516</v>
      </c>
      <c r="D494" s="217" t="s">
        <v>487</v>
      </c>
      <c r="E494" s="212" t="s">
        <v>495</v>
      </c>
      <c r="F494" s="99" t="s">
        <v>619</v>
      </c>
      <c r="G494" s="99"/>
      <c r="H494" s="122" t="s">
        <v>818</v>
      </c>
      <c r="I494" s="122" t="s">
        <v>819</v>
      </c>
      <c r="J494" s="122" t="s">
        <v>967</v>
      </c>
      <c r="K494" s="53" t="s">
        <v>820</v>
      </c>
      <c r="L494" s="135"/>
      <c r="M494" s="116"/>
      <c r="N494" s="54"/>
      <c r="O494" s="130"/>
      <c r="P494" s="136"/>
      <c r="Q494" s="136"/>
    </row>
    <row r="495" spans="1:17" s="30" customFormat="1" ht="22.5">
      <c r="A495" s="43" t="str" cm="1">
        <f t="array" aca="1" ref="A495" ca="1">_xlfn.LET(
_xlpm.詳細項目数, COUNTA($E$11:E495),
_xlpm.直近で詳細項目が空でないセルの行番号, MAX(INDEX((LEN($E$11:E495)&gt;0)*ROW($E$11:E495),0)),
_xlpm.観点数, COUNTA(INDIRECT("F"&amp;_xlpm.直近で詳細項目が空でないセルの行番号):F495),
_xlpm.直近で観点が空でないセルの行番号, MAX(INDEX((LEN($F$11:F495)&gt;0)*ROW($F$11:F495),0)),
_xlpm.テスト内容数, COUNTA(INDIRECT("J"&amp;_xlpm.直近で観点が空でないセルの行番号):J495),
_xlpm.テスト内容数_空なら1, IF(_xlpm.テスト内容数=0,1,_xlpm.テスト内容数),
_xlpm.詳細項目数&amp;"-"&amp;_xlpm.観点数&amp;"-"&amp;_xlpm.テスト内容数_空なら1
)</f>
        <v>115-2-1</v>
      </c>
      <c r="B495" s="93"/>
      <c r="C495" s="93"/>
      <c r="D495" s="210"/>
      <c r="E495" s="207"/>
      <c r="F495" s="99" t="s">
        <v>518</v>
      </c>
      <c r="G495" s="99"/>
      <c r="H495" s="122" t="s">
        <v>818</v>
      </c>
      <c r="I495" s="122" t="s">
        <v>819</v>
      </c>
      <c r="J495" s="122" t="s">
        <v>965</v>
      </c>
      <c r="K495" s="53" t="s">
        <v>821</v>
      </c>
      <c r="L495" s="135"/>
      <c r="M495" s="116"/>
      <c r="N495" s="54"/>
      <c r="O495" s="130"/>
      <c r="P495" s="136"/>
      <c r="Q495" s="136"/>
    </row>
    <row r="496" spans="1:17" s="30" customFormat="1" ht="22.5">
      <c r="A496" s="43" t="str" cm="1">
        <f t="array" aca="1" ref="A496" ca="1">_xlfn.LET(
_xlpm.詳細項目数, COUNTA($E$11:E496),
_xlpm.直近で詳細項目が空でないセルの行番号, MAX(INDEX((LEN($E$11:E496)&gt;0)*ROW($E$11:E496),0)),
_xlpm.観点数, COUNTA(INDIRECT("F"&amp;_xlpm.直近で詳細項目が空でないセルの行番号):F496),
_xlpm.直近で観点が空でないセルの行番号, MAX(INDEX((LEN($F$11:F496)&gt;0)*ROW($F$11:F496),0)),
_xlpm.テスト内容数, COUNTA(INDIRECT("J"&amp;_xlpm.直近で観点が空でないセルの行番号):J496),
_xlpm.テスト内容数_空なら1, IF(_xlpm.テスト内容数=0,1,_xlpm.テスト内容数),
_xlpm.詳細項目数&amp;"-"&amp;_xlpm.観点数&amp;"-"&amp;_xlpm.テスト内容数_空なら1
)</f>
        <v>115-3-1</v>
      </c>
      <c r="B496" s="93"/>
      <c r="C496" s="93"/>
      <c r="D496" s="210"/>
      <c r="E496" s="207"/>
      <c r="F496" s="99" t="s">
        <v>519</v>
      </c>
      <c r="G496" s="99"/>
      <c r="H496" s="122" t="s">
        <v>818</v>
      </c>
      <c r="I496" s="122" t="s">
        <v>819</v>
      </c>
      <c r="J496" s="122" t="s">
        <v>968</v>
      </c>
      <c r="K496" s="116" t="s">
        <v>822</v>
      </c>
      <c r="L496" s="135"/>
      <c r="M496" s="116"/>
      <c r="N496" s="54"/>
      <c r="O496" s="130"/>
      <c r="P496" s="136"/>
      <c r="Q496" s="136"/>
    </row>
    <row r="497" spans="1:17" s="30" customFormat="1" ht="22.5">
      <c r="A497" s="43" t="str" cm="1">
        <f t="array" aca="1" ref="A497" ca="1">_xlfn.LET(
_xlpm.詳細項目数, COUNTA($E$11:E497),
_xlpm.直近で詳細項目が空でないセルの行番号, MAX(INDEX((LEN($E$11:E497)&gt;0)*ROW($E$11:E497),0)),
_xlpm.観点数, COUNTA(INDIRECT("F"&amp;_xlpm.直近で詳細項目が空でないセルの行番号):F497),
_xlpm.直近で観点が空でないセルの行番号, MAX(INDEX((LEN($F$11:F497)&gt;0)*ROW($F$11:F497),0)),
_xlpm.テスト内容数, COUNTA(INDIRECT("J"&amp;_xlpm.直近で観点が空でないセルの行番号):J497),
_xlpm.テスト内容数_空なら1, IF(_xlpm.テスト内容数=0,1,_xlpm.テスト内容数),
_xlpm.詳細項目数&amp;"-"&amp;_xlpm.観点数&amp;"-"&amp;_xlpm.テスト内容数_空なら1
)</f>
        <v>115-4-1</v>
      </c>
      <c r="B497" s="93"/>
      <c r="C497" s="93"/>
      <c r="D497" s="210"/>
      <c r="E497" s="207"/>
      <c r="F497" s="99" t="s">
        <v>520</v>
      </c>
      <c r="G497" s="99"/>
      <c r="H497" s="56" t="s">
        <v>818</v>
      </c>
      <c r="I497" s="56" t="s">
        <v>819</v>
      </c>
      <c r="J497" s="122" t="s">
        <v>966</v>
      </c>
      <c r="K497" s="119" t="s">
        <v>823</v>
      </c>
      <c r="L497" s="135"/>
      <c r="M497" s="136"/>
      <c r="N497" s="136"/>
      <c r="O497" s="136"/>
      <c r="P497" s="136"/>
      <c r="Q497" s="136"/>
    </row>
    <row r="498" spans="1:17" s="30" customFormat="1" ht="22.5">
      <c r="A498" s="43" t="str" cm="1">
        <f t="array" aca="1" ref="A498" ca="1">_xlfn.LET(
_xlpm.詳細項目数, COUNTA($E$11:E498),
_xlpm.直近で詳細項目が空でないセルの行番号, MAX(INDEX((LEN($E$11:E498)&gt;0)*ROW($E$11:E498),0)),
_xlpm.観点数, COUNTA(INDIRECT("F"&amp;_xlpm.直近で詳細項目が空でないセルの行番号):F498),
_xlpm.直近で観点が空でないセルの行番号, MAX(INDEX((LEN($F$11:F498)&gt;0)*ROW($F$11:F498),0)),
_xlpm.テスト内容数, COUNTA(INDIRECT("J"&amp;_xlpm.直近で観点が空でないセルの行番号):J498),
_xlpm.テスト内容数_空なら1, IF(_xlpm.テスト内容数=0,1,_xlpm.テスト内容数),
_xlpm.詳細項目数&amp;"-"&amp;_xlpm.観点数&amp;"-"&amp;_xlpm.テスト内容数_空なら1
)</f>
        <v>115-5-1</v>
      </c>
      <c r="B498" s="93"/>
      <c r="C498" s="93"/>
      <c r="D498" s="210"/>
      <c r="E498" s="207"/>
      <c r="F498" s="179" t="s">
        <v>521</v>
      </c>
      <c r="G498" s="179" t="s">
        <v>623</v>
      </c>
      <c r="H498" s="84"/>
      <c r="I498" s="84"/>
      <c r="J498" s="128"/>
      <c r="K498" s="180"/>
      <c r="L498" s="181"/>
      <c r="M498" s="182"/>
      <c r="N498" s="182"/>
      <c r="O498" s="182"/>
      <c r="P498" s="182"/>
      <c r="Q498" s="182"/>
    </row>
    <row r="499" spans="1:17" s="30" customFormat="1" ht="33.75">
      <c r="A499" s="43" t="str" cm="1">
        <f t="array" aca="1" ref="A499" ca="1">_xlfn.LET(
_xlpm.詳細項目数, COUNTA($E$11:E499),
_xlpm.直近で詳細項目が空でないセルの行番号, MAX(INDEX((LEN($E$11:E499)&gt;0)*ROW($E$11:E499),0)),
_xlpm.観点数, COUNTA(INDIRECT("F"&amp;_xlpm.直近で詳細項目が空でないセルの行番号):F499),
_xlpm.直近で観点が空でないセルの行番号, MAX(INDEX((LEN($F$11:F499)&gt;0)*ROW($F$11:F499),0)),
_xlpm.テスト内容数, COUNTA(INDIRECT("J"&amp;_xlpm.直近で観点が空でないセルの行番号):J499),
_xlpm.テスト内容数_空なら1, IF(_xlpm.テスト内容数=0,1,_xlpm.テスト内容数),
_xlpm.詳細項目数&amp;"-"&amp;_xlpm.観点数&amp;"-"&amp;_xlpm.テスト内容数_空なら1
)</f>
        <v>115-6-1</v>
      </c>
      <c r="B499" s="93"/>
      <c r="C499" s="93"/>
      <c r="D499" s="215"/>
      <c r="E499" s="211"/>
      <c r="F499" s="99" t="s">
        <v>522</v>
      </c>
      <c r="G499" s="99"/>
      <c r="H499" s="122" t="s">
        <v>660</v>
      </c>
      <c r="I499" s="122" t="s">
        <v>824</v>
      </c>
      <c r="J499" s="122" t="s">
        <v>969</v>
      </c>
      <c r="K499" s="53" t="s">
        <v>825</v>
      </c>
      <c r="L499" s="135"/>
      <c r="M499" s="116"/>
      <c r="N499" s="54"/>
      <c r="O499" s="130"/>
      <c r="P499" s="136"/>
      <c r="Q499" s="136"/>
    </row>
    <row r="500" spans="1:17" s="30" customFormat="1" ht="45">
      <c r="A500" s="43" t="str" cm="1">
        <f t="array" aca="1" ref="A500" ca="1">_xlfn.LET(
_xlpm.詳細項目数, COUNTA($E$11:E500),
_xlpm.直近で詳細項目が空でないセルの行番号, MAX(INDEX((LEN($E$11:E500)&gt;0)*ROW($E$11:E500),0)),
_xlpm.観点数, COUNTA(INDIRECT("F"&amp;_xlpm.直近で詳細項目が空でないセルの行番号):F500),
_xlpm.直近で観点が空でないセルの行番号, MAX(INDEX((LEN($F$11:F500)&gt;0)*ROW($F$11:F500),0)),
_xlpm.テスト内容数, COUNTA(INDIRECT("J"&amp;_xlpm.直近で観点が空でないセルの行番号):J500),
_xlpm.テスト内容数_空なら1, IF(_xlpm.テスト内容数=0,1,_xlpm.テスト内容数),
_xlpm.詳細項目数&amp;"-"&amp;_xlpm.観点数&amp;"-"&amp;_xlpm.テスト内容数_空なら1
)</f>
        <v>116-1-1</v>
      </c>
      <c r="B500" s="93"/>
      <c r="C500" s="93"/>
      <c r="D500" s="130" t="s">
        <v>523</v>
      </c>
      <c r="E500" s="212" t="s">
        <v>495</v>
      </c>
      <c r="F500" s="99" t="s">
        <v>526</v>
      </c>
      <c r="G500" s="99"/>
      <c r="H500" s="56" t="s">
        <v>1022</v>
      </c>
      <c r="I500" s="56" t="s">
        <v>1023</v>
      </c>
      <c r="J500" s="53" t="s">
        <v>1028</v>
      </c>
      <c r="K500" s="119" t="s">
        <v>821</v>
      </c>
      <c r="L500" s="135"/>
      <c r="M500" s="116"/>
      <c r="N500" s="54"/>
      <c r="O500" s="130"/>
      <c r="P500" s="136"/>
      <c r="Q500" s="136"/>
    </row>
    <row r="501" spans="1:17" s="30" customFormat="1" ht="45">
      <c r="A501" s="43" t="str" cm="1">
        <f t="array" aca="1" ref="A501" ca="1">_xlfn.LET(
_xlpm.詳細項目数, COUNTA($E$11:E501),
_xlpm.直近で詳細項目が空でないセルの行番号, MAX(INDEX((LEN($E$11:E501)&gt;0)*ROW($E$11:E501),0)),
_xlpm.観点数, COUNTA(INDIRECT("F"&amp;_xlpm.直近で詳細項目が空でないセルの行番号):F501),
_xlpm.直近で観点が空でないセルの行番号, MAX(INDEX((LEN($F$11:F501)&gt;0)*ROW($F$11:F501),0)),
_xlpm.テスト内容数, COUNTA(INDIRECT("J"&amp;_xlpm.直近で観点が空でないセルの行番号):J501),
_xlpm.テスト内容数_空なら1, IF(_xlpm.テスト内容数=0,1,_xlpm.テスト内容数),
_xlpm.詳細項目数&amp;"-"&amp;_xlpm.観点数&amp;"-"&amp;_xlpm.テスト内容数_空なら1
)</f>
        <v>117-1-1</v>
      </c>
      <c r="B501" s="93"/>
      <c r="C501" s="93"/>
      <c r="D501" s="212" t="s">
        <v>524</v>
      </c>
      <c r="E501" s="212" t="s">
        <v>495</v>
      </c>
      <c r="F501" s="56" t="s">
        <v>527</v>
      </c>
      <c r="G501" s="99"/>
      <c r="H501" s="122" t="s">
        <v>826</v>
      </c>
      <c r="I501" s="122" t="s">
        <v>827</v>
      </c>
      <c r="J501" s="122" t="s">
        <v>935</v>
      </c>
      <c r="K501" s="254" t="s">
        <v>828</v>
      </c>
      <c r="L501" s="135"/>
      <c r="M501" s="116"/>
      <c r="N501" s="54"/>
      <c r="O501" s="130"/>
      <c r="P501" s="136"/>
      <c r="Q501" s="136"/>
    </row>
    <row r="502" spans="1:17" s="30" customFormat="1" ht="45">
      <c r="A502" s="43" t="str" cm="1">
        <f t="array" aca="1" ref="A502" ca="1">_xlfn.LET(
_xlpm.詳細項目数, COUNTA($E$11:E502),
_xlpm.直近で詳細項目が空でないセルの行番号, MAX(INDEX((LEN($E$11:E502)&gt;0)*ROW($E$11:E502),0)),
_xlpm.観点数, COUNTA(INDIRECT("F"&amp;_xlpm.直近で詳細項目が空でないセルの行番号):F502),
_xlpm.直近で観点が空でないセルの行番号, MAX(INDEX((LEN($F$11:F502)&gt;0)*ROW($F$11:F502),0)),
_xlpm.テスト内容数, COUNTA(INDIRECT("J"&amp;_xlpm.直近で観点が空でないセルの行番号):J502),
_xlpm.テスト内容数_空なら1, IF(_xlpm.テスト内容数=0,1,_xlpm.テスト内容数),
_xlpm.詳細項目数&amp;"-"&amp;_xlpm.観点数&amp;"-"&amp;_xlpm.テスト内容数_空なら1
)</f>
        <v>117-1-2</v>
      </c>
      <c r="B502" s="93"/>
      <c r="C502" s="93"/>
      <c r="D502" s="207"/>
      <c r="E502" s="207"/>
      <c r="F502" s="93"/>
      <c r="G502" s="99"/>
      <c r="H502" s="131" t="s">
        <v>826</v>
      </c>
      <c r="I502" s="131" t="s">
        <v>827</v>
      </c>
      <c r="J502" s="122" t="s">
        <v>967</v>
      </c>
      <c r="K502" s="116" t="s">
        <v>828</v>
      </c>
      <c r="L502" s="137"/>
      <c r="M502" s="116"/>
      <c r="N502" s="54"/>
      <c r="O502" s="130"/>
      <c r="P502" s="138"/>
      <c r="Q502" s="138"/>
    </row>
    <row r="503" spans="1:17" s="30" customFormat="1" ht="45">
      <c r="A503" s="43" t="str" cm="1">
        <f t="array" aca="1" ref="A503" ca="1">_xlfn.LET(
_xlpm.詳細項目数, COUNTA($E$11:E503),
_xlpm.直近で詳細項目が空でないセルの行番号, MAX(INDEX((LEN($E$11:E503)&gt;0)*ROW($E$11:E503),0)),
_xlpm.観点数, COUNTA(INDIRECT("F"&amp;_xlpm.直近で詳細項目が空でないセルの行番号):F503),
_xlpm.直近で観点が空でないセルの行番号, MAX(INDEX((LEN($F$11:F503)&gt;0)*ROW($F$11:F503),0)),
_xlpm.テスト内容数, COUNTA(INDIRECT("J"&amp;_xlpm.直近で観点が空でないセルの行番号):J503),
_xlpm.テスト内容数_空なら1, IF(_xlpm.テスト内容数=0,1,_xlpm.テスト内容数),
_xlpm.詳細項目数&amp;"-"&amp;_xlpm.観点数&amp;"-"&amp;_xlpm.テスト内容数_空なら1
)</f>
        <v>117-1-3</v>
      </c>
      <c r="B503" s="93"/>
      <c r="C503" s="93"/>
      <c r="D503" s="211"/>
      <c r="E503" s="211"/>
      <c r="F503" s="194"/>
      <c r="G503" s="99"/>
      <c r="H503" s="131" t="s">
        <v>826</v>
      </c>
      <c r="I503" s="131" t="s">
        <v>827</v>
      </c>
      <c r="J503" s="122" t="s">
        <v>948</v>
      </c>
      <c r="K503" s="255" t="s">
        <v>828</v>
      </c>
      <c r="L503" s="137"/>
      <c r="M503" s="116"/>
      <c r="N503" s="54"/>
      <c r="O503" s="130"/>
      <c r="P503" s="138"/>
      <c r="Q503" s="138"/>
    </row>
    <row r="504" spans="1:17" s="30" customFormat="1" ht="56.25">
      <c r="A504" s="43" t="str" cm="1">
        <f t="array" aca="1" ref="A504" ca="1">_xlfn.LET(
_xlpm.詳細項目数, COUNTA($E$11:E504),
_xlpm.直近で詳細項目が空でないセルの行番号, MAX(INDEX((LEN($E$11:E504)&gt;0)*ROW($E$11:E504),0)),
_xlpm.観点数, COUNTA(INDIRECT("F"&amp;_xlpm.直近で詳細項目が空でないセルの行番号):F504),
_xlpm.直近で観点が空でないセルの行番号, MAX(INDEX((LEN($F$11:F504)&gt;0)*ROW($F$11:F504),0)),
_xlpm.テスト内容数, COUNTA(INDIRECT("J"&amp;_xlpm.直近で観点が空でないセルの行番号):J504),
_xlpm.テスト内容数_空なら1, IF(_xlpm.テスト内容数=0,1,_xlpm.テスト内容数),
_xlpm.詳細項目数&amp;"-"&amp;_xlpm.観点数&amp;"-"&amp;_xlpm.テスト内容数_空なら1
)</f>
        <v>118-1-1</v>
      </c>
      <c r="B504" s="194"/>
      <c r="C504" s="194"/>
      <c r="D504" s="130" t="s">
        <v>525</v>
      </c>
      <c r="E504" s="130" t="s">
        <v>495</v>
      </c>
      <c r="F504" s="82" t="s">
        <v>594</v>
      </c>
      <c r="G504" s="99"/>
      <c r="H504" s="56" t="s">
        <v>829</v>
      </c>
      <c r="I504" s="56" t="s">
        <v>830</v>
      </c>
      <c r="J504" s="53" t="s">
        <v>935</v>
      </c>
      <c r="K504" s="120" t="s">
        <v>831</v>
      </c>
      <c r="L504" s="137"/>
      <c r="M504" s="116"/>
      <c r="N504" s="54"/>
      <c r="O504" s="130"/>
      <c r="P504" s="138"/>
      <c r="Q504" s="138"/>
    </row>
    <row r="505" spans="1:17" ht="22.5">
      <c r="A505" s="43" t="str" cm="1">
        <f t="array" aca="1" ref="A505" ca="1">_xlfn.LET(
_xlpm.詳細項目数, COUNTA($E$11:E505),
_xlpm.直近で詳細項目が空でないセルの行番号, MAX(INDEX((LEN($E$11:E505)&gt;0)*ROW($E$11:E505),0)),
_xlpm.観点数, COUNTA(INDIRECT("F"&amp;_xlpm.直近で詳細項目が空でないセルの行番号):F505),
_xlpm.直近で観点が空でないセルの行番号, MAX(INDEX((LEN($F$11:F505)&gt;0)*ROW($F$11:F505),0)),
_xlpm.テスト内容数, COUNTA(INDIRECT("J"&amp;_xlpm.直近で観点が空でないセルの行番号):J505),
_xlpm.テスト内容数_空なら1, IF(_xlpm.テスト内容数=0,1,_xlpm.テスト内容数),
_xlpm.詳細項目数&amp;"-"&amp;_xlpm.観点数&amp;"-"&amp;_xlpm.テスト内容数_空なら1
)</f>
        <v>119-1-1</v>
      </c>
      <c r="B505" s="196" t="s">
        <v>502</v>
      </c>
      <c r="C505" s="196" t="s">
        <v>488</v>
      </c>
      <c r="D505" s="196" t="s">
        <v>489</v>
      </c>
      <c r="E505" s="196" t="s">
        <v>54</v>
      </c>
      <c r="F505" s="256" t="s">
        <v>490</v>
      </c>
      <c r="G505" s="95"/>
      <c r="H505" s="96"/>
      <c r="I505" s="96"/>
      <c r="J505" s="97" t="s">
        <v>813</v>
      </c>
      <c r="K505" s="97"/>
      <c r="L505" s="96"/>
      <c r="M505" s="96"/>
      <c r="N505" s="96"/>
      <c r="O505" s="126"/>
      <c r="P505" s="97"/>
      <c r="Q505" s="97"/>
    </row>
    <row r="506" spans="1:17" ht="22.5">
      <c r="A506" s="43" t="str" cm="1">
        <f t="array" aca="1" ref="A506" ca="1">_xlfn.LET(
_xlpm.詳細項目数, COUNTA($E$11:E506),
_xlpm.直近で詳細項目が空でないセルの行番号, MAX(INDEX((LEN($E$11:E506)&gt;0)*ROW($E$11:E506),0)),
_xlpm.観点数, COUNTA(INDIRECT("F"&amp;_xlpm.直近で詳細項目が空でないセルの行番号):F506),
_xlpm.直近で観点が空でないセルの行番号, MAX(INDEX((LEN($F$11:F506)&gt;0)*ROW($F$11:F506),0)),
_xlpm.テスト内容数, COUNTA(INDIRECT("J"&amp;_xlpm.直近で観点が空でないセルの行番号):J506),
_xlpm.テスト内容数_空なら1, IF(_xlpm.テスト内容数=0,1,_xlpm.テスト内容数),
_xlpm.詳細項目数&amp;"-"&amp;_xlpm.観点数&amp;"-"&amp;_xlpm.テスト内容数_空なら1
)</f>
        <v>119-2-1</v>
      </c>
      <c r="B506" s="243"/>
      <c r="C506" s="198"/>
      <c r="D506" s="198"/>
      <c r="E506" s="198"/>
      <c r="F506" s="94" t="s">
        <v>491</v>
      </c>
      <c r="G506" s="95"/>
      <c r="H506" s="127"/>
      <c r="I506" s="127"/>
      <c r="J506" s="96" t="s">
        <v>813</v>
      </c>
      <c r="K506" s="96"/>
      <c r="L506" s="96"/>
      <c r="M506" s="96"/>
      <c r="N506" s="96"/>
      <c r="O506" s="126"/>
      <c r="P506" s="97"/>
      <c r="Q506" s="97"/>
    </row>
  </sheetData>
  <autoFilter ref="A10:Q506" xr:uid="{999D25B3-87EB-4418-8CC8-B4543A94C3FF}"/>
  <mergeCells count="2">
    <mergeCell ref="B115:B116"/>
    <mergeCell ref="B135:B136"/>
  </mergeCells>
  <phoneticPr fontId="2"/>
  <dataValidations disablePrompts="1" count="1">
    <dataValidation type="list" allowBlank="1" showInputMessage="1" showErrorMessage="1" sqref="O11:O506" xr:uid="{39389B32-20B9-4331-93C4-619BD38DD1F1}">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7" manualBreakCount="7">
    <brk id="47" max="18" man="1"/>
    <brk id="493" max="18" man="1"/>
    <brk id="384" max="18" man="1"/>
    <brk id="36" max="18" man="1"/>
    <brk id="106" max="18" man="1"/>
    <brk id="166" max="18" man="1"/>
    <brk id="272" max="18"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5C6D8-65E1-45D4-8413-F9F9FB8313B8}">
  <sheetPr>
    <pageSetUpPr fitToPage="1"/>
  </sheetPr>
  <dimension ref="A1:Q497"/>
  <sheetViews>
    <sheetView showGridLines="0" view="pageBreakPreview" zoomScaleNormal="80" zoomScaleSheetLayoutView="100" workbookViewId="0">
      <pane ySplit="10" topLeftCell="A11" activePane="bottomLeft" state="frozen"/>
      <selection activeCell="A11" sqref="A11"/>
      <selection pane="bottomLeft"/>
    </sheetView>
  </sheetViews>
  <sheetFormatPr defaultColWidth="9" defaultRowHeight="11.25" outlineLevelCol="1"/>
  <cols>
    <col min="1" max="2" width="8.625" style="24" customWidth="1"/>
    <col min="3" max="5" width="8.625" style="25" customWidth="1"/>
    <col min="6" max="6" width="40.625" style="25" customWidth="1"/>
    <col min="7" max="7" width="40.625" style="62" hidden="1" customWidth="1" outlineLevel="1"/>
    <col min="8" max="8" width="15.625" style="68" customWidth="1" collapsed="1"/>
    <col min="9" max="9" width="15.625" style="68" customWidth="1"/>
    <col min="10" max="10" width="25.625" style="73" customWidth="1"/>
    <col min="11" max="11" width="25.625" style="74" customWidth="1"/>
    <col min="12" max="12" width="12.625" style="24" customWidth="1"/>
    <col min="13" max="17" width="8.625" style="24" customWidth="1"/>
    <col min="18" max="16384" width="9" style="24"/>
  </cols>
  <sheetData>
    <row r="1" spans="1:17">
      <c r="A1" s="24" t="s">
        <v>564</v>
      </c>
    </row>
    <row r="2" spans="1:17">
      <c r="A2" s="24" t="s">
        <v>592</v>
      </c>
    </row>
    <row r="4" spans="1:17">
      <c r="A4" s="24" t="s">
        <v>565</v>
      </c>
    </row>
    <row r="5" spans="1:17">
      <c r="A5" s="24" t="s">
        <v>631</v>
      </c>
    </row>
    <row r="6" spans="1:17">
      <c r="A6" s="24" t="s">
        <v>632</v>
      </c>
      <c r="J6" s="24"/>
      <c r="K6" s="24"/>
      <c r="M6" s="73"/>
      <c r="N6" s="73" t="s">
        <v>12</v>
      </c>
      <c r="O6" s="74"/>
      <c r="P6" s="74" t="s">
        <v>0</v>
      </c>
    </row>
    <row r="7" spans="1:17">
      <c r="A7" s="24" t="s">
        <v>1048</v>
      </c>
      <c r="J7" s="24"/>
      <c r="K7" s="24"/>
      <c r="M7" s="73"/>
      <c r="N7" s="73" t="s">
        <v>13</v>
      </c>
      <c r="O7" s="74"/>
      <c r="P7" s="74" t="s">
        <v>1</v>
      </c>
    </row>
    <row r="8" spans="1:17" ht="12" thickBot="1">
      <c r="A8" s="26" t="s">
        <v>1050</v>
      </c>
      <c r="B8" s="26"/>
      <c r="C8" s="27"/>
      <c r="D8" s="27"/>
      <c r="E8" s="27"/>
      <c r="F8" s="27"/>
      <c r="G8" s="63"/>
      <c r="H8" s="69"/>
      <c r="I8" s="69"/>
      <c r="J8" s="75"/>
      <c r="K8" s="76"/>
      <c r="L8" s="26"/>
      <c r="M8" s="26"/>
      <c r="N8" s="26"/>
      <c r="O8" s="26"/>
      <c r="P8" s="26"/>
      <c r="Q8" s="26"/>
    </row>
    <row r="9" spans="1:17" ht="12" thickTop="1"/>
    <row r="10" spans="1:17" s="30" customFormat="1">
      <c r="A10" s="28" t="s">
        <v>32</v>
      </c>
      <c r="B10" s="28" t="s">
        <v>38</v>
      </c>
      <c r="C10" s="28" t="s">
        <v>39</v>
      </c>
      <c r="D10" s="28" t="s">
        <v>40</v>
      </c>
      <c r="E10" s="28" t="s">
        <v>517</v>
      </c>
      <c r="F10" s="28" t="s">
        <v>42</v>
      </c>
      <c r="G10" s="31" t="s">
        <v>510</v>
      </c>
      <c r="H10" s="70" t="s">
        <v>9</v>
      </c>
      <c r="I10" s="70" t="s">
        <v>10</v>
      </c>
      <c r="J10" s="77" t="s">
        <v>2</v>
      </c>
      <c r="K10" s="72" t="s">
        <v>3</v>
      </c>
      <c r="L10" s="29" t="s">
        <v>45</v>
      </c>
      <c r="M10" s="29" t="s">
        <v>4</v>
      </c>
      <c r="N10" s="29" t="s">
        <v>14</v>
      </c>
      <c r="O10" s="29" t="s">
        <v>5</v>
      </c>
      <c r="P10" s="29" t="s">
        <v>6</v>
      </c>
      <c r="Q10" s="29"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95" t="s">
        <v>528</v>
      </c>
      <c r="C11" s="195" t="s">
        <v>47</v>
      </c>
      <c r="D11" s="196" t="s">
        <v>48</v>
      </c>
      <c r="E11" s="126" t="s">
        <v>49</v>
      </c>
      <c r="F11" s="94" t="s">
        <v>50</v>
      </c>
      <c r="G11" s="95" t="s">
        <v>560</v>
      </c>
      <c r="H11" s="96"/>
      <c r="I11" s="96"/>
      <c r="J11" s="97"/>
      <c r="K11" s="97"/>
      <c r="L11" s="96"/>
      <c r="M11" s="96"/>
      <c r="N11" s="96"/>
      <c r="O11" s="126"/>
      <c r="P11" s="97"/>
      <c r="Q11" s="97"/>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96"/>
      <c r="C12" s="197"/>
      <c r="D12" s="198"/>
      <c r="E12" s="198" t="s">
        <v>51</v>
      </c>
      <c r="F12" s="94" t="s">
        <v>52</v>
      </c>
      <c r="G12" s="95" t="s">
        <v>560</v>
      </c>
      <c r="H12" s="96"/>
      <c r="I12" s="96"/>
      <c r="J12" s="97"/>
      <c r="K12" s="97"/>
      <c r="L12" s="96"/>
      <c r="M12" s="96"/>
      <c r="N12" s="96"/>
      <c r="O12" s="126"/>
      <c r="P12" s="97"/>
      <c r="Q12" s="97"/>
    </row>
    <row r="13" spans="1:17"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96"/>
      <c r="C13" s="197"/>
      <c r="D13" s="196" t="s">
        <v>53</v>
      </c>
      <c r="E13" s="199" t="s">
        <v>495</v>
      </c>
      <c r="F13" s="94" t="s">
        <v>55</v>
      </c>
      <c r="G13" s="95" t="s">
        <v>560</v>
      </c>
      <c r="H13" s="96"/>
      <c r="I13" s="96"/>
      <c r="J13" s="97"/>
      <c r="K13" s="97"/>
      <c r="L13" s="96"/>
      <c r="M13" s="96"/>
      <c r="N13" s="96"/>
      <c r="O13" s="126"/>
      <c r="P13" s="97"/>
      <c r="Q13" s="97"/>
    </row>
    <row r="14" spans="1:17"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96"/>
      <c r="C14" s="197"/>
      <c r="D14" s="196"/>
      <c r="E14" s="199"/>
      <c r="F14" s="94" t="s">
        <v>56</v>
      </c>
      <c r="G14" s="95" t="s">
        <v>560</v>
      </c>
      <c r="H14" s="96"/>
      <c r="I14" s="96"/>
      <c r="J14" s="97"/>
      <c r="K14" s="97"/>
      <c r="L14" s="96"/>
      <c r="M14" s="96"/>
      <c r="N14" s="96"/>
      <c r="O14" s="126"/>
      <c r="P14" s="97"/>
      <c r="Q14" s="97"/>
    </row>
    <row r="15" spans="1:17"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96"/>
      <c r="C15" s="197"/>
      <c r="D15" s="196"/>
      <c r="E15" s="199"/>
      <c r="F15" s="94" t="s">
        <v>57</v>
      </c>
      <c r="G15" s="95" t="s">
        <v>560</v>
      </c>
      <c r="H15" s="96"/>
      <c r="I15" s="96"/>
      <c r="J15" s="97"/>
      <c r="K15" s="97"/>
      <c r="L15" s="96"/>
      <c r="M15" s="96"/>
      <c r="N15" s="96"/>
      <c r="O15" s="126"/>
      <c r="P15" s="97"/>
      <c r="Q15" s="97"/>
    </row>
    <row r="16" spans="1:17"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96"/>
      <c r="C16" s="197"/>
      <c r="D16" s="196"/>
      <c r="E16" s="199"/>
      <c r="F16" s="94" t="s">
        <v>58</v>
      </c>
      <c r="G16" s="95" t="s">
        <v>560</v>
      </c>
      <c r="H16" s="96"/>
      <c r="I16" s="96"/>
      <c r="J16" s="97"/>
      <c r="K16" s="97"/>
      <c r="L16" s="96"/>
      <c r="M16" s="96"/>
      <c r="N16" s="96"/>
      <c r="O16" s="126"/>
      <c r="P16" s="97"/>
      <c r="Q16" s="97"/>
    </row>
    <row r="17" spans="1:17"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96"/>
      <c r="C17" s="197"/>
      <c r="D17" s="200"/>
      <c r="E17" s="198"/>
      <c r="F17" s="94" t="s">
        <v>59</v>
      </c>
      <c r="G17" s="95" t="s">
        <v>560</v>
      </c>
      <c r="H17" s="96"/>
      <c r="I17" s="96"/>
      <c r="J17" s="97"/>
      <c r="K17" s="97"/>
      <c r="L17" s="96"/>
      <c r="M17" s="96"/>
      <c r="N17" s="96"/>
      <c r="O17" s="126"/>
      <c r="P17" s="97"/>
      <c r="Q17" s="97"/>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96"/>
      <c r="C18" s="197"/>
      <c r="D18" s="199" t="s">
        <v>60</v>
      </c>
      <c r="E18" s="199" t="s">
        <v>61</v>
      </c>
      <c r="F18" s="94" t="s">
        <v>62</v>
      </c>
      <c r="G18" s="95" t="s">
        <v>560</v>
      </c>
      <c r="H18" s="96"/>
      <c r="I18" s="96"/>
      <c r="J18" s="97"/>
      <c r="K18" s="97"/>
      <c r="L18" s="96"/>
      <c r="M18" s="96"/>
      <c r="N18" s="96"/>
      <c r="O18" s="126"/>
      <c r="P18" s="97"/>
      <c r="Q18" s="97"/>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96"/>
      <c r="C19" s="197"/>
      <c r="D19" s="199"/>
      <c r="E19" s="199"/>
      <c r="F19" s="94" t="s">
        <v>63</v>
      </c>
      <c r="G19" s="95" t="s">
        <v>560</v>
      </c>
      <c r="H19" s="96"/>
      <c r="I19" s="96"/>
      <c r="J19" s="97"/>
      <c r="K19" s="97"/>
      <c r="L19" s="96"/>
      <c r="M19" s="96"/>
      <c r="N19" s="96"/>
      <c r="O19" s="126"/>
      <c r="P19" s="97"/>
      <c r="Q19" s="97"/>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96"/>
      <c r="C20" s="197"/>
      <c r="D20" s="199"/>
      <c r="E20" s="198"/>
      <c r="F20" s="94" t="s">
        <v>64</v>
      </c>
      <c r="G20" s="95" t="s">
        <v>560</v>
      </c>
      <c r="H20" s="96"/>
      <c r="I20" s="96"/>
      <c r="J20" s="97"/>
      <c r="K20" s="97"/>
      <c r="L20" s="96"/>
      <c r="M20" s="96"/>
      <c r="N20" s="96"/>
      <c r="O20" s="126"/>
      <c r="P20" s="97"/>
      <c r="Q20" s="97"/>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96"/>
      <c r="C21" s="197"/>
      <c r="D21" s="199"/>
      <c r="E21" s="199" t="s">
        <v>65</v>
      </c>
      <c r="F21" s="94" t="s">
        <v>66</v>
      </c>
      <c r="G21" s="95" t="s">
        <v>560</v>
      </c>
      <c r="H21" s="96"/>
      <c r="I21" s="96"/>
      <c r="J21" s="97"/>
      <c r="K21" s="97"/>
      <c r="L21" s="96"/>
      <c r="M21" s="96"/>
      <c r="N21" s="96"/>
      <c r="O21" s="126"/>
      <c r="P21" s="97"/>
      <c r="Q21" s="97"/>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96"/>
      <c r="C22" s="197"/>
      <c r="D22" s="199"/>
      <c r="E22" s="199"/>
      <c r="F22" s="94" t="s">
        <v>67</v>
      </c>
      <c r="G22" s="95" t="s">
        <v>560</v>
      </c>
      <c r="H22" s="96"/>
      <c r="I22" s="96"/>
      <c r="J22" s="97"/>
      <c r="K22" s="97"/>
      <c r="L22" s="96"/>
      <c r="M22" s="96"/>
      <c r="N22" s="96"/>
      <c r="O22" s="126"/>
      <c r="P22" s="97"/>
      <c r="Q22" s="97"/>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96"/>
      <c r="C23" s="197"/>
      <c r="D23" s="199"/>
      <c r="E23" s="199"/>
      <c r="F23" s="94" t="s">
        <v>529</v>
      </c>
      <c r="G23" s="95" t="s">
        <v>560</v>
      </c>
      <c r="H23" s="96"/>
      <c r="I23" s="96"/>
      <c r="J23" s="97"/>
      <c r="K23" s="97"/>
      <c r="L23" s="96"/>
      <c r="M23" s="96"/>
      <c r="N23" s="96"/>
      <c r="O23" s="126"/>
      <c r="P23" s="97"/>
      <c r="Q23" s="97"/>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96"/>
      <c r="C24" s="197"/>
      <c r="D24" s="200"/>
      <c r="E24" s="198"/>
      <c r="F24" s="140" t="s">
        <v>69</v>
      </c>
      <c r="G24" s="95" t="s">
        <v>560</v>
      </c>
      <c r="H24" s="96"/>
      <c r="I24" s="96"/>
      <c r="J24" s="97"/>
      <c r="K24" s="97"/>
      <c r="L24" s="96"/>
      <c r="M24" s="96"/>
      <c r="N24" s="96"/>
      <c r="O24" s="126"/>
      <c r="P24" s="97"/>
      <c r="Q24" s="97"/>
    </row>
    <row r="25" spans="1:17"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96"/>
      <c r="C25" s="197"/>
      <c r="D25" s="199" t="s">
        <v>70</v>
      </c>
      <c r="E25" s="199" t="s">
        <v>495</v>
      </c>
      <c r="F25" s="94" t="s">
        <v>71</v>
      </c>
      <c r="G25" s="95" t="s">
        <v>560</v>
      </c>
      <c r="H25" s="96"/>
      <c r="I25" s="96"/>
      <c r="J25" s="97"/>
      <c r="K25" s="97"/>
      <c r="L25" s="96"/>
      <c r="M25" s="96"/>
      <c r="N25" s="96"/>
      <c r="O25" s="126"/>
      <c r="P25" s="97"/>
      <c r="Q25" s="97"/>
    </row>
    <row r="26" spans="1:17">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96"/>
      <c r="C26" s="197"/>
      <c r="D26" s="200"/>
      <c r="E26" s="198"/>
      <c r="F26" s="94" t="s">
        <v>72</v>
      </c>
      <c r="G26" s="95" t="s">
        <v>560</v>
      </c>
      <c r="H26" s="96"/>
      <c r="I26" s="96"/>
      <c r="J26" s="97"/>
      <c r="K26" s="97"/>
      <c r="L26" s="96"/>
      <c r="M26" s="96"/>
      <c r="N26" s="96"/>
      <c r="O26" s="126"/>
      <c r="P26" s="97"/>
      <c r="Q26" s="97"/>
    </row>
    <row r="27" spans="1:17"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96"/>
      <c r="C27" s="197"/>
      <c r="D27" s="199" t="s">
        <v>73</v>
      </c>
      <c r="E27" s="199" t="s">
        <v>74</v>
      </c>
      <c r="F27" s="94" t="s">
        <v>75</v>
      </c>
      <c r="G27" s="95" t="s">
        <v>560</v>
      </c>
      <c r="H27" s="96"/>
      <c r="I27" s="96"/>
      <c r="J27" s="97"/>
      <c r="K27" s="97"/>
      <c r="L27" s="96"/>
      <c r="M27" s="96"/>
      <c r="N27" s="96"/>
      <c r="O27" s="126"/>
      <c r="P27" s="97"/>
      <c r="Q27" s="97"/>
    </row>
    <row r="28" spans="1:17"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96"/>
      <c r="C28" s="197"/>
      <c r="D28" s="199"/>
      <c r="E28" s="198"/>
      <c r="F28" s="94" t="s">
        <v>76</v>
      </c>
      <c r="G28" s="95" t="s">
        <v>560</v>
      </c>
      <c r="H28" s="96"/>
      <c r="I28" s="96"/>
      <c r="J28" s="97"/>
      <c r="K28" s="97"/>
      <c r="L28" s="96"/>
      <c r="M28" s="96"/>
      <c r="N28" s="96"/>
      <c r="O28" s="126"/>
      <c r="P28" s="97"/>
      <c r="Q28" s="97"/>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96"/>
      <c r="C29" s="197"/>
      <c r="D29" s="196"/>
      <c r="E29" s="199" t="s">
        <v>77</v>
      </c>
      <c r="F29" s="94" t="s">
        <v>78</v>
      </c>
      <c r="G29" s="95" t="s">
        <v>560</v>
      </c>
      <c r="H29" s="96"/>
      <c r="I29" s="96"/>
      <c r="J29" s="97"/>
      <c r="K29" s="97"/>
      <c r="L29" s="96"/>
      <c r="M29" s="96"/>
      <c r="N29" s="96"/>
      <c r="O29" s="126"/>
      <c r="P29" s="97"/>
      <c r="Q29" s="97"/>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96"/>
      <c r="C30" s="197"/>
      <c r="D30" s="199"/>
      <c r="E30" s="199"/>
      <c r="F30" s="94" t="s">
        <v>79</v>
      </c>
      <c r="G30" s="95" t="s">
        <v>560</v>
      </c>
      <c r="H30" s="96"/>
      <c r="I30" s="96"/>
      <c r="J30" s="97"/>
      <c r="K30" s="97"/>
      <c r="L30" s="96"/>
      <c r="M30" s="96"/>
      <c r="N30" s="96"/>
      <c r="O30" s="126"/>
      <c r="P30" s="97"/>
      <c r="Q30" s="97"/>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96"/>
      <c r="C31" s="197"/>
      <c r="D31" s="199"/>
      <c r="E31" s="199"/>
      <c r="F31" s="94" t="s">
        <v>80</v>
      </c>
      <c r="G31" s="95" t="s">
        <v>560</v>
      </c>
      <c r="H31" s="96"/>
      <c r="I31" s="96"/>
      <c r="J31" s="97"/>
      <c r="K31" s="97"/>
      <c r="L31" s="96"/>
      <c r="M31" s="96"/>
      <c r="N31" s="96"/>
      <c r="O31" s="126"/>
      <c r="P31" s="97"/>
      <c r="Q31" s="97"/>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96"/>
      <c r="C32" s="197"/>
      <c r="D32" s="199"/>
      <c r="E32" s="198"/>
      <c r="F32" s="94" t="s">
        <v>81</v>
      </c>
      <c r="G32" s="95" t="s">
        <v>560</v>
      </c>
      <c r="H32" s="96"/>
      <c r="I32" s="96"/>
      <c r="J32" s="97"/>
      <c r="K32" s="97"/>
      <c r="L32" s="96"/>
      <c r="M32" s="96"/>
      <c r="N32" s="96"/>
      <c r="O32" s="126"/>
      <c r="P32" s="97"/>
      <c r="Q32" s="97"/>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96"/>
      <c r="C33" s="197"/>
      <c r="D33" s="199"/>
      <c r="E33" s="199" t="s">
        <v>530</v>
      </c>
      <c r="F33" s="94" t="s">
        <v>83</v>
      </c>
      <c r="G33" s="95" t="s">
        <v>560</v>
      </c>
      <c r="H33" s="96"/>
      <c r="I33" s="96"/>
      <c r="J33" s="97"/>
      <c r="K33" s="97"/>
      <c r="L33" s="96"/>
      <c r="M33" s="96"/>
      <c r="N33" s="96"/>
      <c r="O33" s="126"/>
      <c r="P33" s="97"/>
      <c r="Q33" s="97"/>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96"/>
      <c r="C34" s="197"/>
      <c r="D34" s="199"/>
      <c r="E34" s="198"/>
      <c r="F34" s="94" t="s">
        <v>84</v>
      </c>
      <c r="G34" s="95" t="s">
        <v>560</v>
      </c>
      <c r="H34" s="96"/>
      <c r="I34" s="96"/>
      <c r="J34" s="97"/>
      <c r="K34" s="97"/>
      <c r="L34" s="96"/>
      <c r="M34" s="96"/>
      <c r="N34" s="96"/>
      <c r="O34" s="126"/>
      <c r="P34" s="97"/>
      <c r="Q34" s="97"/>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96"/>
      <c r="C35" s="196"/>
      <c r="D35" s="199"/>
      <c r="E35" s="196" t="s">
        <v>85</v>
      </c>
      <c r="F35" s="94" t="s">
        <v>86</v>
      </c>
      <c r="G35" s="95" t="s">
        <v>559</v>
      </c>
      <c r="H35" s="127"/>
      <c r="I35" s="127"/>
      <c r="J35" s="128"/>
      <c r="K35" s="128"/>
      <c r="L35" s="96"/>
      <c r="M35" s="96"/>
      <c r="N35" s="96"/>
      <c r="O35" s="126"/>
      <c r="P35" s="97"/>
      <c r="Q35" s="97"/>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96"/>
      <c r="C36" s="201" t="s">
        <v>87</v>
      </c>
      <c r="D36" s="201" t="s">
        <v>499</v>
      </c>
      <c r="E36" s="202" t="s">
        <v>499</v>
      </c>
      <c r="F36" s="67" t="s">
        <v>88</v>
      </c>
      <c r="G36" s="64" t="s">
        <v>559</v>
      </c>
      <c r="H36" s="49"/>
      <c r="I36" s="49"/>
      <c r="J36" s="46"/>
      <c r="K36" s="46"/>
      <c r="L36" s="49"/>
      <c r="M36" s="49"/>
      <c r="N36" s="49"/>
      <c r="O36" s="129"/>
      <c r="P36" s="46"/>
      <c r="Q36" s="46"/>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96"/>
      <c r="C37" s="203"/>
      <c r="D37" s="204"/>
      <c r="E37" s="203"/>
      <c r="F37" s="66" t="s">
        <v>531</v>
      </c>
      <c r="G37" s="64" t="s">
        <v>559</v>
      </c>
      <c r="H37" s="49"/>
      <c r="I37" s="49"/>
      <c r="J37" s="46"/>
      <c r="K37" s="46"/>
      <c r="L37" s="49"/>
      <c r="M37" s="49"/>
      <c r="N37" s="49"/>
      <c r="O37" s="129"/>
      <c r="P37" s="46"/>
      <c r="Q37" s="46"/>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96"/>
      <c r="C38" s="203"/>
      <c r="D38" s="204"/>
      <c r="E38" s="203"/>
      <c r="F38" s="66" t="s">
        <v>90</v>
      </c>
      <c r="G38" s="64" t="s">
        <v>559</v>
      </c>
      <c r="H38" s="49"/>
      <c r="I38" s="49"/>
      <c r="J38" s="46"/>
      <c r="K38" s="46"/>
      <c r="L38" s="49"/>
      <c r="M38" s="49"/>
      <c r="N38" s="49"/>
      <c r="O38" s="129"/>
      <c r="P38" s="46"/>
      <c r="Q38" s="46"/>
    </row>
    <row r="39" spans="1:17"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96"/>
      <c r="C39" s="203"/>
      <c r="D39" s="205"/>
      <c r="E39" s="206"/>
      <c r="F39" s="66" t="s">
        <v>91</v>
      </c>
      <c r="G39" s="64" t="s">
        <v>559</v>
      </c>
      <c r="H39" s="49"/>
      <c r="I39" s="49"/>
      <c r="J39" s="46"/>
      <c r="K39" s="46"/>
      <c r="L39" s="49"/>
      <c r="M39" s="49"/>
      <c r="N39" s="49"/>
      <c r="O39" s="129"/>
      <c r="P39" s="46"/>
      <c r="Q39" s="46"/>
    </row>
    <row r="40" spans="1:17"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96"/>
      <c r="C40" s="203"/>
      <c r="D40" s="204" t="s">
        <v>92</v>
      </c>
      <c r="E40" s="203" t="s">
        <v>54</v>
      </c>
      <c r="F40" s="66" t="s">
        <v>532</v>
      </c>
      <c r="G40" s="64" t="s">
        <v>559</v>
      </c>
      <c r="H40" s="49"/>
      <c r="I40" s="49"/>
      <c r="J40" s="46"/>
      <c r="K40" s="46"/>
      <c r="L40" s="49"/>
      <c r="M40" s="49"/>
      <c r="N40" s="49"/>
      <c r="O40" s="129"/>
      <c r="P40" s="46"/>
      <c r="Q40" s="46"/>
    </row>
    <row r="41" spans="1:17">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98"/>
      <c r="C41" s="206"/>
      <c r="D41" s="205"/>
      <c r="E41" s="206"/>
      <c r="F41" s="66" t="s">
        <v>533</v>
      </c>
      <c r="G41" s="64" t="s">
        <v>559</v>
      </c>
      <c r="H41" s="49"/>
      <c r="I41" s="49"/>
      <c r="J41" s="46"/>
      <c r="K41" s="46"/>
      <c r="L41" s="49"/>
      <c r="M41" s="49"/>
      <c r="N41" s="49"/>
      <c r="O41" s="129"/>
      <c r="P41" s="46"/>
      <c r="Q41" s="46"/>
    </row>
    <row r="42" spans="1:17" ht="33.7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207" t="s">
        <v>95</v>
      </c>
      <c r="C42" s="208" t="s">
        <v>96</v>
      </c>
      <c r="D42" s="208" t="s">
        <v>97</v>
      </c>
      <c r="E42" s="209" t="s">
        <v>98</v>
      </c>
      <c r="F42" s="60" t="s">
        <v>99</v>
      </c>
      <c r="G42" s="71"/>
      <c r="H42" s="122" t="s">
        <v>648</v>
      </c>
      <c r="I42" s="122" t="s">
        <v>649</v>
      </c>
      <c r="J42" s="32" t="s">
        <v>971</v>
      </c>
      <c r="K42" s="32" t="s">
        <v>834</v>
      </c>
      <c r="L42" s="116"/>
      <c r="M42" s="116"/>
      <c r="N42" s="54"/>
      <c r="O42" s="130"/>
      <c r="P42" s="78"/>
      <c r="Q42" s="78"/>
    </row>
    <row r="43" spans="1:17" ht="33.7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13-1-2</v>
      </c>
      <c r="B43" s="207"/>
      <c r="C43" s="207"/>
      <c r="D43" s="207"/>
      <c r="E43" s="210"/>
      <c r="F43" s="239"/>
      <c r="G43" s="71"/>
      <c r="H43" s="131" t="s">
        <v>648</v>
      </c>
      <c r="I43" s="122" t="s">
        <v>649</v>
      </c>
      <c r="J43" s="32" t="s">
        <v>971</v>
      </c>
      <c r="K43" s="32" t="s">
        <v>835</v>
      </c>
      <c r="L43" s="116"/>
      <c r="M43" s="116"/>
      <c r="N43" s="54"/>
      <c r="O43" s="130"/>
      <c r="P43" s="78"/>
      <c r="Q43" s="78"/>
    </row>
    <row r="44" spans="1:17" ht="4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13-2-1</v>
      </c>
      <c r="B44" s="207"/>
      <c r="C44" s="207"/>
      <c r="D44" s="207"/>
      <c r="E44" s="210"/>
      <c r="F44" s="60" t="s">
        <v>100</v>
      </c>
      <c r="G44" s="71"/>
      <c r="H44" s="131" t="s">
        <v>648</v>
      </c>
      <c r="I44" s="122" t="s">
        <v>649</v>
      </c>
      <c r="J44" s="32" t="s">
        <v>972</v>
      </c>
      <c r="K44" s="32" t="s">
        <v>836</v>
      </c>
      <c r="L44" s="116"/>
      <c r="M44" s="116"/>
      <c r="N44" s="54"/>
      <c r="O44" s="130"/>
      <c r="P44" s="78"/>
      <c r="Q44" s="78"/>
    </row>
    <row r="45" spans="1:17" ht="4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13-2-2</v>
      </c>
      <c r="B45" s="207"/>
      <c r="C45" s="207"/>
      <c r="D45" s="207"/>
      <c r="E45" s="210"/>
      <c r="F45" s="239"/>
      <c r="G45" s="71"/>
      <c r="H45" s="131" t="s">
        <v>648</v>
      </c>
      <c r="I45" s="122" t="s">
        <v>649</v>
      </c>
      <c r="J45" s="32" t="s">
        <v>973</v>
      </c>
      <c r="K45" s="32" t="s">
        <v>837</v>
      </c>
      <c r="L45" s="116"/>
      <c r="M45" s="116"/>
      <c r="N45" s="54"/>
      <c r="O45" s="130"/>
      <c r="P45" s="78"/>
      <c r="Q45" s="78"/>
    </row>
    <row r="46" spans="1:17" ht="33.7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13-3-1</v>
      </c>
      <c r="B46" s="207"/>
      <c r="C46" s="207"/>
      <c r="D46" s="207"/>
      <c r="E46" s="211"/>
      <c r="F46" s="94" t="s">
        <v>101</v>
      </c>
      <c r="G46" s="95"/>
      <c r="H46" s="140"/>
      <c r="I46" s="127"/>
      <c r="J46" s="80" t="s">
        <v>974</v>
      </c>
      <c r="K46" s="80"/>
      <c r="L46" s="96"/>
      <c r="M46" s="96"/>
      <c r="N46" s="96"/>
      <c r="O46" s="126"/>
      <c r="P46" s="97"/>
      <c r="Q46" s="97"/>
    </row>
    <row r="47" spans="1:17" ht="22.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14-1-1</v>
      </c>
      <c r="B47" s="207"/>
      <c r="C47" s="207"/>
      <c r="D47" s="207"/>
      <c r="E47" s="199" t="s">
        <v>102</v>
      </c>
      <c r="F47" s="94" t="s">
        <v>103</v>
      </c>
      <c r="G47" s="95"/>
      <c r="H47" s="96"/>
      <c r="I47" s="96"/>
      <c r="J47" s="235" t="s">
        <v>975</v>
      </c>
      <c r="K47" s="97"/>
      <c r="L47" s="96"/>
      <c r="M47" s="96"/>
      <c r="N47" s="96"/>
      <c r="O47" s="126"/>
      <c r="P47" s="97"/>
      <c r="Q47" s="97"/>
    </row>
    <row r="48" spans="1:17" ht="2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14-2-1</v>
      </c>
      <c r="B48" s="207"/>
      <c r="C48" s="207"/>
      <c r="D48" s="207"/>
      <c r="E48" s="199"/>
      <c r="F48" s="94" t="s">
        <v>104</v>
      </c>
      <c r="G48" s="95"/>
      <c r="H48" s="96"/>
      <c r="I48" s="96"/>
      <c r="J48" s="235" t="s">
        <v>975</v>
      </c>
      <c r="K48" s="97"/>
      <c r="L48" s="96"/>
      <c r="M48" s="96"/>
      <c r="N48" s="96"/>
      <c r="O48" s="126"/>
      <c r="P48" s="97"/>
      <c r="Q48" s="97"/>
    </row>
    <row r="49" spans="1:17" ht="33.7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14-3-1</v>
      </c>
      <c r="B49" s="207"/>
      <c r="C49" s="207"/>
      <c r="D49" s="207"/>
      <c r="E49" s="198"/>
      <c r="F49" s="94" t="s">
        <v>101</v>
      </c>
      <c r="G49" s="95"/>
      <c r="H49" s="96"/>
      <c r="I49" s="96"/>
      <c r="J49" s="235" t="s">
        <v>975</v>
      </c>
      <c r="K49" s="97"/>
      <c r="L49" s="96"/>
      <c r="M49" s="96"/>
      <c r="N49" s="96"/>
      <c r="O49" s="126"/>
      <c r="P49" s="97"/>
      <c r="Q49" s="97"/>
    </row>
    <row r="50" spans="1:17" ht="33.7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15-1-1</v>
      </c>
      <c r="B50" s="207"/>
      <c r="C50" s="207"/>
      <c r="D50" s="207"/>
      <c r="E50" s="212" t="s">
        <v>105</v>
      </c>
      <c r="F50" s="60" t="s">
        <v>106</v>
      </c>
      <c r="G50" s="71"/>
      <c r="H50" s="122" t="s">
        <v>648</v>
      </c>
      <c r="I50" s="122" t="s">
        <v>649</v>
      </c>
      <c r="J50" s="32" t="s">
        <v>971</v>
      </c>
      <c r="K50" s="32" t="s">
        <v>834</v>
      </c>
      <c r="L50" s="116"/>
      <c r="M50" s="116"/>
      <c r="N50" s="54"/>
      <c r="O50" s="130"/>
      <c r="P50" s="78"/>
      <c r="Q50" s="78"/>
    </row>
    <row r="51" spans="1:17" ht="33.7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15-1-2</v>
      </c>
      <c r="B51" s="207"/>
      <c r="C51" s="207"/>
      <c r="D51" s="207"/>
      <c r="E51" s="207"/>
      <c r="F51" s="239"/>
      <c r="G51" s="71"/>
      <c r="H51" s="122" t="s">
        <v>648</v>
      </c>
      <c r="I51" s="122" t="s">
        <v>649</v>
      </c>
      <c r="J51" s="32" t="s">
        <v>971</v>
      </c>
      <c r="K51" s="32" t="s">
        <v>835</v>
      </c>
      <c r="L51" s="116"/>
      <c r="M51" s="116"/>
      <c r="N51" s="54"/>
      <c r="O51" s="130"/>
      <c r="P51" s="78"/>
      <c r="Q51" s="78"/>
    </row>
    <row r="52" spans="1:17" ht="4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15-2-1</v>
      </c>
      <c r="B52" s="207"/>
      <c r="C52" s="207"/>
      <c r="D52" s="207"/>
      <c r="E52" s="207"/>
      <c r="F52" s="60" t="s">
        <v>107</v>
      </c>
      <c r="G52" s="71"/>
      <c r="H52" s="122" t="s">
        <v>648</v>
      </c>
      <c r="I52" s="122" t="s">
        <v>649</v>
      </c>
      <c r="J52" s="32" t="s">
        <v>972</v>
      </c>
      <c r="K52" s="32" t="s">
        <v>836</v>
      </c>
      <c r="L52" s="116"/>
      <c r="M52" s="116"/>
      <c r="N52" s="54"/>
      <c r="O52" s="130"/>
      <c r="P52" s="78"/>
      <c r="Q52" s="78"/>
    </row>
    <row r="53" spans="1:17" ht="4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15-2-2</v>
      </c>
      <c r="B53" s="207"/>
      <c r="C53" s="207"/>
      <c r="D53" s="207"/>
      <c r="E53" s="211"/>
      <c r="F53" s="239"/>
      <c r="G53" s="71"/>
      <c r="H53" s="122" t="s">
        <v>648</v>
      </c>
      <c r="I53" s="122" t="s">
        <v>649</v>
      </c>
      <c r="J53" s="32" t="s">
        <v>973</v>
      </c>
      <c r="K53" s="32" t="s">
        <v>837</v>
      </c>
      <c r="L53" s="116"/>
      <c r="M53" s="116"/>
      <c r="N53" s="54"/>
      <c r="O53" s="130"/>
      <c r="P53" s="78"/>
      <c r="Q53" s="78"/>
    </row>
    <row r="54" spans="1:17" ht="2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16-1-1</v>
      </c>
      <c r="B54" s="207"/>
      <c r="C54" s="207"/>
      <c r="D54" s="207"/>
      <c r="E54" s="199" t="s">
        <v>108</v>
      </c>
      <c r="F54" s="94" t="s">
        <v>109</v>
      </c>
      <c r="G54" s="95"/>
      <c r="H54" s="96"/>
      <c r="I54" s="96"/>
      <c r="J54" s="97" t="s">
        <v>838</v>
      </c>
      <c r="K54" s="97"/>
      <c r="L54" s="96"/>
      <c r="M54" s="96"/>
      <c r="N54" s="96"/>
      <c r="O54" s="126"/>
      <c r="P54" s="97"/>
      <c r="Q54" s="97"/>
    </row>
    <row r="55" spans="1:17"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16-2-1</v>
      </c>
      <c r="B55" s="207"/>
      <c r="C55" s="207"/>
      <c r="D55" s="207"/>
      <c r="E55" s="199"/>
      <c r="F55" s="94" t="s">
        <v>110</v>
      </c>
      <c r="G55" s="95"/>
      <c r="H55" s="96"/>
      <c r="I55" s="96"/>
      <c r="J55" s="97" t="s">
        <v>838</v>
      </c>
      <c r="K55" s="97"/>
      <c r="L55" s="96"/>
      <c r="M55" s="96"/>
      <c r="N55" s="96"/>
      <c r="O55" s="126"/>
      <c r="P55" s="97"/>
      <c r="Q55" s="97"/>
    </row>
    <row r="56" spans="1:17" ht="22.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16-3-1</v>
      </c>
      <c r="B56" s="207"/>
      <c r="C56" s="207"/>
      <c r="D56" s="207"/>
      <c r="E56" s="199"/>
      <c r="F56" s="94" t="s">
        <v>111</v>
      </c>
      <c r="G56" s="95"/>
      <c r="H56" s="96"/>
      <c r="I56" s="96"/>
      <c r="J56" s="97" t="s">
        <v>838</v>
      </c>
      <c r="K56" s="97"/>
      <c r="L56" s="96"/>
      <c r="M56" s="96"/>
      <c r="N56" s="96"/>
      <c r="O56" s="126"/>
      <c r="P56" s="97"/>
      <c r="Q56" s="97"/>
    </row>
    <row r="57" spans="1:17"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16-4-1</v>
      </c>
      <c r="B57" s="207"/>
      <c r="C57" s="207"/>
      <c r="D57" s="207"/>
      <c r="E57" s="199"/>
      <c r="F57" s="94" t="s">
        <v>112</v>
      </c>
      <c r="G57" s="95"/>
      <c r="H57" s="96"/>
      <c r="I57" s="96"/>
      <c r="J57" s="97" t="s">
        <v>838</v>
      </c>
      <c r="K57" s="97"/>
      <c r="L57" s="96"/>
      <c r="M57" s="96"/>
      <c r="N57" s="96"/>
      <c r="O57" s="126"/>
      <c r="P57" s="97"/>
      <c r="Q57" s="97"/>
    </row>
    <row r="58" spans="1:17"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16-5-1</v>
      </c>
      <c r="B58" s="207"/>
      <c r="C58" s="207"/>
      <c r="D58" s="207"/>
      <c r="E58" s="199"/>
      <c r="F58" s="94" t="s">
        <v>113</v>
      </c>
      <c r="G58" s="95"/>
      <c r="H58" s="96"/>
      <c r="I58" s="96"/>
      <c r="J58" s="97" t="s">
        <v>838</v>
      </c>
      <c r="K58" s="97"/>
      <c r="L58" s="96"/>
      <c r="M58" s="96"/>
      <c r="N58" s="96"/>
      <c r="O58" s="126"/>
      <c r="P58" s="97"/>
      <c r="Q58" s="97"/>
    </row>
    <row r="59" spans="1:17"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16-6-1</v>
      </c>
      <c r="B59" s="207"/>
      <c r="C59" s="207"/>
      <c r="D59" s="207"/>
      <c r="E59" s="198"/>
      <c r="F59" s="94" t="s">
        <v>114</v>
      </c>
      <c r="G59" s="95"/>
      <c r="H59" s="96"/>
      <c r="I59" s="96"/>
      <c r="J59" s="97" t="s">
        <v>838</v>
      </c>
      <c r="K59" s="97"/>
      <c r="L59" s="96"/>
      <c r="M59" s="96"/>
      <c r="N59" s="96"/>
      <c r="O59" s="126"/>
      <c r="P59" s="97"/>
      <c r="Q59" s="97"/>
    </row>
    <row r="60" spans="1:17" ht="33.7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17-1-1</v>
      </c>
      <c r="B60" s="207"/>
      <c r="C60" s="207"/>
      <c r="D60" s="207"/>
      <c r="E60" s="195" t="s">
        <v>115</v>
      </c>
      <c r="F60" s="236" t="s">
        <v>116</v>
      </c>
      <c r="G60" s="95"/>
      <c r="H60" s="127"/>
      <c r="I60" s="127"/>
      <c r="J60" s="80" t="s">
        <v>839</v>
      </c>
      <c r="K60" s="80"/>
      <c r="L60" s="96"/>
      <c r="M60" s="96"/>
      <c r="N60" s="96"/>
      <c r="O60" s="126"/>
      <c r="P60" s="97"/>
      <c r="Q60" s="97"/>
    </row>
    <row r="61" spans="1:17"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18-1-1</v>
      </c>
      <c r="B61" s="207"/>
      <c r="C61" s="207"/>
      <c r="D61" s="207"/>
      <c r="E61" s="126" t="s">
        <v>534</v>
      </c>
      <c r="F61" s="94" t="s">
        <v>118</v>
      </c>
      <c r="G61" s="95"/>
      <c r="H61" s="96"/>
      <c r="I61" s="96"/>
      <c r="J61" s="97" t="s">
        <v>840</v>
      </c>
      <c r="K61" s="97"/>
      <c r="L61" s="96"/>
      <c r="M61" s="96"/>
      <c r="N61" s="96"/>
      <c r="O61" s="126"/>
      <c r="P61" s="97"/>
      <c r="Q61" s="97"/>
    </row>
    <row r="62" spans="1:17"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19-1-1</v>
      </c>
      <c r="B62" s="207"/>
      <c r="C62" s="207"/>
      <c r="D62" s="211"/>
      <c r="E62" s="126" t="s">
        <v>119</v>
      </c>
      <c r="F62" s="94" t="s">
        <v>120</v>
      </c>
      <c r="G62" s="95"/>
      <c r="H62" s="96"/>
      <c r="I62" s="96"/>
      <c r="J62" s="97" t="s">
        <v>841</v>
      </c>
      <c r="K62" s="97"/>
      <c r="L62" s="96"/>
      <c r="M62" s="96"/>
      <c r="N62" s="96"/>
      <c r="O62" s="126"/>
      <c r="P62" s="97"/>
      <c r="Q62" s="97"/>
    </row>
    <row r="63" spans="1:17" ht="78.7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20-1-1</v>
      </c>
      <c r="B63" s="207"/>
      <c r="C63" s="207"/>
      <c r="D63" s="207" t="s">
        <v>121</v>
      </c>
      <c r="E63" s="210" t="s">
        <v>499</v>
      </c>
      <c r="F63" s="61" t="s">
        <v>535</v>
      </c>
      <c r="G63" s="71"/>
      <c r="H63" s="116" t="s">
        <v>842</v>
      </c>
      <c r="I63" s="116" t="s">
        <v>843</v>
      </c>
      <c r="J63" s="78" t="s">
        <v>995</v>
      </c>
      <c r="K63" s="78" t="s">
        <v>1039</v>
      </c>
      <c r="L63" s="116"/>
      <c r="M63" s="116"/>
      <c r="N63" s="54"/>
      <c r="O63" s="130"/>
      <c r="P63" s="78"/>
      <c r="Q63" s="78"/>
    </row>
    <row r="64" spans="1:17" ht="22.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20-2-1</v>
      </c>
      <c r="B64" s="207"/>
      <c r="C64" s="213"/>
      <c r="D64" s="207"/>
      <c r="E64" s="210"/>
      <c r="F64" s="236" t="s">
        <v>536</v>
      </c>
      <c r="G64" s="95"/>
      <c r="H64" s="127"/>
      <c r="I64" s="127"/>
      <c r="J64" s="97" t="s">
        <v>844</v>
      </c>
      <c r="K64" s="80"/>
      <c r="L64" s="96"/>
      <c r="M64" s="96"/>
      <c r="N64" s="96"/>
      <c r="O64" s="126"/>
      <c r="P64" s="97"/>
      <c r="Q64" s="97"/>
    </row>
    <row r="65" spans="1:17" ht="22.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20-3-1</v>
      </c>
      <c r="B65" s="207"/>
      <c r="C65" s="213"/>
      <c r="D65" s="207"/>
      <c r="E65" s="210"/>
      <c r="F65" s="94" t="s">
        <v>537</v>
      </c>
      <c r="G65" s="95"/>
      <c r="H65" s="96"/>
      <c r="I65" s="96"/>
      <c r="J65" s="97" t="s">
        <v>867</v>
      </c>
      <c r="K65" s="97"/>
      <c r="L65" s="96"/>
      <c r="M65" s="96"/>
      <c r="N65" s="96"/>
      <c r="O65" s="126"/>
      <c r="P65" s="97"/>
      <c r="Q65" s="97"/>
    </row>
    <row r="66" spans="1:17" ht="22.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20-4-1</v>
      </c>
      <c r="B66" s="207"/>
      <c r="C66" s="213"/>
      <c r="D66" s="207"/>
      <c r="E66" s="210"/>
      <c r="F66" s="94" t="s">
        <v>538</v>
      </c>
      <c r="G66" s="95"/>
      <c r="H66" s="96"/>
      <c r="I66" s="96"/>
      <c r="J66" s="97" t="s">
        <v>844</v>
      </c>
      <c r="K66" s="97"/>
      <c r="L66" s="96"/>
      <c r="M66" s="96"/>
      <c r="N66" s="96"/>
      <c r="O66" s="126"/>
      <c r="P66" s="97"/>
      <c r="Q66" s="97"/>
    </row>
    <row r="67" spans="1:17" ht="22.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20-5-1</v>
      </c>
      <c r="B67" s="207"/>
      <c r="C67" s="213"/>
      <c r="D67" s="207"/>
      <c r="E67" s="211"/>
      <c r="F67" s="61" t="s">
        <v>126</v>
      </c>
      <c r="G67" s="71"/>
      <c r="H67" s="116" t="s">
        <v>648</v>
      </c>
      <c r="I67" s="116" t="s">
        <v>845</v>
      </c>
      <c r="J67" s="78" t="s">
        <v>996</v>
      </c>
      <c r="K67" s="78" t="s">
        <v>846</v>
      </c>
      <c r="L67" s="116"/>
      <c r="M67" s="116"/>
      <c r="N67" s="54"/>
      <c r="O67" s="130"/>
      <c r="P67" s="78"/>
      <c r="Q67" s="78"/>
    </row>
    <row r="68" spans="1:17"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21-1-1</v>
      </c>
      <c r="B68" s="207"/>
      <c r="C68" s="213"/>
      <c r="D68" s="207"/>
      <c r="E68" s="199" t="s">
        <v>127</v>
      </c>
      <c r="F68" s="94" t="s">
        <v>128</v>
      </c>
      <c r="G68" s="95"/>
      <c r="H68" s="96"/>
      <c r="I68" s="96"/>
      <c r="J68" s="97" t="s">
        <v>847</v>
      </c>
      <c r="K68" s="97"/>
      <c r="L68" s="96"/>
      <c r="M68" s="96"/>
      <c r="N68" s="96"/>
      <c r="O68" s="126"/>
      <c r="P68" s="97"/>
      <c r="Q68" s="97"/>
    </row>
    <row r="69" spans="1:17" ht="33.7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21-2-1</v>
      </c>
      <c r="B69" s="207"/>
      <c r="C69" s="213"/>
      <c r="D69" s="207"/>
      <c r="E69" s="199"/>
      <c r="F69" s="94" t="s">
        <v>129</v>
      </c>
      <c r="G69" s="95"/>
      <c r="H69" s="96"/>
      <c r="I69" s="96"/>
      <c r="J69" s="97" t="s">
        <v>847</v>
      </c>
      <c r="K69" s="97"/>
      <c r="L69" s="96"/>
      <c r="M69" s="96"/>
      <c r="N69" s="96"/>
      <c r="O69" s="126"/>
      <c r="P69" s="97"/>
      <c r="Q69" s="97"/>
    </row>
    <row r="70" spans="1:17" ht="33.7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21-3-1</v>
      </c>
      <c r="B70" s="207"/>
      <c r="C70" s="213"/>
      <c r="D70" s="207"/>
      <c r="E70" s="199"/>
      <c r="F70" s="94" t="s">
        <v>130</v>
      </c>
      <c r="G70" s="95"/>
      <c r="H70" s="96"/>
      <c r="I70" s="96"/>
      <c r="J70" s="97" t="s">
        <v>848</v>
      </c>
      <c r="K70" s="97"/>
      <c r="L70" s="96"/>
      <c r="M70" s="96"/>
      <c r="N70" s="96"/>
      <c r="O70" s="126"/>
      <c r="P70" s="97"/>
      <c r="Q70" s="97"/>
    </row>
    <row r="71" spans="1:17" ht="33.7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21-4-1</v>
      </c>
      <c r="B71" s="207"/>
      <c r="C71" s="213"/>
      <c r="D71" s="207"/>
      <c r="E71" s="199"/>
      <c r="F71" s="94" t="s">
        <v>131</v>
      </c>
      <c r="G71" s="95"/>
      <c r="H71" s="96"/>
      <c r="I71" s="96"/>
      <c r="J71" s="97" t="s">
        <v>849</v>
      </c>
      <c r="K71" s="97"/>
      <c r="L71" s="96"/>
      <c r="M71" s="96"/>
      <c r="N71" s="96"/>
      <c r="O71" s="126"/>
      <c r="P71" s="97"/>
      <c r="Q71" s="97"/>
    </row>
    <row r="72" spans="1:17" ht="33.7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21-5-1</v>
      </c>
      <c r="B72" s="207"/>
      <c r="C72" s="213"/>
      <c r="D72" s="207"/>
      <c r="E72" s="199"/>
      <c r="F72" s="94" t="s">
        <v>132</v>
      </c>
      <c r="G72" s="95"/>
      <c r="H72" s="96"/>
      <c r="I72" s="96"/>
      <c r="J72" s="97" t="s">
        <v>850</v>
      </c>
      <c r="K72" s="97"/>
      <c r="L72" s="96"/>
      <c r="M72" s="96"/>
      <c r="N72" s="96"/>
      <c r="O72" s="126"/>
      <c r="P72" s="97"/>
      <c r="Q72" s="97"/>
    </row>
    <row r="73" spans="1:17" ht="22.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21-6-1</v>
      </c>
      <c r="B73" s="207"/>
      <c r="C73" s="213"/>
      <c r="D73" s="207"/>
      <c r="E73" s="199"/>
      <c r="F73" s="94" t="s">
        <v>133</v>
      </c>
      <c r="G73" s="95"/>
      <c r="H73" s="96"/>
      <c r="I73" s="96"/>
      <c r="J73" s="97" t="s">
        <v>851</v>
      </c>
      <c r="K73" s="97"/>
      <c r="L73" s="96"/>
      <c r="M73" s="96"/>
      <c r="N73" s="96"/>
      <c r="O73" s="126"/>
      <c r="P73" s="97"/>
      <c r="Q73" s="97"/>
    </row>
    <row r="74" spans="1:17" ht="22.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21-7-1</v>
      </c>
      <c r="B74" s="207"/>
      <c r="C74" s="213"/>
      <c r="D74" s="207"/>
      <c r="E74" s="199"/>
      <c r="F74" s="94" t="s">
        <v>134</v>
      </c>
      <c r="G74" s="95"/>
      <c r="H74" s="96"/>
      <c r="I74" s="96"/>
      <c r="J74" s="97" t="s">
        <v>852</v>
      </c>
      <c r="K74" s="97"/>
      <c r="L74" s="96"/>
      <c r="M74" s="96"/>
      <c r="N74" s="96"/>
      <c r="O74" s="126"/>
      <c r="P74" s="97"/>
      <c r="Q74" s="97"/>
    </row>
    <row r="75" spans="1:17" ht="33.7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21-8-1</v>
      </c>
      <c r="B75" s="207"/>
      <c r="C75" s="213"/>
      <c r="D75" s="207"/>
      <c r="E75" s="198"/>
      <c r="F75" s="94" t="s">
        <v>135</v>
      </c>
      <c r="G75" s="95"/>
      <c r="H75" s="96"/>
      <c r="I75" s="96"/>
      <c r="J75" s="97" t="s">
        <v>847</v>
      </c>
      <c r="K75" s="97"/>
      <c r="L75" s="96"/>
      <c r="M75" s="96"/>
      <c r="N75" s="96"/>
      <c r="O75" s="126"/>
      <c r="P75" s="97"/>
      <c r="Q75" s="97"/>
    </row>
    <row r="76" spans="1:17" ht="33.7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22-1-1</v>
      </c>
      <c r="B76" s="207"/>
      <c r="C76" s="213"/>
      <c r="D76" s="207"/>
      <c r="E76" s="131" t="s">
        <v>136</v>
      </c>
      <c r="F76" s="44" t="s">
        <v>137</v>
      </c>
      <c r="G76" s="51"/>
      <c r="H76" s="122" t="s">
        <v>842</v>
      </c>
      <c r="I76" s="122" t="s">
        <v>843</v>
      </c>
      <c r="J76" s="32" t="s">
        <v>995</v>
      </c>
      <c r="K76" s="32" t="s">
        <v>853</v>
      </c>
      <c r="L76" s="54"/>
      <c r="M76" s="116"/>
      <c r="N76" s="54"/>
      <c r="O76" s="130"/>
      <c r="P76" s="78"/>
      <c r="Q76" s="78"/>
    </row>
    <row r="77" spans="1:17" ht="33.7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22-1-2</v>
      </c>
      <c r="B77" s="207"/>
      <c r="C77" s="214"/>
      <c r="D77" s="207"/>
      <c r="E77" s="193"/>
      <c r="F77" s="257"/>
      <c r="G77" s="51"/>
      <c r="H77" s="122" t="s">
        <v>842</v>
      </c>
      <c r="I77" s="122" t="s">
        <v>843</v>
      </c>
      <c r="J77" s="32" t="s">
        <v>995</v>
      </c>
      <c r="K77" s="32" t="s">
        <v>854</v>
      </c>
      <c r="L77" s="54"/>
      <c r="M77" s="116"/>
      <c r="N77" s="54"/>
      <c r="O77" s="130"/>
      <c r="P77" s="78"/>
      <c r="Q77" s="78"/>
    </row>
    <row r="78" spans="1:17" ht="33.7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22-1-3</v>
      </c>
      <c r="B78" s="207"/>
      <c r="C78" s="214"/>
      <c r="D78" s="207"/>
      <c r="E78" s="193"/>
      <c r="F78" s="257"/>
      <c r="G78" s="51"/>
      <c r="H78" s="122" t="s">
        <v>842</v>
      </c>
      <c r="I78" s="122" t="s">
        <v>843</v>
      </c>
      <c r="J78" s="32" t="s">
        <v>995</v>
      </c>
      <c r="K78" s="32" t="s">
        <v>855</v>
      </c>
      <c r="L78" s="54"/>
      <c r="M78" s="116"/>
      <c r="N78" s="54"/>
      <c r="O78" s="130"/>
      <c r="P78" s="78"/>
      <c r="Q78" s="78"/>
    </row>
    <row r="79" spans="1:17" ht="33.7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22-1-4</v>
      </c>
      <c r="B79" s="207"/>
      <c r="C79" s="214"/>
      <c r="D79" s="207"/>
      <c r="E79" s="193"/>
      <c r="F79" s="257"/>
      <c r="G79" s="51"/>
      <c r="H79" s="122" t="s">
        <v>842</v>
      </c>
      <c r="I79" s="122" t="s">
        <v>843</v>
      </c>
      <c r="J79" s="32" t="s">
        <v>995</v>
      </c>
      <c r="K79" s="32" t="s">
        <v>856</v>
      </c>
      <c r="L79" s="54"/>
      <c r="M79" s="116"/>
      <c r="N79" s="54"/>
      <c r="O79" s="130"/>
      <c r="P79" s="78"/>
      <c r="Q79" s="78"/>
    </row>
    <row r="80" spans="1:17" ht="33.7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22-1-5</v>
      </c>
      <c r="B80" s="207"/>
      <c r="C80" s="214"/>
      <c r="D80" s="207"/>
      <c r="E80" s="193"/>
      <c r="F80" s="257"/>
      <c r="G80" s="51"/>
      <c r="H80" s="122" t="s">
        <v>842</v>
      </c>
      <c r="I80" s="122" t="s">
        <v>843</v>
      </c>
      <c r="J80" s="32" t="s">
        <v>995</v>
      </c>
      <c r="K80" s="32" t="s">
        <v>857</v>
      </c>
      <c r="L80" s="54"/>
      <c r="M80" s="116"/>
      <c r="N80" s="54"/>
      <c r="O80" s="130"/>
      <c r="P80" s="78"/>
      <c r="Q80" s="78"/>
    </row>
    <row r="81" spans="1:17" ht="33.7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22-1-6</v>
      </c>
      <c r="B81" s="207"/>
      <c r="C81" s="214"/>
      <c r="D81" s="207"/>
      <c r="E81" s="193"/>
      <c r="F81" s="257"/>
      <c r="G81" s="51"/>
      <c r="H81" s="122" t="s">
        <v>842</v>
      </c>
      <c r="I81" s="122" t="s">
        <v>843</v>
      </c>
      <c r="J81" s="32" t="s">
        <v>995</v>
      </c>
      <c r="K81" s="32" t="s">
        <v>858</v>
      </c>
      <c r="L81" s="54"/>
      <c r="M81" s="116"/>
      <c r="N81" s="54"/>
      <c r="O81" s="130"/>
      <c r="P81" s="78"/>
      <c r="Q81" s="78"/>
    </row>
    <row r="82" spans="1:17" ht="33.7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22-1-7</v>
      </c>
      <c r="B82" s="207"/>
      <c r="C82" s="214"/>
      <c r="D82" s="207"/>
      <c r="E82" s="193"/>
      <c r="F82" s="257"/>
      <c r="G82" s="51"/>
      <c r="H82" s="122" t="s">
        <v>842</v>
      </c>
      <c r="I82" s="122" t="s">
        <v>843</v>
      </c>
      <c r="J82" s="32" t="s">
        <v>995</v>
      </c>
      <c r="K82" s="32" t="s">
        <v>859</v>
      </c>
      <c r="L82" s="54"/>
      <c r="M82" s="116"/>
      <c r="N82" s="54"/>
      <c r="O82" s="130"/>
      <c r="P82" s="78"/>
      <c r="Q82" s="78"/>
    </row>
    <row r="83" spans="1:17" ht="33.7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22-1-8</v>
      </c>
      <c r="B83" s="207"/>
      <c r="C83" s="214"/>
      <c r="D83" s="207"/>
      <c r="E83" s="193"/>
      <c r="F83" s="257"/>
      <c r="G83" s="51"/>
      <c r="H83" s="122" t="s">
        <v>842</v>
      </c>
      <c r="I83" s="122" t="s">
        <v>843</v>
      </c>
      <c r="J83" s="32" t="s">
        <v>995</v>
      </c>
      <c r="K83" s="32" t="s">
        <v>860</v>
      </c>
      <c r="L83" s="54"/>
      <c r="M83" s="116"/>
      <c r="N83" s="54"/>
      <c r="O83" s="130"/>
      <c r="P83" s="78"/>
      <c r="Q83" s="78"/>
    </row>
    <row r="84" spans="1:17" ht="33.7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22-1-9</v>
      </c>
      <c r="B84" s="207"/>
      <c r="C84" s="214"/>
      <c r="D84" s="207"/>
      <c r="E84" s="193"/>
      <c r="F84" s="257"/>
      <c r="G84" s="51"/>
      <c r="H84" s="122" t="s">
        <v>842</v>
      </c>
      <c r="I84" s="122" t="s">
        <v>843</v>
      </c>
      <c r="J84" s="32" t="s">
        <v>995</v>
      </c>
      <c r="K84" s="32" t="s">
        <v>861</v>
      </c>
      <c r="L84" s="54"/>
      <c r="M84" s="116"/>
      <c r="N84" s="54"/>
      <c r="O84" s="130"/>
      <c r="P84" s="78"/>
      <c r="Q84" s="78"/>
    </row>
    <row r="85" spans="1:17" ht="33.7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22-1-10</v>
      </c>
      <c r="B85" s="207"/>
      <c r="C85" s="214"/>
      <c r="D85" s="207"/>
      <c r="E85" s="193"/>
      <c r="F85" s="257"/>
      <c r="G85" s="51"/>
      <c r="H85" s="122" t="s">
        <v>842</v>
      </c>
      <c r="I85" s="122" t="s">
        <v>843</v>
      </c>
      <c r="J85" s="32" t="s">
        <v>995</v>
      </c>
      <c r="K85" s="32" t="s">
        <v>862</v>
      </c>
      <c r="L85" s="54"/>
      <c r="M85" s="116"/>
      <c r="N85" s="54"/>
      <c r="O85" s="130"/>
      <c r="P85" s="78"/>
      <c r="Q85" s="78"/>
    </row>
    <row r="86" spans="1:17" ht="33.7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22-1-11</v>
      </c>
      <c r="B86" s="207"/>
      <c r="C86" s="214"/>
      <c r="D86" s="207"/>
      <c r="E86" s="193"/>
      <c r="F86" s="257"/>
      <c r="G86" s="51"/>
      <c r="H86" s="122" t="s">
        <v>842</v>
      </c>
      <c r="I86" s="122" t="s">
        <v>843</v>
      </c>
      <c r="J86" s="32" t="s">
        <v>995</v>
      </c>
      <c r="K86" s="32" t="s">
        <v>863</v>
      </c>
      <c r="L86" s="54"/>
      <c r="M86" s="116"/>
      <c r="N86" s="54"/>
      <c r="O86" s="130"/>
      <c r="P86" s="78"/>
      <c r="Q86" s="78"/>
    </row>
    <row r="87" spans="1:17" ht="33.7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22-1-12</v>
      </c>
      <c r="B87" s="207"/>
      <c r="C87" s="214"/>
      <c r="D87" s="207"/>
      <c r="E87" s="193"/>
      <c r="F87" s="257"/>
      <c r="G87" s="51"/>
      <c r="H87" s="122" t="s">
        <v>842</v>
      </c>
      <c r="I87" s="122" t="s">
        <v>843</v>
      </c>
      <c r="J87" s="32" t="s">
        <v>995</v>
      </c>
      <c r="K87" s="32" t="s">
        <v>864</v>
      </c>
      <c r="L87" s="54"/>
      <c r="M87" s="116"/>
      <c r="N87" s="54"/>
      <c r="O87" s="130"/>
      <c r="P87" s="78"/>
      <c r="Q87" s="78"/>
    </row>
    <row r="88" spans="1:17" ht="33.7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22-1-13</v>
      </c>
      <c r="B88" s="207"/>
      <c r="C88" s="214"/>
      <c r="D88" s="207"/>
      <c r="E88" s="153"/>
      <c r="F88" s="258"/>
      <c r="G88" s="51"/>
      <c r="H88" s="122" t="s">
        <v>842</v>
      </c>
      <c r="I88" s="122" t="s">
        <v>843</v>
      </c>
      <c r="J88" s="32" t="s">
        <v>995</v>
      </c>
      <c r="K88" s="32" t="s">
        <v>1037</v>
      </c>
      <c r="L88" s="54"/>
      <c r="M88" s="132"/>
      <c r="N88" s="54"/>
      <c r="O88" s="130"/>
      <c r="P88" s="78"/>
      <c r="Q88" s="78"/>
    </row>
    <row r="89" spans="1:17" ht="4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23-1-1</v>
      </c>
      <c r="B89" s="207"/>
      <c r="C89" s="214"/>
      <c r="D89" s="207"/>
      <c r="E89" s="210" t="s">
        <v>138</v>
      </c>
      <c r="F89" s="60" t="s">
        <v>139</v>
      </c>
      <c r="G89" s="71"/>
      <c r="H89" s="116" t="s">
        <v>648</v>
      </c>
      <c r="I89" s="116" t="s">
        <v>865</v>
      </c>
      <c r="J89" s="32" t="s">
        <v>997</v>
      </c>
      <c r="K89" s="78" t="s">
        <v>866</v>
      </c>
      <c r="L89" s="116"/>
      <c r="M89" s="116"/>
      <c r="N89" s="54"/>
      <c r="O89" s="130"/>
      <c r="P89" s="78"/>
      <c r="Q89" s="78"/>
    </row>
    <row r="90" spans="1:17" ht="4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23-1-2</v>
      </c>
      <c r="B90" s="207"/>
      <c r="C90" s="214"/>
      <c r="D90" s="207"/>
      <c r="E90" s="210"/>
      <c r="F90" s="244"/>
      <c r="G90" s="71"/>
      <c r="H90" s="116" t="s">
        <v>648</v>
      </c>
      <c r="I90" s="116" t="s">
        <v>865</v>
      </c>
      <c r="J90" s="32" t="s">
        <v>998</v>
      </c>
      <c r="K90" s="78" t="s">
        <v>866</v>
      </c>
      <c r="L90" s="116"/>
      <c r="M90" s="116"/>
      <c r="N90" s="54"/>
      <c r="O90" s="130"/>
      <c r="P90" s="78"/>
      <c r="Q90" s="78"/>
    </row>
    <row r="91" spans="1:17" ht="4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23-1-3</v>
      </c>
      <c r="B91" s="207"/>
      <c r="C91" s="214"/>
      <c r="D91" s="207"/>
      <c r="E91" s="210"/>
      <c r="F91" s="244"/>
      <c r="G91" s="71"/>
      <c r="H91" s="116" t="s">
        <v>648</v>
      </c>
      <c r="I91" s="116" t="s">
        <v>865</v>
      </c>
      <c r="J91" s="32" t="s">
        <v>999</v>
      </c>
      <c r="K91" s="78" t="s">
        <v>866</v>
      </c>
      <c r="L91" s="116"/>
      <c r="M91" s="116"/>
      <c r="N91" s="54"/>
      <c r="O91" s="130"/>
      <c r="P91" s="78"/>
      <c r="Q91" s="78"/>
    </row>
    <row r="92" spans="1:17" ht="4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23-1-4</v>
      </c>
      <c r="B92" s="207"/>
      <c r="C92" s="214"/>
      <c r="D92" s="207"/>
      <c r="E92" s="210"/>
      <c r="F92" s="244"/>
      <c r="G92" s="71"/>
      <c r="H92" s="116" t="s">
        <v>648</v>
      </c>
      <c r="I92" s="116" t="s">
        <v>865</v>
      </c>
      <c r="J92" s="32" t="s">
        <v>1000</v>
      </c>
      <c r="K92" s="78" t="s">
        <v>866</v>
      </c>
      <c r="L92" s="116"/>
      <c r="M92" s="116"/>
      <c r="N92" s="54"/>
      <c r="O92" s="130"/>
      <c r="P92" s="78"/>
      <c r="Q92" s="78"/>
    </row>
    <row r="93" spans="1:17" ht="4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23-1-5</v>
      </c>
      <c r="B93" s="207"/>
      <c r="C93" s="214"/>
      <c r="D93" s="207"/>
      <c r="E93" s="210"/>
      <c r="F93" s="239"/>
      <c r="G93" s="71"/>
      <c r="H93" s="116" t="s">
        <v>648</v>
      </c>
      <c r="I93" s="116" t="s">
        <v>865</v>
      </c>
      <c r="J93" s="32" t="s">
        <v>1001</v>
      </c>
      <c r="K93" s="78" t="s">
        <v>866</v>
      </c>
      <c r="L93" s="116"/>
      <c r="M93" s="116"/>
      <c r="N93" s="54"/>
      <c r="O93" s="130"/>
      <c r="P93" s="78"/>
      <c r="Q93" s="78"/>
    </row>
    <row r="94" spans="1:17" ht="22.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23-2-1</v>
      </c>
      <c r="B94" s="207"/>
      <c r="C94" s="214"/>
      <c r="D94" s="207"/>
      <c r="E94" s="210"/>
      <c r="F94" s="94" t="s">
        <v>140</v>
      </c>
      <c r="G94" s="95"/>
      <c r="H94" s="96"/>
      <c r="I94" s="96"/>
      <c r="J94" s="97" t="s">
        <v>867</v>
      </c>
      <c r="K94" s="97"/>
      <c r="L94" s="96"/>
      <c r="M94" s="96"/>
      <c r="N94" s="96"/>
      <c r="O94" s="126"/>
      <c r="P94" s="97"/>
      <c r="Q94" s="97"/>
    </row>
    <row r="95" spans="1:17">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23-3-1</v>
      </c>
      <c r="B95" s="207"/>
      <c r="C95" s="214"/>
      <c r="D95" s="207"/>
      <c r="E95" s="210"/>
      <c r="F95" s="94" t="s">
        <v>141</v>
      </c>
      <c r="G95" s="95"/>
      <c r="H95" s="96"/>
      <c r="I95" s="96"/>
      <c r="J95" s="80" t="s">
        <v>793</v>
      </c>
      <c r="K95" s="97"/>
      <c r="L95" s="96"/>
      <c r="M95" s="96"/>
      <c r="N95" s="96"/>
      <c r="O95" s="126"/>
      <c r="P95" s="97"/>
      <c r="Q95" s="97"/>
    </row>
    <row r="96" spans="1:17">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23-4-1</v>
      </c>
      <c r="B96" s="207"/>
      <c r="C96" s="214"/>
      <c r="D96" s="207"/>
      <c r="E96" s="210"/>
      <c r="F96" s="94" t="s">
        <v>142</v>
      </c>
      <c r="G96" s="95"/>
      <c r="H96" s="96"/>
      <c r="I96" s="96"/>
      <c r="J96" s="80" t="s">
        <v>793</v>
      </c>
      <c r="K96" s="97"/>
      <c r="L96" s="96"/>
      <c r="M96" s="96"/>
      <c r="N96" s="96"/>
      <c r="O96" s="126"/>
      <c r="P96" s="97"/>
      <c r="Q96" s="97"/>
    </row>
    <row r="97" spans="1:17" ht="22.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23-5-1</v>
      </c>
      <c r="B97" s="207"/>
      <c r="C97" s="215"/>
      <c r="D97" s="211"/>
      <c r="E97" s="215"/>
      <c r="F97" s="94" t="s">
        <v>143</v>
      </c>
      <c r="G97" s="95" t="s">
        <v>627</v>
      </c>
      <c r="H97" s="96"/>
      <c r="I97" s="96"/>
      <c r="J97" s="80"/>
      <c r="K97" s="97"/>
      <c r="L97" s="96"/>
      <c r="M97" s="96"/>
      <c r="N97" s="96"/>
      <c r="O97" s="126"/>
      <c r="P97" s="97"/>
      <c r="Q97" s="97"/>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24-1-1</v>
      </c>
      <c r="B98" s="216"/>
      <c r="C98" s="217" t="s">
        <v>144</v>
      </c>
      <c r="D98" s="212" t="s">
        <v>15</v>
      </c>
      <c r="E98" s="212" t="s">
        <v>495</v>
      </c>
      <c r="F98" s="60" t="s">
        <v>145</v>
      </c>
      <c r="G98" s="71"/>
      <c r="H98" s="122" t="s">
        <v>648</v>
      </c>
      <c r="I98" s="122" t="s">
        <v>649</v>
      </c>
      <c r="J98" s="32" t="s">
        <v>971</v>
      </c>
      <c r="K98" s="32" t="s">
        <v>834</v>
      </c>
      <c r="L98" s="116"/>
      <c r="M98" s="116"/>
      <c r="N98" s="54"/>
      <c r="O98" s="130"/>
      <c r="P98" s="78"/>
      <c r="Q98" s="78"/>
    </row>
    <row r="99" spans="1:17" ht="33.7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24-1-2</v>
      </c>
      <c r="B99" s="216"/>
      <c r="C99" s="210"/>
      <c r="D99" s="207"/>
      <c r="E99" s="207"/>
      <c r="F99" s="239"/>
      <c r="G99" s="71"/>
      <c r="H99" s="122" t="s">
        <v>648</v>
      </c>
      <c r="I99" s="122" t="s">
        <v>649</v>
      </c>
      <c r="J99" s="32" t="s">
        <v>971</v>
      </c>
      <c r="K99" s="32" t="s">
        <v>835</v>
      </c>
      <c r="L99" s="116"/>
      <c r="M99" s="116"/>
      <c r="N99" s="54"/>
      <c r="O99" s="130"/>
      <c r="P99" s="78"/>
      <c r="Q99" s="78"/>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24-2-1</v>
      </c>
      <c r="B100" s="207"/>
      <c r="C100" s="210"/>
      <c r="D100" s="207"/>
      <c r="E100" s="207"/>
      <c r="F100" s="60" t="s">
        <v>146</v>
      </c>
      <c r="G100" s="71"/>
      <c r="H100" s="122" t="s">
        <v>648</v>
      </c>
      <c r="I100" s="122" t="s">
        <v>649</v>
      </c>
      <c r="J100" s="122" t="s">
        <v>976</v>
      </c>
      <c r="K100" s="32" t="s">
        <v>836</v>
      </c>
      <c r="L100" s="116"/>
      <c r="M100" s="116"/>
      <c r="N100" s="54"/>
      <c r="O100" s="130"/>
      <c r="P100" s="78"/>
      <c r="Q100" s="78"/>
    </row>
    <row r="101" spans="1:17" ht="33.75">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24-2-2</v>
      </c>
      <c r="B101" s="207"/>
      <c r="C101" s="210"/>
      <c r="D101" s="207"/>
      <c r="E101" s="211"/>
      <c r="F101" s="239"/>
      <c r="G101" s="71"/>
      <c r="H101" s="122" t="s">
        <v>648</v>
      </c>
      <c r="I101" s="122" t="s">
        <v>649</v>
      </c>
      <c r="J101" s="122" t="s">
        <v>976</v>
      </c>
      <c r="K101" s="32" t="s">
        <v>837</v>
      </c>
      <c r="L101" s="116"/>
      <c r="M101" s="116"/>
      <c r="N101" s="54"/>
      <c r="O101" s="130"/>
      <c r="P101" s="78"/>
      <c r="Q101" s="78"/>
    </row>
    <row r="102" spans="1:17" ht="4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25-1-1</v>
      </c>
      <c r="B102" s="207"/>
      <c r="C102" s="210"/>
      <c r="D102" s="207"/>
      <c r="E102" s="126" t="s">
        <v>147</v>
      </c>
      <c r="F102" s="94" t="s">
        <v>148</v>
      </c>
      <c r="G102" s="95"/>
      <c r="H102" s="96"/>
      <c r="I102" s="96"/>
      <c r="J102" s="123" t="s">
        <v>868</v>
      </c>
      <c r="K102" s="97"/>
      <c r="L102" s="96"/>
      <c r="M102" s="96"/>
      <c r="N102" s="96"/>
      <c r="O102" s="126"/>
      <c r="P102" s="97"/>
      <c r="Q102" s="97"/>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26-1-1</v>
      </c>
      <c r="B103" s="207"/>
      <c r="C103" s="210"/>
      <c r="D103" s="207"/>
      <c r="E103" s="199" t="s">
        <v>149</v>
      </c>
      <c r="F103" s="94" t="s">
        <v>150</v>
      </c>
      <c r="G103" s="95"/>
      <c r="H103" s="96"/>
      <c r="I103" s="96"/>
      <c r="J103" s="97" t="s">
        <v>869</v>
      </c>
      <c r="K103" s="97"/>
      <c r="L103" s="96"/>
      <c r="M103" s="96"/>
      <c r="N103" s="96"/>
      <c r="O103" s="126"/>
      <c r="P103" s="97"/>
      <c r="Q103" s="97"/>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26-2-1</v>
      </c>
      <c r="B104" s="207"/>
      <c r="C104" s="210"/>
      <c r="D104" s="207"/>
      <c r="E104" s="198"/>
      <c r="F104" s="94" t="s">
        <v>151</v>
      </c>
      <c r="G104" s="95"/>
      <c r="H104" s="96"/>
      <c r="I104" s="96"/>
      <c r="J104" s="97" t="s">
        <v>869</v>
      </c>
      <c r="K104" s="97"/>
      <c r="L104" s="96"/>
      <c r="M104" s="96"/>
      <c r="N104" s="96"/>
      <c r="O104" s="126"/>
      <c r="P104" s="97"/>
      <c r="Q104" s="97"/>
    </row>
    <row r="105" spans="1:17" ht="22.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27-1-1</v>
      </c>
      <c r="B105" s="207"/>
      <c r="C105" s="210"/>
      <c r="D105" s="207"/>
      <c r="E105" s="126" t="s">
        <v>152</v>
      </c>
      <c r="F105" s="94" t="s">
        <v>153</v>
      </c>
      <c r="G105" s="95"/>
      <c r="H105" s="96"/>
      <c r="I105" s="96"/>
      <c r="J105" s="97" t="s">
        <v>869</v>
      </c>
      <c r="K105" s="97"/>
      <c r="L105" s="96"/>
      <c r="M105" s="96"/>
      <c r="N105" s="96"/>
      <c r="O105" s="126"/>
      <c r="P105" s="97"/>
      <c r="Q105" s="97"/>
    </row>
    <row r="106" spans="1:17" ht="22.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28-1-1</v>
      </c>
      <c r="B106" s="207"/>
      <c r="C106" s="211"/>
      <c r="D106" s="211"/>
      <c r="E106" s="126" t="s">
        <v>154</v>
      </c>
      <c r="F106" s="94" t="s">
        <v>155</v>
      </c>
      <c r="G106" s="95"/>
      <c r="H106" s="96"/>
      <c r="I106" s="96"/>
      <c r="J106" s="97" t="s">
        <v>869</v>
      </c>
      <c r="K106" s="97"/>
      <c r="L106" s="96"/>
      <c r="M106" s="96"/>
      <c r="N106" s="96"/>
      <c r="O106" s="126"/>
      <c r="P106" s="97"/>
      <c r="Q106" s="97"/>
    </row>
    <row r="107" spans="1:17" ht="78.75">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29-1-1</v>
      </c>
      <c r="B107" s="207"/>
      <c r="C107" s="207" t="s">
        <v>156</v>
      </c>
      <c r="D107" s="207" t="s">
        <v>15</v>
      </c>
      <c r="E107" s="130" t="s">
        <v>499</v>
      </c>
      <c r="F107" s="61" t="s">
        <v>157</v>
      </c>
      <c r="G107" s="71"/>
      <c r="H107" s="116" t="s">
        <v>842</v>
      </c>
      <c r="I107" s="116" t="s">
        <v>843</v>
      </c>
      <c r="J107" s="78" t="s">
        <v>1002</v>
      </c>
      <c r="K107" s="78" t="s">
        <v>1039</v>
      </c>
      <c r="L107" s="116"/>
      <c r="M107" s="116"/>
      <c r="N107" s="54"/>
      <c r="O107" s="130"/>
      <c r="P107" s="78"/>
      <c r="Q107" s="78"/>
    </row>
    <row r="108" spans="1:17" ht="33.7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30-1-1</v>
      </c>
      <c r="B108" s="207"/>
      <c r="C108" s="210"/>
      <c r="D108" s="207"/>
      <c r="E108" s="130" t="s">
        <v>147</v>
      </c>
      <c r="F108" s="61" t="s">
        <v>158</v>
      </c>
      <c r="G108" s="71"/>
      <c r="H108" s="116" t="s">
        <v>842</v>
      </c>
      <c r="I108" s="116" t="s">
        <v>843</v>
      </c>
      <c r="J108" s="78" t="s">
        <v>1002</v>
      </c>
      <c r="K108" s="78" t="s">
        <v>870</v>
      </c>
      <c r="L108" s="116"/>
      <c r="M108" s="116"/>
      <c r="N108" s="54"/>
      <c r="O108" s="130"/>
      <c r="P108" s="78"/>
      <c r="Q108" s="78"/>
    </row>
    <row r="109" spans="1:17" ht="33.7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31-1-1</v>
      </c>
      <c r="B109" s="207"/>
      <c r="C109" s="211"/>
      <c r="D109" s="211"/>
      <c r="E109" s="198" t="s">
        <v>496</v>
      </c>
      <c r="F109" s="94" t="s">
        <v>160</v>
      </c>
      <c r="G109" s="95"/>
      <c r="H109" s="96"/>
      <c r="I109" s="96"/>
      <c r="J109" s="97" t="s">
        <v>871</v>
      </c>
      <c r="K109" s="97"/>
      <c r="L109" s="96"/>
      <c r="M109" s="96"/>
      <c r="N109" s="96"/>
      <c r="O109" s="126"/>
      <c r="P109" s="97"/>
      <c r="Q109" s="97"/>
    </row>
    <row r="110" spans="1:17" ht="22.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32-1-1</v>
      </c>
      <c r="B110" s="207"/>
      <c r="C110" s="199" t="s">
        <v>161</v>
      </c>
      <c r="D110" s="196" t="s">
        <v>15</v>
      </c>
      <c r="E110" s="199" t="s">
        <v>499</v>
      </c>
      <c r="F110" s="236" t="s">
        <v>162</v>
      </c>
      <c r="G110" s="95"/>
      <c r="H110" s="127"/>
      <c r="I110" s="127"/>
      <c r="J110" s="80" t="s">
        <v>657</v>
      </c>
      <c r="K110" s="96"/>
      <c r="L110" s="96"/>
      <c r="M110" s="96"/>
      <c r="N110" s="96"/>
      <c r="O110" s="126"/>
      <c r="P110" s="97"/>
      <c r="Q110" s="97"/>
    </row>
    <row r="111" spans="1:17" ht="33.7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32-2-1</v>
      </c>
      <c r="B111" s="207"/>
      <c r="C111" s="199"/>
      <c r="D111" s="196"/>
      <c r="E111" s="198"/>
      <c r="F111" s="94" t="s">
        <v>163</v>
      </c>
      <c r="G111" s="95"/>
      <c r="H111" s="96"/>
      <c r="I111" s="96"/>
      <c r="J111" s="97" t="s">
        <v>657</v>
      </c>
      <c r="K111" s="97"/>
      <c r="L111" s="96"/>
      <c r="M111" s="96"/>
      <c r="N111" s="96"/>
      <c r="O111" s="126"/>
      <c r="P111" s="97"/>
      <c r="Q111" s="97"/>
    </row>
    <row r="112" spans="1:17">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33-1-1</v>
      </c>
      <c r="B112" s="207"/>
      <c r="C112" s="199"/>
      <c r="D112" s="196"/>
      <c r="E112" s="126" t="s">
        <v>147</v>
      </c>
      <c r="F112" s="94" t="s">
        <v>164</v>
      </c>
      <c r="G112" s="95"/>
      <c r="H112" s="96"/>
      <c r="I112" s="96"/>
      <c r="J112" s="97" t="s">
        <v>657</v>
      </c>
      <c r="K112" s="97"/>
      <c r="L112" s="96"/>
      <c r="M112" s="96"/>
      <c r="N112" s="96"/>
      <c r="O112" s="126"/>
      <c r="P112" s="97"/>
      <c r="Q112" s="97"/>
    </row>
    <row r="113" spans="1:17" ht="33.7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34-1-1</v>
      </c>
      <c r="B113" s="207"/>
      <c r="C113" s="199"/>
      <c r="D113" s="196"/>
      <c r="E113" s="199" t="s">
        <v>149</v>
      </c>
      <c r="F113" s="94" t="s">
        <v>165</v>
      </c>
      <c r="G113" s="95"/>
      <c r="H113" s="96"/>
      <c r="I113" s="96"/>
      <c r="J113" s="97" t="s">
        <v>657</v>
      </c>
      <c r="K113" s="97"/>
      <c r="L113" s="96"/>
      <c r="M113" s="96"/>
      <c r="N113" s="96"/>
      <c r="O113" s="126"/>
      <c r="P113" s="97"/>
      <c r="Q113" s="97"/>
    </row>
    <row r="114" spans="1:17" ht="33.7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34-2-1</v>
      </c>
      <c r="B114" s="207"/>
      <c r="C114" s="199"/>
      <c r="D114" s="196"/>
      <c r="E114" s="198"/>
      <c r="F114" s="94" t="s">
        <v>166</v>
      </c>
      <c r="G114" s="95"/>
      <c r="H114" s="96"/>
      <c r="I114" s="96"/>
      <c r="J114" s="97" t="s">
        <v>657</v>
      </c>
      <c r="K114" s="97"/>
      <c r="L114" s="96"/>
      <c r="M114" s="96"/>
      <c r="N114" s="96"/>
      <c r="O114" s="126"/>
      <c r="P114" s="97"/>
      <c r="Q114" s="97"/>
    </row>
    <row r="115" spans="1:17" ht="33.7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35-1-1</v>
      </c>
      <c r="B115" s="207"/>
      <c r="C115" s="198"/>
      <c r="D115" s="198"/>
      <c r="E115" s="198" t="s">
        <v>496</v>
      </c>
      <c r="F115" s="94" t="s">
        <v>167</v>
      </c>
      <c r="G115" s="95"/>
      <c r="H115" s="96"/>
      <c r="I115" s="96"/>
      <c r="J115" s="97" t="s">
        <v>657</v>
      </c>
      <c r="K115" s="97"/>
      <c r="L115" s="96"/>
      <c r="M115" s="96"/>
      <c r="N115" s="96"/>
      <c r="O115" s="126"/>
      <c r="P115" s="97"/>
      <c r="Q115" s="97"/>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36-1-1</v>
      </c>
      <c r="B116" s="207"/>
      <c r="C116" s="195" t="s">
        <v>168</v>
      </c>
      <c r="D116" s="195" t="s">
        <v>15</v>
      </c>
      <c r="E116" s="199" t="s">
        <v>169</v>
      </c>
      <c r="F116" s="94" t="s">
        <v>170</v>
      </c>
      <c r="G116" s="95"/>
      <c r="H116" s="96"/>
      <c r="I116" s="96"/>
      <c r="J116" s="97" t="s">
        <v>658</v>
      </c>
      <c r="K116" s="97"/>
      <c r="L116" s="96"/>
      <c r="M116" s="96"/>
      <c r="N116" s="96"/>
      <c r="O116" s="126"/>
      <c r="P116" s="97"/>
      <c r="Q116" s="97"/>
    </row>
    <row r="117" spans="1:17" ht="33.7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36-2-1</v>
      </c>
      <c r="B117" s="207"/>
      <c r="C117" s="197"/>
      <c r="D117" s="196"/>
      <c r="E117" s="199"/>
      <c r="F117" s="94" t="s">
        <v>171</v>
      </c>
      <c r="G117" s="95"/>
      <c r="H117" s="96"/>
      <c r="I117" s="96"/>
      <c r="J117" s="97" t="s">
        <v>658</v>
      </c>
      <c r="K117" s="97"/>
      <c r="L117" s="96"/>
      <c r="M117" s="96"/>
      <c r="N117" s="96"/>
      <c r="O117" s="126"/>
      <c r="P117" s="97"/>
      <c r="Q117" s="97"/>
    </row>
    <row r="118" spans="1:17">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36-3-1</v>
      </c>
      <c r="B118" s="207"/>
      <c r="C118" s="197"/>
      <c r="D118" s="196"/>
      <c r="E118" s="199"/>
      <c r="F118" s="94" t="s">
        <v>172</v>
      </c>
      <c r="G118" s="95"/>
      <c r="H118" s="96"/>
      <c r="I118" s="96"/>
      <c r="J118" s="97" t="s">
        <v>658</v>
      </c>
      <c r="K118" s="97"/>
      <c r="L118" s="96"/>
      <c r="M118" s="96"/>
      <c r="N118" s="96"/>
      <c r="O118" s="126"/>
      <c r="P118" s="97"/>
      <c r="Q118" s="97"/>
    </row>
    <row r="119" spans="1:17" ht="33.7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36-4-1</v>
      </c>
      <c r="B119" s="207"/>
      <c r="C119" s="199"/>
      <c r="D119" s="196"/>
      <c r="E119" s="199"/>
      <c r="F119" s="94" t="s">
        <v>173</v>
      </c>
      <c r="G119" s="95"/>
      <c r="H119" s="96"/>
      <c r="I119" s="96"/>
      <c r="J119" s="97" t="s">
        <v>658</v>
      </c>
      <c r="K119" s="97"/>
      <c r="L119" s="96"/>
      <c r="M119" s="96"/>
      <c r="N119" s="96"/>
      <c r="O119" s="126"/>
      <c r="P119" s="97"/>
      <c r="Q119" s="97"/>
    </row>
    <row r="120" spans="1:17" ht="33.7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36-5-1</v>
      </c>
      <c r="B120" s="207"/>
      <c r="C120" s="199"/>
      <c r="D120" s="196"/>
      <c r="E120" s="198"/>
      <c r="F120" s="94" t="s">
        <v>174</v>
      </c>
      <c r="G120" s="95"/>
      <c r="H120" s="96"/>
      <c r="I120" s="96"/>
      <c r="J120" s="97" t="s">
        <v>658</v>
      </c>
      <c r="K120" s="97"/>
      <c r="L120" s="96"/>
      <c r="M120" s="96"/>
      <c r="N120" s="96"/>
      <c r="O120" s="126"/>
      <c r="P120" s="97"/>
      <c r="Q120" s="97"/>
    </row>
    <row r="121" spans="1:17" ht="22.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37-1-1</v>
      </c>
      <c r="B121" s="207"/>
      <c r="C121" s="197"/>
      <c r="D121" s="196"/>
      <c r="E121" s="199" t="s">
        <v>175</v>
      </c>
      <c r="F121" s="94" t="s">
        <v>176</v>
      </c>
      <c r="G121" s="95"/>
      <c r="H121" s="96"/>
      <c r="I121" s="96"/>
      <c r="J121" s="97" t="s">
        <v>658</v>
      </c>
      <c r="K121" s="97"/>
      <c r="L121" s="96"/>
      <c r="M121" s="96"/>
      <c r="N121" s="96"/>
      <c r="O121" s="126"/>
      <c r="P121" s="97"/>
      <c r="Q121" s="97"/>
    </row>
    <row r="122" spans="1:17" ht="33.7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37-2-1</v>
      </c>
      <c r="B122" s="207"/>
      <c r="C122" s="196"/>
      <c r="D122" s="196"/>
      <c r="E122" s="199"/>
      <c r="F122" s="94" t="s">
        <v>177</v>
      </c>
      <c r="G122" s="95"/>
      <c r="H122" s="96"/>
      <c r="I122" s="96"/>
      <c r="J122" s="97" t="s">
        <v>658</v>
      </c>
      <c r="K122" s="97"/>
      <c r="L122" s="96"/>
      <c r="M122" s="96"/>
      <c r="N122" s="96"/>
      <c r="O122" s="126"/>
      <c r="P122" s="97"/>
      <c r="Q122" s="97"/>
    </row>
    <row r="123" spans="1:17">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37-3-1</v>
      </c>
      <c r="B123" s="207"/>
      <c r="C123" s="196"/>
      <c r="D123" s="196"/>
      <c r="E123" s="199"/>
      <c r="F123" s="94" t="s">
        <v>178</v>
      </c>
      <c r="G123" s="95"/>
      <c r="H123" s="96"/>
      <c r="I123" s="96"/>
      <c r="J123" s="97" t="s">
        <v>658</v>
      </c>
      <c r="K123" s="97"/>
      <c r="L123" s="96"/>
      <c r="M123" s="96"/>
      <c r="N123" s="96"/>
      <c r="O123" s="126"/>
      <c r="P123" s="97"/>
      <c r="Q123" s="97"/>
    </row>
    <row r="124" spans="1:17" ht="33.7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37-4-1</v>
      </c>
      <c r="B124" s="207"/>
      <c r="C124" s="199"/>
      <c r="D124" s="196"/>
      <c r="E124" s="199"/>
      <c r="F124" s="94" t="s">
        <v>179</v>
      </c>
      <c r="G124" s="95"/>
      <c r="H124" s="96"/>
      <c r="I124" s="96"/>
      <c r="J124" s="97" t="s">
        <v>658</v>
      </c>
      <c r="K124" s="97"/>
      <c r="L124" s="96"/>
      <c r="M124" s="96"/>
      <c r="N124" s="96"/>
      <c r="O124" s="126"/>
      <c r="P124" s="97"/>
      <c r="Q124" s="97"/>
    </row>
    <row r="125" spans="1:17" ht="33.7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37-5-1</v>
      </c>
      <c r="B125" s="207"/>
      <c r="C125" s="199"/>
      <c r="D125" s="196"/>
      <c r="E125" s="198"/>
      <c r="F125" s="94" t="s">
        <v>180</v>
      </c>
      <c r="G125" s="95"/>
      <c r="H125" s="96"/>
      <c r="I125" s="96"/>
      <c r="J125" s="97" t="s">
        <v>658</v>
      </c>
      <c r="K125" s="97"/>
      <c r="L125" s="96"/>
      <c r="M125" s="96"/>
      <c r="N125" s="96"/>
      <c r="O125" s="126"/>
      <c r="P125" s="97"/>
      <c r="Q125" s="97"/>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38-1-1</v>
      </c>
      <c r="B126" s="207"/>
      <c r="C126" s="198"/>
      <c r="D126" s="196"/>
      <c r="E126" s="200" t="s">
        <v>496</v>
      </c>
      <c r="F126" s="94" t="s">
        <v>181</v>
      </c>
      <c r="G126" s="95"/>
      <c r="H126" s="96"/>
      <c r="I126" s="96"/>
      <c r="J126" s="97" t="s">
        <v>658</v>
      </c>
      <c r="K126" s="97"/>
      <c r="L126" s="96"/>
      <c r="M126" s="96"/>
      <c r="N126" s="96"/>
      <c r="O126" s="126"/>
      <c r="P126" s="97"/>
      <c r="Q126" s="97"/>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39-1-1</v>
      </c>
      <c r="B127" s="195" t="s">
        <v>182</v>
      </c>
      <c r="C127" s="126" t="s">
        <v>183</v>
      </c>
      <c r="D127" s="126" t="s">
        <v>54</v>
      </c>
      <c r="E127" s="126" t="s">
        <v>54</v>
      </c>
      <c r="F127" s="94" t="s">
        <v>184</v>
      </c>
      <c r="G127" s="95"/>
      <c r="H127" s="96"/>
      <c r="I127" s="96"/>
      <c r="J127" s="97" t="s">
        <v>872</v>
      </c>
      <c r="K127" s="97"/>
      <c r="L127" s="96"/>
      <c r="M127" s="96"/>
      <c r="N127" s="96"/>
      <c r="O127" s="126"/>
      <c r="P127" s="97"/>
      <c r="Q127" s="97"/>
    </row>
    <row r="128" spans="1:17" ht="22.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40-1-1</v>
      </c>
      <c r="B128" s="196"/>
      <c r="C128" s="195" t="s">
        <v>185</v>
      </c>
      <c r="D128" s="195" t="s">
        <v>54</v>
      </c>
      <c r="E128" s="195" t="s">
        <v>54</v>
      </c>
      <c r="F128" s="94" t="s">
        <v>186</v>
      </c>
      <c r="G128" s="95"/>
      <c r="H128" s="96"/>
      <c r="I128" s="96"/>
      <c r="J128" s="97" t="s">
        <v>873</v>
      </c>
      <c r="K128" s="97"/>
      <c r="L128" s="96"/>
      <c r="M128" s="96"/>
      <c r="N128" s="96"/>
      <c r="O128" s="126"/>
      <c r="P128" s="97"/>
      <c r="Q128" s="97"/>
    </row>
    <row r="129" spans="1:17">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40-2-1</v>
      </c>
      <c r="B129" s="196"/>
      <c r="C129" s="198"/>
      <c r="D129" s="198"/>
      <c r="E129" s="198"/>
      <c r="F129" s="94" t="s">
        <v>187</v>
      </c>
      <c r="G129" s="95"/>
      <c r="H129" s="96"/>
      <c r="I129" s="96"/>
      <c r="J129" s="97" t="s">
        <v>874</v>
      </c>
      <c r="K129" s="97"/>
      <c r="L129" s="96"/>
      <c r="M129" s="96"/>
      <c r="N129" s="96"/>
      <c r="O129" s="126"/>
      <c r="P129" s="97"/>
      <c r="Q129" s="97"/>
    </row>
    <row r="130" spans="1:17" ht="22.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41-1-1</v>
      </c>
      <c r="B130" s="196"/>
      <c r="C130" s="126" t="s">
        <v>539</v>
      </c>
      <c r="D130" s="126" t="s">
        <v>54</v>
      </c>
      <c r="E130" s="126" t="s">
        <v>54</v>
      </c>
      <c r="F130" s="94" t="s">
        <v>189</v>
      </c>
      <c r="G130" s="95"/>
      <c r="H130" s="96"/>
      <c r="I130" s="96"/>
      <c r="J130" s="97" t="s">
        <v>875</v>
      </c>
      <c r="K130" s="97"/>
      <c r="L130" s="96"/>
      <c r="M130" s="96"/>
      <c r="N130" s="96"/>
      <c r="O130" s="126"/>
      <c r="P130" s="97"/>
      <c r="Q130" s="97"/>
    </row>
    <row r="131" spans="1:17" ht="22.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42-1-1</v>
      </c>
      <c r="B131" s="196"/>
      <c r="C131" s="196" t="s">
        <v>540</v>
      </c>
      <c r="D131" s="196" t="s">
        <v>54</v>
      </c>
      <c r="E131" s="199" t="s">
        <v>54</v>
      </c>
      <c r="F131" s="94" t="s">
        <v>191</v>
      </c>
      <c r="G131" s="95"/>
      <c r="H131" s="96"/>
      <c r="I131" s="96"/>
      <c r="J131" s="97" t="s">
        <v>875</v>
      </c>
      <c r="K131" s="97"/>
      <c r="L131" s="96"/>
      <c r="M131" s="96"/>
      <c r="N131" s="96"/>
      <c r="O131" s="126"/>
      <c r="P131" s="97"/>
      <c r="Q131" s="97"/>
    </row>
    <row r="132" spans="1:17" ht="22.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42-2-1</v>
      </c>
      <c r="B132" s="198"/>
      <c r="C132" s="198"/>
      <c r="D132" s="198"/>
      <c r="E132" s="200"/>
      <c r="F132" s="94" t="s">
        <v>192</v>
      </c>
      <c r="G132" s="95"/>
      <c r="H132" s="96"/>
      <c r="I132" s="96"/>
      <c r="J132" s="97" t="s">
        <v>875</v>
      </c>
      <c r="K132" s="97"/>
      <c r="L132" s="96"/>
      <c r="M132" s="96"/>
      <c r="N132" s="96"/>
      <c r="O132" s="126"/>
      <c r="P132" s="97"/>
      <c r="Q132" s="97"/>
    </row>
    <row r="133" spans="1:17" ht="22.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43-1-1</v>
      </c>
      <c r="B133" s="195" t="s">
        <v>193</v>
      </c>
      <c r="C133" s="195" t="s">
        <v>194</v>
      </c>
      <c r="D133" s="195" t="s">
        <v>499</v>
      </c>
      <c r="E133" s="241" t="s">
        <v>499</v>
      </c>
      <c r="F133" s="94" t="s">
        <v>195</v>
      </c>
      <c r="G133" s="95"/>
      <c r="H133" s="96"/>
      <c r="I133" s="96"/>
      <c r="J133" s="97" t="s">
        <v>641</v>
      </c>
      <c r="K133" s="97"/>
      <c r="L133" s="96"/>
      <c r="M133" s="96"/>
      <c r="N133" s="96"/>
      <c r="O133" s="126"/>
      <c r="P133" s="97"/>
      <c r="Q133" s="97"/>
    </row>
    <row r="134" spans="1:17" ht="22.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43-2-1</v>
      </c>
      <c r="B134" s="333" t="s">
        <v>541</v>
      </c>
      <c r="C134" s="199"/>
      <c r="D134" s="196"/>
      <c r="E134" s="218"/>
      <c r="F134" s="94" t="s">
        <v>197</v>
      </c>
      <c r="G134" s="95"/>
      <c r="H134" s="96"/>
      <c r="I134" s="96"/>
      <c r="J134" s="97" t="s">
        <v>641</v>
      </c>
      <c r="K134" s="97"/>
      <c r="L134" s="96"/>
      <c r="M134" s="96"/>
      <c r="N134" s="96"/>
      <c r="O134" s="126"/>
      <c r="P134" s="97"/>
      <c r="Q134" s="97"/>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43-3-1</v>
      </c>
      <c r="B135" s="333"/>
      <c r="C135" s="199"/>
      <c r="D135" s="196"/>
      <c r="E135" s="218"/>
      <c r="F135" s="94" t="s">
        <v>198</v>
      </c>
      <c r="G135" s="95"/>
      <c r="H135" s="96"/>
      <c r="I135" s="96"/>
      <c r="J135" s="97" t="s">
        <v>641</v>
      </c>
      <c r="K135" s="97"/>
      <c r="L135" s="96"/>
      <c r="M135" s="96"/>
      <c r="N135" s="96"/>
      <c r="O135" s="126"/>
      <c r="P135" s="97"/>
      <c r="Q135" s="97"/>
    </row>
    <row r="136" spans="1:17" ht="22.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43-4-1</v>
      </c>
      <c r="B136" s="196"/>
      <c r="C136" s="199"/>
      <c r="D136" s="196"/>
      <c r="E136" s="198"/>
      <c r="F136" s="94" t="s">
        <v>199</v>
      </c>
      <c r="G136" s="95"/>
      <c r="H136" s="96"/>
      <c r="I136" s="96"/>
      <c r="J136" s="97" t="s">
        <v>641</v>
      </c>
      <c r="K136" s="97"/>
      <c r="L136" s="96"/>
      <c r="M136" s="96"/>
      <c r="N136" s="96"/>
      <c r="O136" s="126"/>
      <c r="P136" s="97"/>
      <c r="Q136" s="97"/>
    </row>
    <row r="137" spans="1:17" ht="22.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44-1-1</v>
      </c>
      <c r="B137" s="196"/>
      <c r="C137" s="199"/>
      <c r="D137" s="196"/>
      <c r="E137" s="199" t="s">
        <v>138</v>
      </c>
      <c r="F137" s="94" t="s">
        <v>200</v>
      </c>
      <c r="G137" s="95" t="s">
        <v>620</v>
      </c>
      <c r="H137" s="96"/>
      <c r="I137" s="96"/>
      <c r="J137" s="97"/>
      <c r="K137" s="97"/>
      <c r="L137" s="96"/>
      <c r="M137" s="96"/>
      <c r="N137" s="96"/>
      <c r="O137" s="126"/>
      <c r="P137" s="97"/>
      <c r="Q137" s="97"/>
    </row>
    <row r="138" spans="1:17" ht="22.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44-2-1</v>
      </c>
      <c r="B138" s="196"/>
      <c r="C138" s="199"/>
      <c r="D138" s="196"/>
      <c r="E138" s="199"/>
      <c r="F138" s="94" t="s">
        <v>201</v>
      </c>
      <c r="G138" s="95" t="s">
        <v>620</v>
      </c>
      <c r="H138" s="96"/>
      <c r="I138" s="96"/>
      <c r="J138" s="97"/>
      <c r="K138" s="97"/>
      <c r="L138" s="96"/>
      <c r="M138" s="96"/>
      <c r="N138" s="96"/>
      <c r="O138" s="126"/>
      <c r="P138" s="97"/>
      <c r="Q138" s="97"/>
    </row>
    <row r="139" spans="1:17" ht="22.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44-3-1</v>
      </c>
      <c r="B139" s="196"/>
      <c r="C139" s="199"/>
      <c r="D139" s="196"/>
      <c r="E139" s="199"/>
      <c r="F139" s="94" t="s">
        <v>202</v>
      </c>
      <c r="G139" s="95" t="s">
        <v>620</v>
      </c>
      <c r="H139" s="96"/>
      <c r="I139" s="96"/>
      <c r="J139" s="97"/>
      <c r="K139" s="97"/>
      <c r="L139" s="96"/>
      <c r="M139" s="96"/>
      <c r="N139" s="96"/>
      <c r="O139" s="126"/>
      <c r="P139" s="97"/>
      <c r="Q139" s="97"/>
    </row>
    <row r="140" spans="1:17" ht="22.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44-4-1</v>
      </c>
      <c r="B140" s="196"/>
      <c r="C140" s="199"/>
      <c r="D140" s="196"/>
      <c r="E140" s="199"/>
      <c r="F140" s="94" t="s">
        <v>203</v>
      </c>
      <c r="G140" s="95" t="s">
        <v>620</v>
      </c>
      <c r="H140" s="96"/>
      <c r="I140" s="96"/>
      <c r="J140" s="97"/>
      <c r="K140" s="97"/>
      <c r="L140" s="96"/>
      <c r="M140" s="96"/>
      <c r="N140" s="96"/>
      <c r="O140" s="126"/>
      <c r="P140" s="97"/>
      <c r="Q140" s="97"/>
    </row>
    <row r="141" spans="1:17" ht="33.7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44-5-1</v>
      </c>
      <c r="B141" s="196"/>
      <c r="C141" s="199"/>
      <c r="D141" s="196"/>
      <c r="E141" s="198"/>
      <c r="F141" s="94" t="s">
        <v>204</v>
      </c>
      <c r="G141" s="95" t="s">
        <v>620</v>
      </c>
      <c r="H141" s="96"/>
      <c r="I141" s="96"/>
      <c r="J141" s="97"/>
      <c r="K141" s="97"/>
      <c r="L141" s="96"/>
      <c r="M141" s="96"/>
      <c r="N141" s="96"/>
      <c r="O141" s="126"/>
      <c r="P141" s="97"/>
      <c r="Q141" s="97"/>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45-1-1</v>
      </c>
      <c r="B142" s="196"/>
      <c r="C142" s="199"/>
      <c r="D142" s="196"/>
      <c r="E142" s="199" t="s">
        <v>205</v>
      </c>
      <c r="F142" s="94" t="s">
        <v>206</v>
      </c>
      <c r="G142" s="95" t="s">
        <v>620</v>
      </c>
      <c r="H142" s="96"/>
      <c r="I142" s="96"/>
      <c r="J142" s="97"/>
      <c r="K142" s="97"/>
      <c r="L142" s="96"/>
      <c r="M142" s="96"/>
      <c r="N142" s="96"/>
      <c r="O142" s="126"/>
      <c r="P142" s="97"/>
      <c r="Q142" s="97"/>
    </row>
    <row r="143" spans="1:17" ht="33.7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45-2-1</v>
      </c>
      <c r="B143" s="196"/>
      <c r="C143" s="199"/>
      <c r="D143" s="196"/>
      <c r="E143" s="199"/>
      <c r="F143" s="94" t="s">
        <v>207</v>
      </c>
      <c r="G143" s="95" t="s">
        <v>620</v>
      </c>
      <c r="H143" s="96"/>
      <c r="I143" s="96"/>
      <c r="J143" s="97"/>
      <c r="K143" s="97"/>
      <c r="L143" s="96"/>
      <c r="M143" s="96"/>
      <c r="N143" s="96"/>
      <c r="O143" s="126"/>
      <c r="P143" s="97"/>
      <c r="Q143" s="97"/>
    </row>
    <row r="144" spans="1:17" ht="4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45-3-1</v>
      </c>
      <c r="B144" s="196"/>
      <c r="C144" s="199"/>
      <c r="D144" s="196"/>
      <c r="E144" s="199"/>
      <c r="F144" s="94" t="s">
        <v>208</v>
      </c>
      <c r="G144" s="91" t="s">
        <v>599</v>
      </c>
      <c r="H144" s="96"/>
      <c r="I144" s="96"/>
      <c r="J144" s="97"/>
      <c r="K144" s="97"/>
      <c r="L144" s="96"/>
      <c r="M144" s="96"/>
      <c r="N144" s="96"/>
      <c r="O144" s="126"/>
      <c r="P144" s="97"/>
      <c r="Q144" s="97"/>
    </row>
    <row r="145" spans="1:17" ht="4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45-4-1</v>
      </c>
      <c r="B145" s="196"/>
      <c r="C145" s="199"/>
      <c r="D145" s="196"/>
      <c r="E145" s="199"/>
      <c r="F145" s="94" t="s">
        <v>209</v>
      </c>
      <c r="G145" s="91" t="s">
        <v>599</v>
      </c>
      <c r="H145" s="96"/>
      <c r="I145" s="96"/>
      <c r="J145" s="97"/>
      <c r="K145" s="97"/>
      <c r="L145" s="96"/>
      <c r="M145" s="96"/>
      <c r="N145" s="96"/>
      <c r="O145" s="126"/>
      <c r="P145" s="97"/>
      <c r="Q145" s="97"/>
    </row>
    <row r="146" spans="1:17" ht="33.7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45-5-1</v>
      </c>
      <c r="B146" s="196"/>
      <c r="C146" s="199"/>
      <c r="D146" s="196"/>
      <c r="E146" s="198"/>
      <c r="F146" s="94" t="s">
        <v>210</v>
      </c>
      <c r="G146" s="91" t="s">
        <v>599</v>
      </c>
      <c r="H146" s="96"/>
      <c r="I146" s="96"/>
      <c r="J146" s="97"/>
      <c r="K146" s="97"/>
      <c r="L146" s="96"/>
      <c r="M146" s="96"/>
      <c r="N146" s="96"/>
      <c r="O146" s="126"/>
      <c r="P146" s="97"/>
      <c r="Q146" s="97"/>
    </row>
    <row r="147" spans="1:17" ht="33.7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46-1-1</v>
      </c>
      <c r="B147" s="196"/>
      <c r="C147" s="199"/>
      <c r="D147" s="198"/>
      <c r="E147" s="198" t="s">
        <v>542</v>
      </c>
      <c r="F147" s="94" t="s">
        <v>212</v>
      </c>
      <c r="G147" s="95" t="s">
        <v>620</v>
      </c>
      <c r="H147" s="96"/>
      <c r="I147" s="96"/>
      <c r="J147" s="97"/>
      <c r="K147" s="97"/>
      <c r="L147" s="96"/>
      <c r="M147" s="96"/>
      <c r="N147" s="96"/>
      <c r="O147" s="126"/>
      <c r="P147" s="97"/>
      <c r="Q147" s="97"/>
    </row>
    <row r="148" spans="1:17" ht="33.7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47-1-1</v>
      </c>
      <c r="B148" s="196"/>
      <c r="C148" s="200"/>
      <c r="D148" s="198" t="s">
        <v>496</v>
      </c>
      <c r="E148" s="198" t="s">
        <v>499</v>
      </c>
      <c r="F148" s="94" t="s">
        <v>213</v>
      </c>
      <c r="G148" s="95"/>
      <c r="H148" s="96"/>
      <c r="I148" s="96"/>
      <c r="J148" s="97" t="s">
        <v>641</v>
      </c>
      <c r="K148" s="97"/>
      <c r="L148" s="96"/>
      <c r="M148" s="96"/>
      <c r="N148" s="96"/>
      <c r="O148" s="126"/>
      <c r="P148" s="97"/>
      <c r="Q148" s="97"/>
    </row>
    <row r="149" spans="1:17" ht="33.7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48-1-1</v>
      </c>
      <c r="B149" s="196"/>
      <c r="C149" s="196" t="s">
        <v>528</v>
      </c>
      <c r="D149" s="196" t="s">
        <v>214</v>
      </c>
      <c r="E149" s="126" t="s">
        <v>215</v>
      </c>
      <c r="F149" s="94" t="s">
        <v>216</v>
      </c>
      <c r="G149" s="91" t="s">
        <v>599</v>
      </c>
      <c r="H149" s="96"/>
      <c r="I149" s="96"/>
      <c r="J149" s="97"/>
      <c r="K149" s="97"/>
      <c r="L149" s="96"/>
      <c r="M149" s="96"/>
      <c r="N149" s="96"/>
      <c r="O149" s="126"/>
      <c r="P149" s="97"/>
      <c r="Q149" s="97"/>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49-1-1</v>
      </c>
      <c r="B150" s="196"/>
      <c r="C150" s="196"/>
      <c r="D150" s="196"/>
      <c r="E150" s="199" t="s">
        <v>543</v>
      </c>
      <c r="F150" s="94" t="s">
        <v>218</v>
      </c>
      <c r="G150" s="95" t="s">
        <v>620</v>
      </c>
      <c r="H150" s="96"/>
      <c r="I150" s="96"/>
      <c r="J150" s="97"/>
      <c r="K150" s="97"/>
      <c r="L150" s="96"/>
      <c r="M150" s="96"/>
      <c r="N150" s="96"/>
      <c r="O150" s="126"/>
      <c r="P150" s="97"/>
      <c r="Q150" s="97"/>
    </row>
    <row r="151" spans="1:17" ht="22.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49-2-1</v>
      </c>
      <c r="B151" s="196"/>
      <c r="C151" s="196"/>
      <c r="D151" s="196"/>
      <c r="E151" s="199"/>
      <c r="F151" s="94" t="s">
        <v>219</v>
      </c>
      <c r="G151" s="95" t="s">
        <v>620</v>
      </c>
      <c r="H151" s="96"/>
      <c r="I151" s="96"/>
      <c r="J151" s="97"/>
      <c r="K151" s="97"/>
      <c r="L151" s="96"/>
      <c r="M151" s="96"/>
      <c r="N151" s="96"/>
      <c r="O151" s="126"/>
      <c r="P151" s="97"/>
      <c r="Q151" s="97"/>
    </row>
    <row r="152" spans="1:17" ht="4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49-3-1</v>
      </c>
      <c r="B152" s="198"/>
      <c r="C152" s="198"/>
      <c r="D152" s="198"/>
      <c r="E152" s="200"/>
      <c r="F152" s="94" t="s">
        <v>220</v>
      </c>
      <c r="G152" s="95" t="s">
        <v>620</v>
      </c>
      <c r="H152" s="96"/>
      <c r="I152" s="96"/>
      <c r="J152" s="97"/>
      <c r="K152" s="97"/>
      <c r="L152" s="96"/>
      <c r="M152" s="96"/>
      <c r="N152" s="96"/>
      <c r="O152" s="126"/>
      <c r="P152" s="97"/>
      <c r="Q152" s="97"/>
    </row>
    <row r="153" spans="1:17" ht="22.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50-1-1</v>
      </c>
      <c r="B153" s="195" t="s">
        <v>221</v>
      </c>
      <c r="C153" s="195" t="s">
        <v>194</v>
      </c>
      <c r="D153" s="195" t="s">
        <v>499</v>
      </c>
      <c r="E153" s="241" t="s">
        <v>499</v>
      </c>
      <c r="F153" s="94" t="s">
        <v>222</v>
      </c>
      <c r="G153" s="91"/>
      <c r="H153" s="96"/>
      <c r="I153" s="96"/>
      <c r="J153" s="97" t="s">
        <v>642</v>
      </c>
      <c r="K153" s="97"/>
      <c r="L153" s="96"/>
      <c r="M153" s="96"/>
      <c r="N153" s="96"/>
      <c r="O153" s="126"/>
      <c r="P153" s="97"/>
      <c r="Q153" s="97"/>
    </row>
    <row r="154" spans="1:17" ht="22.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50-2-1</v>
      </c>
      <c r="B154" s="333" t="s">
        <v>223</v>
      </c>
      <c r="C154" s="199"/>
      <c r="D154" s="196"/>
      <c r="E154" s="199"/>
      <c r="F154" s="94" t="s">
        <v>224</v>
      </c>
      <c r="G154" s="91" t="s">
        <v>600</v>
      </c>
      <c r="H154" s="96"/>
      <c r="I154" s="96"/>
      <c r="J154" s="97"/>
      <c r="K154" s="97"/>
      <c r="L154" s="96"/>
      <c r="M154" s="96"/>
      <c r="N154" s="96"/>
      <c r="O154" s="126"/>
      <c r="P154" s="97"/>
      <c r="Q154" s="97"/>
    </row>
    <row r="155" spans="1:17" ht="22.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50-3-1</v>
      </c>
      <c r="B155" s="333"/>
      <c r="C155" s="199"/>
      <c r="D155" s="196"/>
      <c r="E155" s="199"/>
      <c r="F155" s="94" t="s">
        <v>225</v>
      </c>
      <c r="G155" s="91" t="s">
        <v>600</v>
      </c>
      <c r="H155" s="96"/>
      <c r="I155" s="96"/>
      <c r="J155" s="97"/>
      <c r="K155" s="97"/>
      <c r="L155" s="96"/>
      <c r="M155" s="96"/>
      <c r="N155" s="96"/>
      <c r="O155" s="126"/>
      <c r="P155" s="97"/>
      <c r="Q155" s="97"/>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50-4-1</v>
      </c>
      <c r="B156" s="196"/>
      <c r="C156" s="199"/>
      <c r="D156" s="196"/>
      <c r="E156" s="198"/>
      <c r="F156" s="94" t="s">
        <v>226</v>
      </c>
      <c r="G156" s="91" t="s">
        <v>600</v>
      </c>
      <c r="H156" s="96"/>
      <c r="I156" s="96"/>
      <c r="J156" s="97"/>
      <c r="K156" s="97"/>
      <c r="L156" s="96"/>
      <c r="M156" s="96"/>
      <c r="N156" s="96"/>
      <c r="O156" s="126"/>
      <c r="P156" s="97"/>
      <c r="Q156" s="97"/>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51-1-1</v>
      </c>
      <c r="B157" s="196"/>
      <c r="C157" s="199"/>
      <c r="D157" s="196"/>
      <c r="E157" s="199" t="s">
        <v>227</v>
      </c>
      <c r="F157" s="94" t="s">
        <v>228</v>
      </c>
      <c r="G157" s="91"/>
      <c r="H157" s="96"/>
      <c r="I157" s="96"/>
      <c r="J157" s="97" t="s">
        <v>642</v>
      </c>
      <c r="K157" s="97"/>
      <c r="L157" s="96"/>
      <c r="M157" s="96"/>
      <c r="N157" s="96"/>
      <c r="O157" s="126"/>
      <c r="P157" s="97"/>
      <c r="Q157" s="97"/>
    </row>
    <row r="158" spans="1:17" ht="33.7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51-2-1</v>
      </c>
      <c r="B158" s="196"/>
      <c r="C158" s="199"/>
      <c r="D158" s="198"/>
      <c r="E158" s="198"/>
      <c r="F158" s="94" t="s">
        <v>229</v>
      </c>
      <c r="G158" s="91"/>
      <c r="H158" s="96"/>
      <c r="I158" s="96"/>
      <c r="J158" s="97" t="s">
        <v>642</v>
      </c>
      <c r="K158" s="97"/>
      <c r="L158" s="96"/>
      <c r="M158" s="96"/>
      <c r="N158" s="96"/>
      <c r="O158" s="126"/>
      <c r="P158" s="97"/>
      <c r="Q158" s="97"/>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52-1-1</v>
      </c>
      <c r="B159" s="196"/>
      <c r="C159" s="200"/>
      <c r="D159" s="198" t="s">
        <v>496</v>
      </c>
      <c r="E159" s="198" t="s">
        <v>499</v>
      </c>
      <c r="F159" s="94" t="s">
        <v>230</v>
      </c>
      <c r="G159" s="95"/>
      <c r="H159" s="96"/>
      <c r="I159" s="96"/>
      <c r="J159" s="97" t="s">
        <v>642</v>
      </c>
      <c r="K159" s="97"/>
      <c r="L159" s="96"/>
      <c r="M159" s="96"/>
      <c r="N159" s="96"/>
      <c r="O159" s="126"/>
      <c r="P159" s="97"/>
      <c r="Q159" s="97"/>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53-1-1</v>
      </c>
      <c r="B160" s="196"/>
      <c r="C160" s="199" t="s">
        <v>231</v>
      </c>
      <c r="D160" s="196" t="s">
        <v>214</v>
      </c>
      <c r="E160" s="126" t="s">
        <v>232</v>
      </c>
      <c r="F160" s="94" t="s">
        <v>233</v>
      </c>
      <c r="G160" s="95" t="s">
        <v>620</v>
      </c>
      <c r="H160" s="96"/>
      <c r="I160" s="96"/>
      <c r="J160" s="97"/>
      <c r="K160" s="97"/>
      <c r="L160" s="96"/>
      <c r="M160" s="96"/>
      <c r="N160" s="96"/>
      <c r="O160" s="126"/>
      <c r="P160" s="97"/>
      <c r="Q160" s="97"/>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54-1-1</v>
      </c>
      <c r="B161" s="196"/>
      <c r="C161" s="199"/>
      <c r="D161" s="196"/>
      <c r="E161" s="126" t="s">
        <v>234</v>
      </c>
      <c r="F161" s="94" t="s">
        <v>235</v>
      </c>
      <c r="G161" s="95" t="s">
        <v>620</v>
      </c>
      <c r="H161" s="96"/>
      <c r="I161" s="96"/>
      <c r="J161" s="97"/>
      <c r="K161" s="97"/>
      <c r="L161" s="96"/>
      <c r="M161" s="96"/>
      <c r="N161" s="96"/>
      <c r="O161" s="126"/>
      <c r="P161" s="97"/>
      <c r="Q161" s="97"/>
    </row>
    <row r="162" spans="1:17" ht="33.75">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55-1-1</v>
      </c>
      <c r="B162" s="196"/>
      <c r="C162" s="199"/>
      <c r="D162" s="196"/>
      <c r="E162" s="126" t="s">
        <v>236</v>
      </c>
      <c r="F162" s="94" t="s">
        <v>237</v>
      </c>
      <c r="G162" s="95" t="s">
        <v>620</v>
      </c>
      <c r="H162" s="96"/>
      <c r="I162" s="96"/>
      <c r="J162" s="97"/>
      <c r="K162" s="97"/>
      <c r="L162" s="96"/>
      <c r="M162" s="96"/>
      <c r="N162" s="96"/>
      <c r="O162" s="126"/>
      <c r="P162" s="97"/>
      <c r="Q162" s="97"/>
    </row>
    <row r="163" spans="1:17" ht="33.75">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56-1-1</v>
      </c>
      <c r="B163" s="196"/>
      <c r="C163" s="199"/>
      <c r="D163" s="196"/>
      <c r="E163" s="126" t="s">
        <v>215</v>
      </c>
      <c r="F163" s="94" t="s">
        <v>238</v>
      </c>
      <c r="G163" s="91" t="s">
        <v>602</v>
      </c>
      <c r="H163" s="96"/>
      <c r="I163" s="96"/>
      <c r="J163" s="97"/>
      <c r="K163" s="97"/>
      <c r="L163" s="96"/>
      <c r="M163" s="96"/>
      <c r="N163" s="96"/>
      <c r="O163" s="126"/>
      <c r="P163" s="97"/>
      <c r="Q163" s="97"/>
    </row>
    <row r="164" spans="1:17" ht="33.7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57-1-1</v>
      </c>
      <c r="B164" s="196"/>
      <c r="C164" s="199"/>
      <c r="D164" s="196"/>
      <c r="E164" s="126" t="s">
        <v>544</v>
      </c>
      <c r="F164" s="94" t="s">
        <v>240</v>
      </c>
      <c r="G164" s="95" t="s">
        <v>620</v>
      </c>
      <c r="H164" s="96"/>
      <c r="I164" s="96"/>
      <c r="J164" s="97"/>
      <c r="K164" s="97"/>
      <c r="L164" s="96"/>
      <c r="M164" s="96"/>
      <c r="N164" s="96"/>
      <c r="O164" s="126"/>
      <c r="P164" s="97"/>
      <c r="Q164" s="97"/>
    </row>
    <row r="165" spans="1:17" ht="22.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58-1-1</v>
      </c>
      <c r="B165" s="196"/>
      <c r="C165" s="199"/>
      <c r="D165" s="196"/>
      <c r="E165" s="218" t="s">
        <v>545</v>
      </c>
      <c r="F165" s="94" t="s">
        <v>242</v>
      </c>
      <c r="G165" s="91" t="s">
        <v>603</v>
      </c>
      <c r="H165" s="96"/>
      <c r="I165" s="96"/>
      <c r="J165" s="97"/>
      <c r="K165" s="97"/>
      <c r="L165" s="96"/>
      <c r="M165" s="96"/>
      <c r="N165" s="96"/>
      <c r="O165" s="126"/>
      <c r="P165" s="97"/>
      <c r="Q165" s="97"/>
    </row>
    <row r="166" spans="1:17" ht="22.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58-2-1</v>
      </c>
      <c r="B166" s="196"/>
      <c r="C166" s="199"/>
      <c r="D166" s="196"/>
      <c r="E166" s="218"/>
      <c r="F166" s="94" t="s">
        <v>243</v>
      </c>
      <c r="G166" s="91" t="s">
        <v>603</v>
      </c>
      <c r="H166" s="96"/>
      <c r="I166" s="96"/>
      <c r="J166" s="97"/>
      <c r="K166" s="97"/>
      <c r="L166" s="96"/>
      <c r="M166" s="96"/>
      <c r="N166" s="96"/>
      <c r="O166" s="126"/>
      <c r="P166" s="97"/>
      <c r="Q166" s="97"/>
    </row>
    <row r="167" spans="1:17" ht="22.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58-3-1</v>
      </c>
      <c r="B167" s="196"/>
      <c r="C167" s="199"/>
      <c r="D167" s="196"/>
      <c r="E167" s="218"/>
      <c r="F167" s="94" t="s">
        <v>244</v>
      </c>
      <c r="G167" s="91" t="s">
        <v>603</v>
      </c>
      <c r="H167" s="96"/>
      <c r="I167" s="96"/>
      <c r="J167" s="97"/>
      <c r="K167" s="97"/>
      <c r="L167" s="96"/>
      <c r="M167" s="96"/>
      <c r="N167" s="96"/>
      <c r="O167" s="126"/>
      <c r="P167" s="97"/>
      <c r="Q167" s="97"/>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58-4-1</v>
      </c>
      <c r="B168" s="196"/>
      <c r="C168" s="199"/>
      <c r="D168" s="196"/>
      <c r="E168" s="218"/>
      <c r="F168" s="94" t="s">
        <v>245</v>
      </c>
      <c r="G168" s="91" t="s">
        <v>603</v>
      </c>
      <c r="H168" s="96"/>
      <c r="I168" s="96"/>
      <c r="J168" s="97"/>
      <c r="K168" s="97"/>
      <c r="L168" s="96"/>
      <c r="M168" s="96"/>
      <c r="N168" s="96"/>
      <c r="O168" s="126"/>
      <c r="P168" s="97"/>
      <c r="Q168" s="97"/>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58-5-1</v>
      </c>
      <c r="B169" s="196"/>
      <c r="C169" s="199"/>
      <c r="D169" s="196"/>
      <c r="E169" s="218"/>
      <c r="F169" s="94" t="s">
        <v>246</v>
      </c>
      <c r="G169" s="91" t="s">
        <v>603</v>
      </c>
      <c r="H169" s="96"/>
      <c r="I169" s="96"/>
      <c r="J169" s="97"/>
      <c r="K169" s="97"/>
      <c r="L169" s="96"/>
      <c r="M169" s="96"/>
      <c r="N169" s="96"/>
      <c r="O169" s="126"/>
      <c r="P169" s="97"/>
      <c r="Q169" s="97"/>
    </row>
    <row r="170" spans="1:17" ht="22.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58-6-1</v>
      </c>
      <c r="B170" s="196"/>
      <c r="C170" s="199"/>
      <c r="D170" s="198"/>
      <c r="E170" s="198"/>
      <c r="F170" s="94" t="s">
        <v>247</v>
      </c>
      <c r="G170" s="91" t="s">
        <v>603</v>
      </c>
      <c r="H170" s="96"/>
      <c r="I170" s="96"/>
      <c r="J170" s="97"/>
      <c r="K170" s="97"/>
      <c r="L170" s="96"/>
      <c r="M170" s="96"/>
      <c r="N170" s="96"/>
      <c r="O170" s="126"/>
      <c r="P170" s="97"/>
      <c r="Q170" s="97"/>
    </row>
    <row r="171" spans="1:17" ht="22.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59-1-1</v>
      </c>
      <c r="B171" s="196"/>
      <c r="C171" s="199"/>
      <c r="D171" s="196" t="s">
        <v>248</v>
      </c>
      <c r="E171" s="195" t="s">
        <v>499</v>
      </c>
      <c r="F171" s="94" t="s">
        <v>249</v>
      </c>
      <c r="G171" s="95" t="s">
        <v>620</v>
      </c>
      <c r="H171" s="96"/>
      <c r="I171" s="96"/>
      <c r="J171" s="97"/>
      <c r="K171" s="97"/>
      <c r="L171" s="96"/>
      <c r="M171" s="96"/>
      <c r="N171" s="96"/>
      <c r="O171" s="126"/>
      <c r="P171" s="97"/>
      <c r="Q171" s="97"/>
    </row>
    <row r="172" spans="1:17" ht="22.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59-2-1</v>
      </c>
      <c r="B172" s="196"/>
      <c r="C172" s="199"/>
      <c r="D172" s="196"/>
      <c r="E172" s="198"/>
      <c r="F172" s="94" t="s">
        <v>250</v>
      </c>
      <c r="G172" s="95" t="s">
        <v>620</v>
      </c>
      <c r="H172" s="96"/>
      <c r="I172" s="96"/>
      <c r="J172" s="97"/>
      <c r="K172" s="97"/>
      <c r="L172" s="96"/>
      <c r="M172" s="96"/>
      <c r="N172" s="96"/>
      <c r="O172" s="126"/>
      <c r="P172" s="97"/>
      <c r="Q172" s="97"/>
    </row>
    <row r="173" spans="1:17" ht="33.7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60-1-1</v>
      </c>
      <c r="B173" s="196"/>
      <c r="C173" s="199"/>
      <c r="D173" s="196"/>
      <c r="E173" s="199" t="s">
        <v>127</v>
      </c>
      <c r="F173" s="94" t="s">
        <v>251</v>
      </c>
      <c r="G173" s="95" t="s">
        <v>620</v>
      </c>
      <c r="H173" s="96"/>
      <c r="I173" s="96"/>
      <c r="J173" s="97"/>
      <c r="K173" s="97"/>
      <c r="L173" s="96"/>
      <c r="M173" s="96"/>
      <c r="N173" s="96"/>
      <c r="O173" s="126"/>
      <c r="P173" s="97"/>
      <c r="Q173" s="97"/>
    </row>
    <row r="174" spans="1:17" ht="33.7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60-2-1</v>
      </c>
      <c r="B174" s="196"/>
      <c r="C174" s="199"/>
      <c r="D174" s="196"/>
      <c r="E174" s="218"/>
      <c r="F174" s="94" t="s">
        <v>252</v>
      </c>
      <c r="G174" s="95" t="s">
        <v>620</v>
      </c>
      <c r="H174" s="96"/>
      <c r="I174" s="96"/>
      <c r="J174" s="97"/>
      <c r="K174" s="97"/>
      <c r="L174" s="96"/>
      <c r="M174" s="96"/>
      <c r="N174" s="96"/>
      <c r="O174" s="126"/>
      <c r="P174" s="97"/>
      <c r="Q174" s="97"/>
    </row>
    <row r="175" spans="1:17" ht="33.7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60-3-1</v>
      </c>
      <c r="B175" s="196"/>
      <c r="C175" s="199"/>
      <c r="D175" s="196"/>
      <c r="E175" s="218"/>
      <c r="F175" s="94" t="s">
        <v>546</v>
      </c>
      <c r="G175" s="95" t="s">
        <v>620</v>
      </c>
      <c r="H175" s="96"/>
      <c r="I175" s="96"/>
      <c r="J175" s="97"/>
      <c r="K175" s="97"/>
      <c r="L175" s="96"/>
      <c r="M175" s="96"/>
      <c r="N175" s="96"/>
      <c r="O175" s="126"/>
      <c r="P175" s="97"/>
      <c r="Q175" s="97"/>
    </row>
    <row r="176" spans="1:17" ht="33.7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60-4-1</v>
      </c>
      <c r="B176" s="196"/>
      <c r="C176" s="199"/>
      <c r="D176" s="196"/>
      <c r="E176" s="218"/>
      <c r="F176" s="94" t="s">
        <v>547</v>
      </c>
      <c r="G176" s="95" t="s">
        <v>620</v>
      </c>
      <c r="H176" s="96"/>
      <c r="I176" s="96"/>
      <c r="J176" s="97"/>
      <c r="K176" s="97"/>
      <c r="L176" s="96"/>
      <c r="M176" s="96"/>
      <c r="N176" s="96"/>
      <c r="O176" s="126"/>
      <c r="P176" s="97"/>
      <c r="Q176" s="97"/>
    </row>
    <row r="177" spans="1:17" ht="33.7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60-5-1</v>
      </c>
      <c r="B177" s="196"/>
      <c r="C177" s="199"/>
      <c r="D177" s="196"/>
      <c r="E177" s="218"/>
      <c r="F177" s="94" t="s">
        <v>255</v>
      </c>
      <c r="G177" s="95" t="s">
        <v>620</v>
      </c>
      <c r="H177" s="96"/>
      <c r="I177" s="96"/>
      <c r="J177" s="97"/>
      <c r="K177" s="97"/>
      <c r="L177" s="96"/>
      <c r="M177" s="96"/>
      <c r="N177" s="96"/>
      <c r="O177" s="126"/>
      <c r="P177" s="97"/>
      <c r="Q177" s="97"/>
    </row>
    <row r="178" spans="1:17" ht="22.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60-6-1</v>
      </c>
      <c r="B178" s="196"/>
      <c r="C178" s="199"/>
      <c r="D178" s="196"/>
      <c r="E178" s="218"/>
      <c r="F178" s="94" t="s">
        <v>256</v>
      </c>
      <c r="G178" s="95" t="s">
        <v>620</v>
      </c>
      <c r="H178" s="96"/>
      <c r="I178" s="96"/>
      <c r="J178" s="97"/>
      <c r="K178" s="97"/>
      <c r="L178" s="96"/>
      <c r="M178" s="96"/>
      <c r="N178" s="96"/>
      <c r="O178" s="126"/>
      <c r="P178" s="97"/>
      <c r="Q178" s="97"/>
    </row>
    <row r="179" spans="1:17" ht="22.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60-7-1</v>
      </c>
      <c r="B179" s="196"/>
      <c r="C179" s="199"/>
      <c r="D179" s="196"/>
      <c r="E179" s="218"/>
      <c r="F179" s="94" t="s">
        <v>257</v>
      </c>
      <c r="G179" s="95" t="s">
        <v>620</v>
      </c>
      <c r="H179" s="96"/>
      <c r="I179" s="96"/>
      <c r="J179" s="97"/>
      <c r="K179" s="97"/>
      <c r="L179" s="96"/>
      <c r="M179" s="96"/>
      <c r="N179" s="96"/>
      <c r="O179" s="126"/>
      <c r="P179" s="97"/>
      <c r="Q179" s="97"/>
    </row>
    <row r="180" spans="1:17" ht="33.7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60-8-1</v>
      </c>
      <c r="B180" s="196"/>
      <c r="C180" s="199"/>
      <c r="D180" s="196"/>
      <c r="E180" s="218"/>
      <c r="F180" s="94" t="s">
        <v>258</v>
      </c>
      <c r="G180" s="95" t="s">
        <v>620</v>
      </c>
      <c r="H180" s="96"/>
      <c r="I180" s="96"/>
      <c r="J180" s="97"/>
      <c r="K180" s="97"/>
      <c r="L180" s="96"/>
      <c r="M180" s="96"/>
      <c r="N180" s="96"/>
      <c r="O180" s="126"/>
      <c r="P180" s="97"/>
      <c r="Q180" s="97"/>
    </row>
    <row r="181" spans="1:17" ht="33.7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60-9-1</v>
      </c>
      <c r="B181" s="196"/>
      <c r="C181" s="199"/>
      <c r="D181" s="196"/>
      <c r="E181" s="218"/>
      <c r="F181" s="94" t="s">
        <v>259</v>
      </c>
      <c r="G181" s="95" t="s">
        <v>620</v>
      </c>
      <c r="H181" s="96"/>
      <c r="I181" s="96"/>
      <c r="J181" s="97"/>
      <c r="K181" s="97"/>
      <c r="L181" s="96"/>
      <c r="M181" s="96"/>
      <c r="N181" s="96"/>
      <c r="O181" s="126"/>
      <c r="P181" s="97"/>
      <c r="Q181" s="97"/>
    </row>
    <row r="182" spans="1:17" ht="33.7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60-10-1</v>
      </c>
      <c r="B182" s="196"/>
      <c r="C182" s="199"/>
      <c r="D182" s="196"/>
      <c r="E182" s="218"/>
      <c r="F182" s="94" t="s">
        <v>260</v>
      </c>
      <c r="G182" s="95" t="s">
        <v>620</v>
      </c>
      <c r="H182" s="96"/>
      <c r="I182" s="96"/>
      <c r="J182" s="97"/>
      <c r="K182" s="97"/>
      <c r="L182" s="96"/>
      <c r="M182" s="96"/>
      <c r="N182" s="96"/>
      <c r="O182" s="126"/>
      <c r="P182" s="97"/>
      <c r="Q182" s="97"/>
    </row>
    <row r="183" spans="1:17" ht="33.7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60-11-1</v>
      </c>
      <c r="B183" s="196"/>
      <c r="C183" s="199"/>
      <c r="D183" s="196"/>
      <c r="E183" s="198"/>
      <c r="F183" s="94" t="s">
        <v>261</v>
      </c>
      <c r="G183" s="95" t="s">
        <v>620</v>
      </c>
      <c r="H183" s="96"/>
      <c r="I183" s="96"/>
      <c r="J183" s="97"/>
      <c r="K183" s="97"/>
      <c r="L183" s="96"/>
      <c r="M183" s="96"/>
      <c r="N183" s="96"/>
      <c r="O183" s="126"/>
      <c r="P183" s="97"/>
      <c r="Q183" s="97"/>
    </row>
    <row r="184" spans="1:17">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61-1-1</v>
      </c>
      <c r="B184" s="196"/>
      <c r="C184" s="199"/>
      <c r="D184" s="196"/>
      <c r="E184" s="199" t="s">
        <v>61</v>
      </c>
      <c r="F184" s="94" t="s">
        <v>262</v>
      </c>
      <c r="G184" s="95" t="s">
        <v>620</v>
      </c>
      <c r="H184" s="96"/>
      <c r="I184" s="96"/>
      <c r="J184" s="97"/>
      <c r="K184" s="97"/>
      <c r="L184" s="96"/>
      <c r="M184" s="96"/>
      <c r="N184" s="96"/>
      <c r="O184" s="126"/>
      <c r="P184" s="97"/>
      <c r="Q184" s="97"/>
    </row>
    <row r="185" spans="1:17">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61-2-1</v>
      </c>
      <c r="B185" s="196"/>
      <c r="C185" s="199"/>
      <c r="D185" s="196"/>
      <c r="E185" s="199"/>
      <c r="F185" s="94" t="s">
        <v>263</v>
      </c>
      <c r="G185" s="95" t="s">
        <v>620</v>
      </c>
      <c r="H185" s="96"/>
      <c r="I185" s="96"/>
      <c r="J185" s="97"/>
      <c r="K185" s="97"/>
      <c r="L185" s="96"/>
      <c r="M185" s="96"/>
      <c r="N185" s="96"/>
      <c r="O185" s="126"/>
      <c r="P185" s="97"/>
      <c r="Q185" s="97"/>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61-3-1</v>
      </c>
      <c r="B186" s="196"/>
      <c r="C186" s="199"/>
      <c r="D186" s="196"/>
      <c r="E186" s="199"/>
      <c r="F186" s="94" t="s">
        <v>264</v>
      </c>
      <c r="G186" s="95" t="s">
        <v>620</v>
      </c>
      <c r="H186" s="96"/>
      <c r="I186" s="96"/>
      <c r="J186" s="97"/>
      <c r="K186" s="97"/>
      <c r="L186" s="96"/>
      <c r="M186" s="96"/>
      <c r="N186" s="96"/>
      <c r="O186" s="126"/>
      <c r="P186" s="97"/>
      <c r="Q186" s="97"/>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61-4-1</v>
      </c>
      <c r="B187" s="196"/>
      <c r="C187" s="199"/>
      <c r="D187" s="196"/>
      <c r="E187" s="199"/>
      <c r="F187" s="94" t="s">
        <v>265</v>
      </c>
      <c r="G187" s="95" t="s">
        <v>620</v>
      </c>
      <c r="H187" s="96"/>
      <c r="I187" s="96"/>
      <c r="J187" s="97"/>
      <c r="K187" s="97"/>
      <c r="L187" s="96"/>
      <c r="M187" s="96"/>
      <c r="N187" s="96"/>
      <c r="O187" s="126"/>
      <c r="P187" s="97"/>
      <c r="Q187" s="97"/>
    </row>
    <row r="188" spans="1:17" ht="22.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61-5-1</v>
      </c>
      <c r="B188" s="196"/>
      <c r="C188" s="199"/>
      <c r="D188" s="196"/>
      <c r="E188" s="199"/>
      <c r="F188" s="94" t="s">
        <v>266</v>
      </c>
      <c r="G188" s="95" t="s">
        <v>620</v>
      </c>
      <c r="H188" s="96"/>
      <c r="I188" s="96"/>
      <c r="J188" s="97"/>
      <c r="K188" s="97"/>
      <c r="L188" s="96"/>
      <c r="M188" s="96"/>
      <c r="N188" s="96"/>
      <c r="O188" s="126"/>
      <c r="P188" s="97"/>
      <c r="Q188" s="97"/>
    </row>
    <row r="189" spans="1:17" ht="33.7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61-6-1</v>
      </c>
      <c r="B189" s="196"/>
      <c r="C189" s="199"/>
      <c r="D189" s="196"/>
      <c r="E189" s="199"/>
      <c r="F189" s="94" t="s">
        <v>267</v>
      </c>
      <c r="G189" s="95" t="s">
        <v>620</v>
      </c>
      <c r="H189" s="96"/>
      <c r="I189" s="96"/>
      <c r="J189" s="97"/>
      <c r="K189" s="97"/>
      <c r="L189" s="96"/>
      <c r="M189" s="96"/>
      <c r="N189" s="96"/>
      <c r="O189" s="126"/>
      <c r="P189" s="97"/>
      <c r="Q189" s="97"/>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61-7-1</v>
      </c>
      <c r="B190" s="198"/>
      <c r="C190" s="200"/>
      <c r="D190" s="198"/>
      <c r="E190" s="200"/>
      <c r="F190" s="94" t="s">
        <v>268</v>
      </c>
      <c r="G190" s="91" t="s">
        <v>603</v>
      </c>
      <c r="H190" s="96"/>
      <c r="I190" s="96"/>
      <c r="J190" s="97"/>
      <c r="K190" s="97"/>
      <c r="L190" s="96"/>
      <c r="M190" s="96"/>
      <c r="N190" s="96"/>
      <c r="O190" s="126"/>
      <c r="P190" s="97"/>
      <c r="Q190" s="97"/>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62-1-1</v>
      </c>
      <c r="B191" s="195"/>
      <c r="C191" s="242"/>
      <c r="D191" s="195"/>
      <c r="E191" s="242" t="s">
        <v>205</v>
      </c>
      <c r="F191" s="94" t="s">
        <v>269</v>
      </c>
      <c r="G191" s="95" t="s">
        <v>620</v>
      </c>
      <c r="H191" s="96"/>
      <c r="I191" s="96"/>
      <c r="J191" s="97"/>
      <c r="K191" s="97"/>
      <c r="L191" s="96"/>
      <c r="M191" s="96"/>
      <c r="N191" s="96"/>
      <c r="O191" s="126"/>
      <c r="P191" s="97"/>
      <c r="Q191" s="97"/>
    </row>
    <row r="192" spans="1:17" ht="33.7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62-2-1</v>
      </c>
      <c r="B192" s="196"/>
      <c r="C192" s="199"/>
      <c r="D192" s="196"/>
      <c r="E192" s="199"/>
      <c r="F192" s="94" t="s">
        <v>270</v>
      </c>
      <c r="G192" s="95" t="s">
        <v>620</v>
      </c>
      <c r="H192" s="96"/>
      <c r="I192" s="96"/>
      <c r="J192" s="97"/>
      <c r="K192" s="97"/>
      <c r="L192" s="96"/>
      <c r="M192" s="96"/>
      <c r="N192" s="96"/>
      <c r="O192" s="126"/>
      <c r="P192" s="97"/>
      <c r="Q192" s="97"/>
    </row>
    <row r="193" spans="1:17" ht="33.7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62-3-1</v>
      </c>
      <c r="B193" s="196"/>
      <c r="C193" s="199"/>
      <c r="D193" s="196"/>
      <c r="E193" s="199"/>
      <c r="F193" s="94" t="s">
        <v>271</v>
      </c>
      <c r="G193" s="95" t="s">
        <v>620</v>
      </c>
      <c r="H193" s="96"/>
      <c r="I193" s="96"/>
      <c r="J193" s="97"/>
      <c r="K193" s="97"/>
      <c r="L193" s="96"/>
      <c r="M193" s="96"/>
      <c r="N193" s="96"/>
      <c r="O193" s="126"/>
      <c r="P193" s="97"/>
      <c r="Q193" s="97"/>
    </row>
    <row r="194" spans="1:17" ht="4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62-4-1</v>
      </c>
      <c r="B194" s="196"/>
      <c r="C194" s="199"/>
      <c r="D194" s="196"/>
      <c r="E194" s="199"/>
      <c r="F194" s="94" t="s">
        <v>272</v>
      </c>
      <c r="G194" s="95" t="s">
        <v>620</v>
      </c>
      <c r="H194" s="96"/>
      <c r="I194" s="96"/>
      <c r="J194" s="97"/>
      <c r="K194" s="97"/>
      <c r="L194" s="96"/>
      <c r="M194" s="96"/>
      <c r="N194" s="96"/>
      <c r="O194" s="126"/>
      <c r="P194" s="97"/>
      <c r="Q194" s="97"/>
    </row>
    <row r="195" spans="1:17" ht="4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62-5-1</v>
      </c>
      <c r="B195" s="196"/>
      <c r="C195" s="199"/>
      <c r="D195" s="196"/>
      <c r="E195" s="199"/>
      <c r="F195" s="94" t="s">
        <v>273</v>
      </c>
      <c r="G195" s="95" t="s">
        <v>620</v>
      </c>
      <c r="H195" s="96"/>
      <c r="I195" s="96"/>
      <c r="J195" s="97"/>
      <c r="K195" s="97"/>
      <c r="L195" s="96"/>
      <c r="M195" s="96"/>
      <c r="N195" s="96"/>
      <c r="O195" s="126"/>
      <c r="P195" s="97"/>
      <c r="Q195" s="97"/>
    </row>
    <row r="196" spans="1:17" ht="33.7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62-6-1</v>
      </c>
      <c r="B196" s="196"/>
      <c r="C196" s="199"/>
      <c r="D196" s="196"/>
      <c r="E196" s="199"/>
      <c r="F196" s="94" t="s">
        <v>274</v>
      </c>
      <c r="G196" s="95"/>
      <c r="H196" s="96"/>
      <c r="I196" s="96"/>
      <c r="J196" s="97" t="s">
        <v>642</v>
      </c>
      <c r="K196" s="97"/>
      <c r="L196" s="96"/>
      <c r="M196" s="96"/>
      <c r="N196" s="96"/>
      <c r="O196" s="126"/>
      <c r="P196" s="97"/>
      <c r="Q196" s="97"/>
    </row>
    <row r="197" spans="1:17" ht="4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62-7-1</v>
      </c>
      <c r="B197" s="196"/>
      <c r="C197" s="199"/>
      <c r="D197" s="196"/>
      <c r="E197" s="199"/>
      <c r="F197" s="94" t="s">
        <v>275</v>
      </c>
      <c r="G197" s="91" t="s">
        <v>602</v>
      </c>
      <c r="H197" s="96"/>
      <c r="I197" s="96"/>
      <c r="J197" s="97"/>
      <c r="K197" s="97"/>
      <c r="L197" s="96"/>
      <c r="M197" s="96"/>
      <c r="N197" s="96"/>
      <c r="O197" s="126"/>
      <c r="P197" s="97"/>
      <c r="Q197" s="97"/>
    </row>
    <row r="198" spans="1:17" ht="4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62-8-1</v>
      </c>
      <c r="B198" s="196"/>
      <c r="C198" s="199"/>
      <c r="D198" s="196"/>
      <c r="E198" s="199"/>
      <c r="F198" s="94" t="s">
        <v>276</v>
      </c>
      <c r="G198" s="91" t="s">
        <v>602</v>
      </c>
      <c r="H198" s="96"/>
      <c r="I198" s="96"/>
      <c r="J198" s="97"/>
      <c r="K198" s="97"/>
      <c r="L198" s="96"/>
      <c r="M198" s="96"/>
      <c r="N198" s="96"/>
      <c r="O198" s="126"/>
      <c r="P198" s="97"/>
      <c r="Q198" s="97"/>
    </row>
    <row r="199" spans="1:17" ht="22.5">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62-9-1</v>
      </c>
      <c r="B199" s="196"/>
      <c r="C199" s="199"/>
      <c r="D199" s="196"/>
      <c r="E199" s="198"/>
      <c r="F199" s="94" t="s">
        <v>277</v>
      </c>
      <c r="G199" s="91" t="s">
        <v>602</v>
      </c>
      <c r="H199" s="96"/>
      <c r="I199" s="96"/>
      <c r="J199" s="97"/>
      <c r="K199" s="97"/>
      <c r="L199" s="96"/>
      <c r="M199" s="96"/>
      <c r="N199" s="96"/>
      <c r="O199" s="126"/>
      <c r="P199" s="97"/>
      <c r="Q199" s="97"/>
    </row>
    <row r="200" spans="1:17" ht="33.7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63-1-1</v>
      </c>
      <c r="B200" s="196"/>
      <c r="C200" s="199"/>
      <c r="D200" s="196"/>
      <c r="E200" s="198" t="s">
        <v>239</v>
      </c>
      <c r="F200" s="94" t="s">
        <v>278</v>
      </c>
      <c r="G200" s="95" t="s">
        <v>620</v>
      </c>
      <c r="H200" s="96"/>
      <c r="I200" s="96"/>
      <c r="J200" s="97"/>
      <c r="K200" s="97"/>
      <c r="L200" s="96"/>
      <c r="M200" s="96"/>
      <c r="N200" s="96"/>
      <c r="O200" s="126"/>
      <c r="P200" s="97"/>
      <c r="Q200" s="97"/>
    </row>
    <row r="201" spans="1:17" ht="22.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64-1-1</v>
      </c>
      <c r="B201" s="198"/>
      <c r="C201" s="200"/>
      <c r="D201" s="198"/>
      <c r="E201" s="200" t="s">
        <v>279</v>
      </c>
      <c r="F201" s="94" t="s">
        <v>280</v>
      </c>
      <c r="G201" s="91" t="s">
        <v>604</v>
      </c>
      <c r="H201" s="96"/>
      <c r="I201" s="96"/>
      <c r="J201" s="97"/>
      <c r="K201" s="97"/>
      <c r="L201" s="96"/>
      <c r="M201" s="96"/>
      <c r="N201" s="96"/>
      <c r="O201" s="126"/>
      <c r="P201" s="97"/>
      <c r="Q201" s="97"/>
    </row>
    <row r="202" spans="1:17" ht="22.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65-1-1</v>
      </c>
      <c r="B202" s="195" t="s">
        <v>281</v>
      </c>
      <c r="C202" s="195" t="s">
        <v>194</v>
      </c>
      <c r="D202" s="126" t="s">
        <v>282</v>
      </c>
      <c r="E202" s="126" t="s">
        <v>495</v>
      </c>
      <c r="F202" s="94" t="s">
        <v>283</v>
      </c>
      <c r="G202" s="91" t="s">
        <v>494</v>
      </c>
      <c r="H202" s="96"/>
      <c r="I202" s="96"/>
      <c r="J202" s="97"/>
      <c r="K202" s="97"/>
      <c r="L202" s="96"/>
      <c r="M202" s="96"/>
      <c r="N202" s="96"/>
      <c r="O202" s="126"/>
      <c r="P202" s="97"/>
      <c r="Q202" s="97"/>
    </row>
    <row r="203" spans="1:17" ht="22.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66-1-1</v>
      </c>
      <c r="B203" s="196"/>
      <c r="C203" s="199"/>
      <c r="D203" s="126" t="s">
        <v>284</v>
      </c>
      <c r="E203" s="198" t="s">
        <v>54</v>
      </c>
      <c r="F203" s="94" t="s">
        <v>285</v>
      </c>
      <c r="G203" s="91" t="s">
        <v>494</v>
      </c>
      <c r="H203" s="96"/>
      <c r="I203" s="96"/>
      <c r="J203" s="97"/>
      <c r="K203" s="97"/>
      <c r="L203" s="96"/>
      <c r="M203" s="96"/>
      <c r="N203" s="96"/>
      <c r="O203" s="126"/>
      <c r="P203" s="97"/>
      <c r="Q203" s="97"/>
    </row>
    <row r="204" spans="1:17" ht="22.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67-1-1</v>
      </c>
      <c r="B204" s="198"/>
      <c r="C204" s="200"/>
      <c r="D204" s="200" t="s">
        <v>548</v>
      </c>
      <c r="E204" s="200" t="s">
        <v>54</v>
      </c>
      <c r="F204" s="94" t="s">
        <v>287</v>
      </c>
      <c r="G204" s="91" t="s">
        <v>494</v>
      </c>
      <c r="H204" s="96"/>
      <c r="I204" s="96"/>
      <c r="J204" s="97"/>
      <c r="K204" s="97"/>
      <c r="L204" s="96"/>
      <c r="M204" s="96"/>
      <c r="N204" s="96"/>
      <c r="O204" s="126"/>
      <c r="P204" s="97"/>
      <c r="Q204" s="97"/>
    </row>
    <row r="205" spans="1:17" ht="22.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68-1-1</v>
      </c>
      <c r="B205" s="202" t="s">
        <v>288</v>
      </c>
      <c r="C205" s="202" t="s">
        <v>194</v>
      </c>
      <c r="D205" s="202" t="s">
        <v>499</v>
      </c>
      <c r="E205" s="129" t="s">
        <v>289</v>
      </c>
      <c r="F205" s="66" t="s">
        <v>290</v>
      </c>
      <c r="G205" s="64" t="s">
        <v>563</v>
      </c>
      <c r="H205" s="49"/>
      <c r="I205" s="49"/>
      <c r="J205" s="97"/>
      <c r="K205" s="46"/>
      <c r="L205" s="49"/>
      <c r="M205" s="49"/>
      <c r="N205" s="49"/>
      <c r="O205" s="129"/>
      <c r="P205" s="46"/>
      <c r="Q205" s="46"/>
    </row>
    <row r="206" spans="1:17" ht="22.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69-1-1</v>
      </c>
      <c r="B206" s="203"/>
      <c r="C206" s="219"/>
      <c r="D206" s="203"/>
      <c r="E206" s="204" t="s">
        <v>61</v>
      </c>
      <c r="F206" s="66" t="s">
        <v>291</v>
      </c>
      <c r="G206" s="64" t="s">
        <v>563</v>
      </c>
      <c r="H206" s="49"/>
      <c r="I206" s="49"/>
      <c r="J206" s="97"/>
      <c r="K206" s="46"/>
      <c r="L206" s="49"/>
      <c r="M206" s="49"/>
      <c r="N206" s="49"/>
      <c r="O206" s="129"/>
      <c r="P206" s="46"/>
      <c r="Q206" s="46"/>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69-2-1</v>
      </c>
      <c r="B207" s="203"/>
      <c r="C207" s="220"/>
      <c r="D207" s="203"/>
      <c r="E207" s="206"/>
      <c r="F207" s="66" t="s">
        <v>292</v>
      </c>
      <c r="G207" s="64" t="s">
        <v>563</v>
      </c>
      <c r="H207" s="49"/>
      <c r="I207" s="49"/>
      <c r="J207" s="97"/>
      <c r="K207" s="46"/>
      <c r="L207" s="49"/>
      <c r="M207" s="49"/>
      <c r="N207" s="49"/>
      <c r="O207" s="129"/>
      <c r="P207" s="46"/>
      <c r="Q207" s="46"/>
    </row>
    <row r="208" spans="1:17" ht="22.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70-1-1</v>
      </c>
      <c r="B208" s="203"/>
      <c r="C208" s="204"/>
      <c r="D208" s="203"/>
      <c r="E208" s="204" t="s">
        <v>293</v>
      </c>
      <c r="F208" s="66" t="s">
        <v>294</v>
      </c>
      <c r="G208" s="64" t="s">
        <v>563</v>
      </c>
      <c r="H208" s="49"/>
      <c r="I208" s="49"/>
      <c r="J208" s="97"/>
      <c r="K208" s="46"/>
      <c r="L208" s="49"/>
      <c r="M208" s="49"/>
      <c r="N208" s="49"/>
      <c r="O208" s="129"/>
      <c r="P208" s="46"/>
      <c r="Q208" s="46"/>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70-2-1</v>
      </c>
      <c r="B209" s="203"/>
      <c r="C209" s="204"/>
      <c r="D209" s="221"/>
      <c r="E209" s="206"/>
      <c r="F209" s="66" t="s">
        <v>295</v>
      </c>
      <c r="G209" s="64" t="s">
        <v>563</v>
      </c>
      <c r="H209" s="49"/>
      <c r="I209" s="49"/>
      <c r="J209" s="46"/>
      <c r="K209" s="46"/>
      <c r="L209" s="49"/>
      <c r="M209" s="49"/>
      <c r="N209" s="49"/>
      <c r="O209" s="129"/>
      <c r="P209" s="46"/>
      <c r="Q209" s="46"/>
    </row>
    <row r="210" spans="1:17" ht="33.7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71-1-1</v>
      </c>
      <c r="B210" s="203"/>
      <c r="C210" s="206"/>
      <c r="D210" s="206" t="s">
        <v>496</v>
      </c>
      <c r="E210" s="206" t="s">
        <v>499</v>
      </c>
      <c r="F210" s="66" t="s">
        <v>296</v>
      </c>
      <c r="G210" s="64" t="s">
        <v>563</v>
      </c>
      <c r="H210" s="49"/>
      <c r="I210" s="49"/>
      <c r="J210" s="46"/>
      <c r="K210" s="46"/>
      <c r="L210" s="49"/>
      <c r="M210" s="49"/>
      <c r="N210" s="49"/>
      <c r="O210" s="129"/>
      <c r="P210" s="46"/>
      <c r="Q210" s="46"/>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72-1-1</v>
      </c>
      <c r="B211" s="203"/>
      <c r="C211" s="204" t="s">
        <v>297</v>
      </c>
      <c r="D211" s="203" t="s">
        <v>549</v>
      </c>
      <c r="E211" s="204" t="s">
        <v>299</v>
      </c>
      <c r="F211" s="66" t="s">
        <v>300</v>
      </c>
      <c r="G211" s="64" t="s">
        <v>563</v>
      </c>
      <c r="H211" s="49"/>
      <c r="I211" s="49"/>
      <c r="J211" s="46"/>
      <c r="K211" s="46"/>
      <c r="L211" s="49"/>
      <c r="M211" s="49"/>
      <c r="N211" s="49"/>
      <c r="O211" s="129"/>
      <c r="P211" s="46"/>
      <c r="Q211" s="46"/>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72-2-1</v>
      </c>
      <c r="B212" s="203"/>
      <c r="C212" s="220"/>
      <c r="D212" s="203"/>
      <c r="E212" s="204"/>
      <c r="F212" s="66" t="s">
        <v>301</v>
      </c>
      <c r="G212" s="64" t="s">
        <v>563</v>
      </c>
      <c r="H212" s="49"/>
      <c r="I212" s="49"/>
      <c r="J212" s="46"/>
      <c r="K212" s="46"/>
      <c r="L212" s="49"/>
      <c r="M212" s="49"/>
      <c r="N212" s="49"/>
      <c r="O212" s="129"/>
      <c r="P212" s="46"/>
      <c r="Q212" s="46"/>
    </row>
    <row r="213" spans="1:17" ht="22.5">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72-3-1</v>
      </c>
      <c r="B213" s="203"/>
      <c r="C213" s="220"/>
      <c r="D213" s="203"/>
      <c r="E213" s="204"/>
      <c r="F213" s="66" t="s">
        <v>302</v>
      </c>
      <c r="G213" s="64" t="s">
        <v>563</v>
      </c>
      <c r="H213" s="49"/>
      <c r="I213" s="49"/>
      <c r="J213" s="46"/>
      <c r="K213" s="46"/>
      <c r="L213" s="49"/>
      <c r="M213" s="49"/>
      <c r="N213" s="49"/>
      <c r="O213" s="129"/>
      <c r="P213" s="46"/>
      <c r="Q213" s="46"/>
    </row>
    <row r="214" spans="1:17" ht="22.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72-4-1</v>
      </c>
      <c r="B214" s="203"/>
      <c r="C214" s="220"/>
      <c r="D214" s="203"/>
      <c r="E214" s="204"/>
      <c r="F214" s="66" t="s">
        <v>303</v>
      </c>
      <c r="G214" s="64" t="s">
        <v>563</v>
      </c>
      <c r="H214" s="49"/>
      <c r="I214" s="49"/>
      <c r="J214" s="46"/>
      <c r="K214" s="46"/>
      <c r="L214" s="49"/>
      <c r="M214" s="49"/>
      <c r="N214" s="49"/>
      <c r="O214" s="129"/>
      <c r="P214" s="46"/>
      <c r="Q214" s="46"/>
    </row>
    <row r="215" spans="1:17" ht="22.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72-5-1</v>
      </c>
      <c r="B215" s="203"/>
      <c r="C215" s="220"/>
      <c r="D215" s="203"/>
      <c r="E215" s="204"/>
      <c r="F215" s="66" t="s">
        <v>304</v>
      </c>
      <c r="G215" s="64" t="s">
        <v>563</v>
      </c>
      <c r="H215" s="49"/>
      <c r="I215" s="49"/>
      <c r="J215" s="46"/>
      <c r="K215" s="46"/>
      <c r="L215" s="49"/>
      <c r="M215" s="49"/>
      <c r="N215" s="49"/>
      <c r="O215" s="129"/>
      <c r="P215" s="46"/>
      <c r="Q215" s="46"/>
    </row>
    <row r="216" spans="1:17" ht="22.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72-6-1</v>
      </c>
      <c r="B216" s="203"/>
      <c r="C216" s="220"/>
      <c r="D216" s="203"/>
      <c r="E216" s="204"/>
      <c r="F216" s="66" t="s">
        <v>305</v>
      </c>
      <c r="G216" s="64" t="s">
        <v>563</v>
      </c>
      <c r="H216" s="49"/>
      <c r="I216" s="49"/>
      <c r="J216" s="46"/>
      <c r="K216" s="46"/>
      <c r="L216" s="49"/>
      <c r="M216" s="49"/>
      <c r="N216" s="49"/>
      <c r="O216" s="129"/>
      <c r="P216" s="46"/>
      <c r="Q216" s="46"/>
    </row>
    <row r="217" spans="1:17" ht="22.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72-7-1</v>
      </c>
      <c r="B217" s="203"/>
      <c r="C217" s="220"/>
      <c r="D217" s="203"/>
      <c r="E217" s="206"/>
      <c r="F217" s="66" t="s">
        <v>306</v>
      </c>
      <c r="G217" s="64" t="s">
        <v>563</v>
      </c>
      <c r="H217" s="49"/>
      <c r="I217" s="49"/>
      <c r="J217" s="46"/>
      <c r="K217" s="46"/>
      <c r="L217" s="49"/>
      <c r="M217" s="49"/>
      <c r="N217" s="49"/>
      <c r="O217" s="129"/>
      <c r="P217" s="46"/>
      <c r="Q217" s="46"/>
    </row>
    <row r="218" spans="1:17" ht="22.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73-1-1</v>
      </c>
      <c r="B218" s="203"/>
      <c r="C218" s="219"/>
      <c r="D218" s="206"/>
      <c r="E218" s="129" t="s">
        <v>307</v>
      </c>
      <c r="F218" s="66" t="s">
        <v>550</v>
      </c>
      <c r="G218" s="64" t="s">
        <v>563</v>
      </c>
      <c r="H218" s="49"/>
      <c r="I218" s="49"/>
      <c r="J218" s="46"/>
      <c r="K218" s="46"/>
      <c r="L218" s="49"/>
      <c r="M218" s="49"/>
      <c r="N218" s="49"/>
      <c r="O218" s="129"/>
      <c r="P218" s="46"/>
      <c r="Q218" s="46"/>
    </row>
    <row r="219" spans="1:17" ht="22.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74-1-1</v>
      </c>
      <c r="B219" s="203"/>
      <c r="C219" s="219"/>
      <c r="D219" s="203" t="s">
        <v>309</v>
      </c>
      <c r="E219" s="204" t="s">
        <v>127</v>
      </c>
      <c r="F219" s="66" t="s">
        <v>310</v>
      </c>
      <c r="G219" s="64" t="s">
        <v>563</v>
      </c>
      <c r="H219" s="49"/>
      <c r="I219" s="49"/>
      <c r="J219" s="46"/>
      <c r="K219" s="46"/>
      <c r="L219" s="49"/>
      <c r="M219" s="49"/>
      <c r="N219" s="49"/>
      <c r="O219" s="129"/>
      <c r="P219" s="46"/>
      <c r="Q219" s="46"/>
    </row>
    <row r="220" spans="1:17" ht="22.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74-2-1</v>
      </c>
      <c r="B220" s="203"/>
      <c r="C220" s="219"/>
      <c r="D220" s="203"/>
      <c r="E220" s="204"/>
      <c r="F220" s="66" t="s">
        <v>311</v>
      </c>
      <c r="G220" s="64" t="s">
        <v>563</v>
      </c>
      <c r="H220" s="49"/>
      <c r="I220" s="49"/>
      <c r="J220" s="46"/>
      <c r="K220" s="46"/>
      <c r="L220" s="49"/>
      <c r="M220" s="49"/>
      <c r="N220" s="49"/>
      <c r="O220" s="129"/>
      <c r="P220" s="46"/>
      <c r="Q220" s="46"/>
    </row>
    <row r="221" spans="1:17">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74-3-1</v>
      </c>
      <c r="B221" s="203"/>
      <c r="C221" s="219"/>
      <c r="D221" s="203"/>
      <c r="E221" s="204"/>
      <c r="F221" s="66" t="s">
        <v>312</v>
      </c>
      <c r="G221" s="64" t="s">
        <v>563</v>
      </c>
      <c r="H221" s="49"/>
      <c r="I221" s="49"/>
      <c r="J221" s="46"/>
      <c r="K221" s="46"/>
      <c r="L221" s="49"/>
      <c r="M221" s="49"/>
      <c r="N221" s="49"/>
      <c r="O221" s="129"/>
      <c r="P221" s="46"/>
      <c r="Q221" s="46"/>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74-4-1</v>
      </c>
      <c r="B222" s="203"/>
      <c r="C222" s="219"/>
      <c r="D222" s="203"/>
      <c r="E222" s="204"/>
      <c r="F222" s="66" t="s">
        <v>313</v>
      </c>
      <c r="G222" s="64" t="s">
        <v>563</v>
      </c>
      <c r="H222" s="49"/>
      <c r="I222" s="49"/>
      <c r="J222" s="46"/>
      <c r="K222" s="46"/>
      <c r="L222" s="49"/>
      <c r="M222" s="49"/>
      <c r="N222" s="49"/>
      <c r="O222" s="129"/>
      <c r="P222" s="46"/>
      <c r="Q222" s="46"/>
    </row>
    <row r="223" spans="1:17" ht="33.7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74-5-1</v>
      </c>
      <c r="B223" s="203"/>
      <c r="C223" s="219"/>
      <c r="D223" s="203"/>
      <c r="E223" s="204"/>
      <c r="F223" s="66" t="s">
        <v>314</v>
      </c>
      <c r="G223" s="64" t="s">
        <v>563</v>
      </c>
      <c r="H223" s="49"/>
      <c r="I223" s="49"/>
      <c r="J223" s="46"/>
      <c r="K223" s="46"/>
      <c r="L223" s="49"/>
      <c r="M223" s="49"/>
      <c r="N223" s="49"/>
      <c r="O223" s="129"/>
      <c r="P223" s="46"/>
      <c r="Q223" s="46"/>
    </row>
    <row r="224" spans="1:17" ht="33.7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74-6-1</v>
      </c>
      <c r="B224" s="203"/>
      <c r="C224" s="219"/>
      <c r="D224" s="203"/>
      <c r="E224" s="204"/>
      <c r="F224" s="66" t="s">
        <v>315</v>
      </c>
      <c r="G224" s="64" t="s">
        <v>563</v>
      </c>
      <c r="H224" s="49"/>
      <c r="I224" s="49"/>
      <c r="J224" s="46"/>
      <c r="K224" s="46"/>
      <c r="L224" s="49"/>
      <c r="M224" s="49"/>
      <c r="N224" s="49"/>
      <c r="O224" s="129"/>
      <c r="P224" s="46"/>
      <c r="Q224" s="46"/>
    </row>
    <row r="225" spans="1:17" ht="4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74-7-1</v>
      </c>
      <c r="B225" s="203"/>
      <c r="C225" s="219"/>
      <c r="D225" s="203"/>
      <c r="E225" s="204"/>
      <c r="F225" s="66" t="s">
        <v>551</v>
      </c>
      <c r="G225" s="64" t="s">
        <v>563</v>
      </c>
      <c r="H225" s="49"/>
      <c r="I225" s="49"/>
      <c r="J225" s="46"/>
      <c r="K225" s="46"/>
      <c r="L225" s="49"/>
      <c r="M225" s="49"/>
      <c r="N225" s="49"/>
      <c r="O225" s="129"/>
      <c r="P225" s="46"/>
      <c r="Q225" s="46"/>
    </row>
    <row r="226" spans="1:17" ht="33.7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74-8-1</v>
      </c>
      <c r="B226" s="203"/>
      <c r="C226" s="219"/>
      <c r="D226" s="203"/>
      <c r="E226" s="204"/>
      <c r="F226" s="66" t="s">
        <v>317</v>
      </c>
      <c r="G226" s="64" t="s">
        <v>563</v>
      </c>
      <c r="H226" s="49"/>
      <c r="I226" s="49"/>
      <c r="J226" s="46"/>
      <c r="K226" s="46"/>
      <c r="L226" s="49"/>
      <c r="M226" s="49"/>
      <c r="N226" s="49"/>
      <c r="O226" s="129"/>
      <c r="P226" s="46"/>
      <c r="Q226" s="46"/>
    </row>
    <row r="227" spans="1:17" ht="33.7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74-9-1</v>
      </c>
      <c r="B227" s="203"/>
      <c r="C227" s="219"/>
      <c r="D227" s="203"/>
      <c r="E227" s="204"/>
      <c r="F227" s="66" t="s">
        <v>318</v>
      </c>
      <c r="G227" s="64" t="s">
        <v>563</v>
      </c>
      <c r="H227" s="49"/>
      <c r="I227" s="49"/>
      <c r="J227" s="46"/>
      <c r="K227" s="46"/>
      <c r="L227" s="49"/>
      <c r="M227" s="49"/>
      <c r="N227" s="49"/>
      <c r="O227" s="129"/>
      <c r="P227" s="46"/>
      <c r="Q227" s="46"/>
    </row>
    <row r="228" spans="1:17" ht="22.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74-10-1</v>
      </c>
      <c r="B228" s="203"/>
      <c r="C228" s="219"/>
      <c r="D228" s="203"/>
      <c r="E228" s="204"/>
      <c r="F228" s="66" t="s">
        <v>319</v>
      </c>
      <c r="G228" s="64" t="s">
        <v>563</v>
      </c>
      <c r="H228" s="49"/>
      <c r="I228" s="49"/>
      <c r="J228" s="46"/>
      <c r="K228" s="46"/>
      <c r="L228" s="49"/>
      <c r="M228" s="49"/>
      <c r="N228" s="49"/>
      <c r="O228" s="129"/>
      <c r="P228" s="46"/>
      <c r="Q228" s="46"/>
    </row>
    <row r="229" spans="1:17" ht="22.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74-11-1</v>
      </c>
      <c r="B229" s="203"/>
      <c r="C229" s="219"/>
      <c r="D229" s="203"/>
      <c r="E229" s="204"/>
      <c r="F229" s="66" t="s">
        <v>320</v>
      </c>
      <c r="G229" s="64" t="s">
        <v>563</v>
      </c>
      <c r="H229" s="49"/>
      <c r="I229" s="49"/>
      <c r="J229" s="46"/>
      <c r="K229" s="46"/>
      <c r="L229" s="49"/>
      <c r="M229" s="49"/>
      <c r="N229" s="49"/>
      <c r="O229" s="129"/>
      <c r="P229" s="46"/>
      <c r="Q229" s="46"/>
    </row>
    <row r="230" spans="1:17" ht="33.7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74-12-1</v>
      </c>
      <c r="B230" s="203"/>
      <c r="C230" s="219"/>
      <c r="D230" s="203"/>
      <c r="E230" s="204"/>
      <c r="F230" s="66" t="s">
        <v>321</v>
      </c>
      <c r="G230" s="64" t="s">
        <v>563</v>
      </c>
      <c r="H230" s="49"/>
      <c r="I230" s="49"/>
      <c r="J230" s="46"/>
      <c r="K230" s="46"/>
      <c r="L230" s="49"/>
      <c r="M230" s="49"/>
      <c r="N230" s="49"/>
      <c r="O230" s="129"/>
      <c r="P230" s="46"/>
      <c r="Q230" s="46"/>
    </row>
    <row r="231" spans="1:17" ht="22.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74-13-1</v>
      </c>
      <c r="B231" s="203"/>
      <c r="C231" s="219"/>
      <c r="D231" s="206"/>
      <c r="E231" s="205"/>
      <c r="F231" s="66" t="s">
        <v>322</v>
      </c>
      <c r="G231" s="64" t="s">
        <v>563</v>
      </c>
      <c r="H231" s="49"/>
      <c r="I231" s="49"/>
      <c r="J231" s="46"/>
      <c r="K231" s="46"/>
      <c r="L231" s="49"/>
      <c r="M231" s="49"/>
      <c r="N231" s="49"/>
      <c r="O231" s="129"/>
      <c r="P231" s="46"/>
      <c r="Q231" s="46"/>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75-1-1</v>
      </c>
      <c r="B232" s="203"/>
      <c r="C232" s="219"/>
      <c r="D232" s="202" t="s">
        <v>552</v>
      </c>
      <c r="E232" s="201" t="s">
        <v>127</v>
      </c>
      <c r="F232" s="66" t="s">
        <v>324</v>
      </c>
      <c r="G232" s="64" t="s">
        <v>563</v>
      </c>
      <c r="H232" s="49"/>
      <c r="I232" s="49"/>
      <c r="J232" s="46"/>
      <c r="K232" s="46"/>
      <c r="L232" s="49"/>
      <c r="M232" s="49"/>
      <c r="N232" s="49"/>
      <c r="O232" s="129"/>
      <c r="P232" s="46"/>
      <c r="Q232" s="46"/>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75-2-1</v>
      </c>
      <c r="B233" s="203"/>
      <c r="C233" s="219"/>
      <c r="D233" s="203"/>
      <c r="E233" s="204"/>
      <c r="F233" s="66" t="s">
        <v>325</v>
      </c>
      <c r="G233" s="64" t="s">
        <v>563</v>
      </c>
      <c r="H233" s="49"/>
      <c r="I233" s="49"/>
      <c r="J233" s="46"/>
      <c r="K233" s="46"/>
      <c r="L233" s="49"/>
      <c r="M233" s="49"/>
      <c r="N233" s="49"/>
      <c r="O233" s="129"/>
      <c r="P233" s="46"/>
      <c r="Q233" s="46"/>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75-3-1</v>
      </c>
      <c r="B234" s="203"/>
      <c r="C234" s="219"/>
      <c r="D234" s="203"/>
      <c r="E234" s="204"/>
      <c r="F234" s="66" t="s">
        <v>326</v>
      </c>
      <c r="G234" s="64" t="s">
        <v>563</v>
      </c>
      <c r="H234" s="49"/>
      <c r="I234" s="49"/>
      <c r="J234" s="46"/>
      <c r="K234" s="46"/>
      <c r="L234" s="49"/>
      <c r="M234" s="49"/>
      <c r="N234" s="49"/>
      <c r="O234" s="129"/>
      <c r="P234" s="46"/>
      <c r="Q234" s="46"/>
    </row>
    <row r="235" spans="1:17">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75-4-1</v>
      </c>
      <c r="B235" s="203"/>
      <c r="C235" s="219"/>
      <c r="D235" s="203"/>
      <c r="E235" s="204"/>
      <c r="F235" s="66" t="s">
        <v>312</v>
      </c>
      <c r="G235" s="64" t="s">
        <v>563</v>
      </c>
      <c r="H235" s="49"/>
      <c r="I235" s="49"/>
      <c r="J235" s="46"/>
      <c r="K235" s="46"/>
      <c r="L235" s="49"/>
      <c r="M235" s="49"/>
      <c r="N235" s="49"/>
      <c r="O235" s="129"/>
      <c r="P235" s="46"/>
      <c r="Q235" s="46"/>
    </row>
    <row r="236" spans="1:17" ht="22.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75-5-1</v>
      </c>
      <c r="B236" s="203"/>
      <c r="C236" s="219"/>
      <c r="D236" s="203"/>
      <c r="E236" s="204"/>
      <c r="F236" s="66" t="s">
        <v>313</v>
      </c>
      <c r="G236" s="64" t="s">
        <v>563</v>
      </c>
      <c r="H236" s="49"/>
      <c r="I236" s="49"/>
      <c r="J236" s="46"/>
      <c r="K236" s="46"/>
      <c r="L236" s="49"/>
      <c r="M236" s="49"/>
      <c r="N236" s="49"/>
      <c r="O236" s="129"/>
      <c r="P236" s="46"/>
      <c r="Q236" s="46"/>
    </row>
    <row r="237" spans="1:17" ht="4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75-6-1</v>
      </c>
      <c r="B237" s="203"/>
      <c r="C237" s="219"/>
      <c r="D237" s="203"/>
      <c r="E237" s="204"/>
      <c r="F237" s="66" t="s">
        <v>327</v>
      </c>
      <c r="G237" s="64" t="s">
        <v>563</v>
      </c>
      <c r="H237" s="49"/>
      <c r="I237" s="49"/>
      <c r="J237" s="46"/>
      <c r="K237" s="46"/>
      <c r="L237" s="49"/>
      <c r="M237" s="49"/>
      <c r="N237" s="49"/>
      <c r="O237" s="129"/>
      <c r="P237" s="46"/>
      <c r="Q237" s="46"/>
    </row>
    <row r="238" spans="1:17" ht="33.7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75-7-1</v>
      </c>
      <c r="B238" s="203"/>
      <c r="C238" s="219"/>
      <c r="D238" s="203"/>
      <c r="E238" s="204"/>
      <c r="F238" s="66" t="s">
        <v>328</v>
      </c>
      <c r="G238" s="64" t="s">
        <v>563</v>
      </c>
      <c r="H238" s="49"/>
      <c r="I238" s="49"/>
      <c r="J238" s="46"/>
      <c r="K238" s="46"/>
      <c r="L238" s="49"/>
      <c r="M238" s="49"/>
      <c r="N238" s="49"/>
      <c r="O238" s="129"/>
      <c r="P238" s="46"/>
      <c r="Q238" s="46"/>
    </row>
    <row r="239" spans="1:17" ht="33.7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75-8-1</v>
      </c>
      <c r="B239" s="203"/>
      <c r="C239" s="219"/>
      <c r="D239" s="203"/>
      <c r="E239" s="204"/>
      <c r="F239" s="66" t="s">
        <v>553</v>
      </c>
      <c r="G239" s="64" t="s">
        <v>563</v>
      </c>
      <c r="H239" s="49"/>
      <c r="I239" s="49"/>
      <c r="J239" s="46"/>
      <c r="K239" s="46"/>
      <c r="L239" s="49"/>
      <c r="M239" s="49"/>
      <c r="N239" s="49"/>
      <c r="O239" s="129"/>
      <c r="P239" s="46"/>
      <c r="Q239" s="46"/>
    </row>
    <row r="240" spans="1:17" ht="4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75-9-1</v>
      </c>
      <c r="B240" s="203"/>
      <c r="C240" s="219"/>
      <c r="D240" s="203"/>
      <c r="E240" s="204"/>
      <c r="F240" s="66" t="s">
        <v>554</v>
      </c>
      <c r="G240" s="64" t="s">
        <v>563</v>
      </c>
      <c r="H240" s="49"/>
      <c r="I240" s="49"/>
      <c r="J240" s="46"/>
      <c r="K240" s="46"/>
      <c r="L240" s="49"/>
      <c r="M240" s="49"/>
      <c r="N240" s="49"/>
      <c r="O240" s="129"/>
      <c r="P240" s="46"/>
      <c r="Q240" s="46"/>
    </row>
    <row r="241" spans="1:17" ht="33.7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75-10-1</v>
      </c>
      <c r="B241" s="203"/>
      <c r="C241" s="219"/>
      <c r="D241" s="203"/>
      <c r="E241" s="204"/>
      <c r="F241" s="66" t="s">
        <v>330</v>
      </c>
      <c r="G241" s="64" t="s">
        <v>563</v>
      </c>
      <c r="H241" s="49"/>
      <c r="I241" s="49"/>
      <c r="J241" s="46"/>
      <c r="K241" s="46"/>
      <c r="L241" s="49"/>
      <c r="M241" s="49"/>
      <c r="N241" s="49"/>
      <c r="O241" s="129"/>
      <c r="P241" s="46"/>
      <c r="Q241" s="46"/>
    </row>
    <row r="242" spans="1:17" ht="33.7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75-11-1</v>
      </c>
      <c r="B242" s="203"/>
      <c r="C242" s="219"/>
      <c r="D242" s="203"/>
      <c r="E242" s="204"/>
      <c r="F242" s="66" t="s">
        <v>331</v>
      </c>
      <c r="G242" s="64" t="s">
        <v>563</v>
      </c>
      <c r="H242" s="49"/>
      <c r="I242" s="49"/>
      <c r="J242" s="46"/>
      <c r="K242" s="46"/>
      <c r="L242" s="49"/>
      <c r="M242" s="49"/>
      <c r="N242" s="49"/>
      <c r="O242" s="129"/>
      <c r="P242" s="46"/>
      <c r="Q242" s="46"/>
    </row>
    <row r="243" spans="1:17" ht="22.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75-12-1</v>
      </c>
      <c r="B243" s="203"/>
      <c r="C243" s="219"/>
      <c r="D243" s="203"/>
      <c r="E243" s="204"/>
      <c r="F243" s="66" t="s">
        <v>332</v>
      </c>
      <c r="G243" s="64" t="s">
        <v>563</v>
      </c>
      <c r="H243" s="49"/>
      <c r="I243" s="49"/>
      <c r="J243" s="46"/>
      <c r="K243" s="46"/>
      <c r="L243" s="49"/>
      <c r="M243" s="49"/>
      <c r="N243" s="49"/>
      <c r="O243" s="129"/>
      <c r="P243" s="46"/>
      <c r="Q243" s="46"/>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75-13-1</v>
      </c>
      <c r="B244" s="203"/>
      <c r="C244" s="219"/>
      <c r="D244" s="203"/>
      <c r="E244" s="204"/>
      <c r="F244" s="66" t="s">
        <v>333</v>
      </c>
      <c r="G244" s="64" t="s">
        <v>563</v>
      </c>
      <c r="H244" s="49"/>
      <c r="I244" s="49"/>
      <c r="J244" s="46"/>
      <c r="K244" s="46"/>
      <c r="L244" s="49"/>
      <c r="M244" s="49"/>
      <c r="N244" s="49"/>
      <c r="O244" s="129"/>
      <c r="P244" s="46"/>
      <c r="Q244" s="46"/>
    </row>
    <row r="245" spans="1:17" ht="33.7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75-14-1</v>
      </c>
      <c r="B245" s="203"/>
      <c r="C245" s="219"/>
      <c r="D245" s="203"/>
      <c r="E245" s="204"/>
      <c r="F245" s="66" t="s">
        <v>334</v>
      </c>
      <c r="G245" s="64" t="s">
        <v>563</v>
      </c>
      <c r="H245" s="49"/>
      <c r="I245" s="49"/>
      <c r="J245" s="46"/>
      <c r="K245" s="46"/>
      <c r="L245" s="49"/>
      <c r="M245" s="49"/>
      <c r="N245" s="49"/>
      <c r="O245" s="129"/>
      <c r="P245" s="46"/>
      <c r="Q245" s="46"/>
    </row>
    <row r="246" spans="1:17" ht="22.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75-15-1</v>
      </c>
      <c r="B246" s="203"/>
      <c r="C246" s="219"/>
      <c r="D246" s="203"/>
      <c r="E246" s="206"/>
      <c r="F246" s="66" t="s">
        <v>322</v>
      </c>
      <c r="G246" s="64" t="s">
        <v>563</v>
      </c>
      <c r="H246" s="49"/>
      <c r="I246" s="49"/>
      <c r="J246" s="46"/>
      <c r="K246" s="46"/>
      <c r="L246" s="49"/>
      <c r="M246" s="49"/>
      <c r="N246" s="49"/>
      <c r="O246" s="129"/>
      <c r="P246" s="46"/>
      <c r="Q246" s="46"/>
    </row>
    <row r="247" spans="1:17" ht="4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76-1-1</v>
      </c>
      <c r="B247" s="203"/>
      <c r="C247" s="219"/>
      <c r="D247" s="203"/>
      <c r="E247" s="204" t="s">
        <v>335</v>
      </c>
      <c r="F247" s="66" t="s">
        <v>336</v>
      </c>
      <c r="G247" s="64" t="s">
        <v>563</v>
      </c>
      <c r="H247" s="49"/>
      <c r="I247" s="49"/>
      <c r="J247" s="46"/>
      <c r="K247" s="46"/>
      <c r="L247" s="49"/>
      <c r="M247" s="49"/>
      <c r="N247" s="49"/>
      <c r="O247" s="129"/>
      <c r="P247" s="46"/>
      <c r="Q247" s="46"/>
    </row>
    <row r="248" spans="1:17" ht="4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76-2-1</v>
      </c>
      <c r="B248" s="203"/>
      <c r="C248" s="219"/>
      <c r="D248" s="203"/>
      <c r="E248" s="204"/>
      <c r="F248" s="66" t="s">
        <v>337</v>
      </c>
      <c r="G248" s="64" t="s">
        <v>563</v>
      </c>
      <c r="H248" s="49"/>
      <c r="I248" s="49"/>
      <c r="J248" s="46"/>
      <c r="K248" s="46"/>
      <c r="L248" s="49"/>
      <c r="M248" s="49"/>
      <c r="N248" s="49"/>
      <c r="O248" s="129"/>
      <c r="P248" s="46"/>
      <c r="Q248" s="46"/>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76-3-1</v>
      </c>
      <c r="B249" s="203"/>
      <c r="C249" s="219"/>
      <c r="D249" s="203"/>
      <c r="E249" s="206"/>
      <c r="F249" s="66" t="s">
        <v>338</v>
      </c>
      <c r="G249" s="64" t="s">
        <v>563</v>
      </c>
      <c r="H249" s="49"/>
      <c r="I249" s="49"/>
      <c r="J249" s="46"/>
      <c r="K249" s="46"/>
      <c r="L249" s="49"/>
      <c r="M249" s="49"/>
      <c r="N249" s="49"/>
      <c r="O249" s="129"/>
      <c r="P249" s="46"/>
      <c r="Q249" s="46"/>
    </row>
    <row r="250" spans="1:17" ht="33.7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77-1-1</v>
      </c>
      <c r="B250" s="203"/>
      <c r="C250" s="219"/>
      <c r="D250" s="203"/>
      <c r="E250" s="129" t="s">
        <v>152</v>
      </c>
      <c r="F250" s="66" t="s">
        <v>555</v>
      </c>
      <c r="G250" s="64" t="s">
        <v>563</v>
      </c>
      <c r="H250" s="49"/>
      <c r="I250" s="49"/>
      <c r="J250" s="46"/>
      <c r="K250" s="46"/>
      <c r="L250" s="49"/>
      <c r="M250" s="49"/>
      <c r="N250" s="49"/>
      <c r="O250" s="129"/>
      <c r="P250" s="46"/>
      <c r="Q250" s="46"/>
    </row>
    <row r="251" spans="1:17" ht="22.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78-1-1</v>
      </c>
      <c r="B251" s="206"/>
      <c r="C251" s="206"/>
      <c r="D251" s="206"/>
      <c r="E251" s="222" t="s">
        <v>340</v>
      </c>
      <c r="F251" s="66" t="s">
        <v>341</v>
      </c>
      <c r="G251" s="64" t="s">
        <v>563</v>
      </c>
      <c r="H251" s="49"/>
      <c r="I251" s="49"/>
      <c r="J251" s="46"/>
      <c r="K251" s="46"/>
      <c r="L251" s="49"/>
      <c r="M251" s="49"/>
      <c r="N251" s="49"/>
      <c r="O251" s="129"/>
      <c r="P251" s="46"/>
      <c r="Q251" s="46"/>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79-1-1</v>
      </c>
      <c r="B252" s="202" t="s">
        <v>342</v>
      </c>
      <c r="C252" s="202" t="s">
        <v>194</v>
      </c>
      <c r="D252" s="202" t="s">
        <v>499</v>
      </c>
      <c r="E252" s="129" t="s">
        <v>499</v>
      </c>
      <c r="F252" s="66" t="s">
        <v>343</v>
      </c>
      <c r="G252" s="64" t="s">
        <v>605</v>
      </c>
      <c r="H252" s="49"/>
      <c r="I252" s="49"/>
      <c r="J252" s="46"/>
      <c r="K252" s="46"/>
      <c r="L252" s="49"/>
      <c r="M252" s="49"/>
      <c r="N252" s="49"/>
      <c r="O252" s="129"/>
      <c r="P252" s="46"/>
      <c r="Q252" s="46"/>
    </row>
    <row r="253" spans="1:17" ht="22.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80-1-1</v>
      </c>
      <c r="B253" s="203"/>
      <c r="C253" s="203"/>
      <c r="D253" s="203"/>
      <c r="E253" s="204" t="s">
        <v>138</v>
      </c>
      <c r="F253" s="66" t="s">
        <v>344</v>
      </c>
      <c r="G253" s="64" t="s">
        <v>605</v>
      </c>
      <c r="H253" s="49"/>
      <c r="I253" s="49"/>
      <c r="J253" s="46"/>
      <c r="K253" s="46"/>
      <c r="L253" s="49"/>
      <c r="M253" s="49"/>
      <c r="N253" s="49"/>
      <c r="O253" s="129"/>
      <c r="P253" s="46"/>
      <c r="Q253" s="46"/>
    </row>
    <row r="254" spans="1:17" ht="22.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80-2-1</v>
      </c>
      <c r="B254" s="203"/>
      <c r="C254" s="203"/>
      <c r="D254" s="203"/>
      <c r="E254" s="204"/>
      <c r="F254" s="66" t="s">
        <v>345</v>
      </c>
      <c r="G254" s="64" t="s">
        <v>605</v>
      </c>
      <c r="H254" s="49"/>
      <c r="I254" s="49"/>
      <c r="J254" s="46"/>
      <c r="K254" s="46"/>
      <c r="L254" s="49"/>
      <c r="M254" s="49"/>
      <c r="N254" s="49"/>
      <c r="O254" s="129"/>
      <c r="P254" s="46"/>
      <c r="Q254" s="46"/>
    </row>
    <row r="255" spans="1:17" ht="22.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80-3-1</v>
      </c>
      <c r="B255" s="203"/>
      <c r="C255" s="203"/>
      <c r="D255" s="203"/>
      <c r="E255" s="204"/>
      <c r="F255" s="66" t="s">
        <v>346</v>
      </c>
      <c r="G255" s="64" t="s">
        <v>605</v>
      </c>
      <c r="H255" s="49"/>
      <c r="I255" s="49"/>
      <c r="J255" s="46"/>
      <c r="K255" s="46"/>
      <c r="L255" s="49"/>
      <c r="M255" s="49"/>
      <c r="N255" s="49"/>
      <c r="O255" s="129"/>
      <c r="P255" s="46"/>
      <c r="Q255" s="46"/>
    </row>
    <row r="256" spans="1:17" ht="22.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80-4-1</v>
      </c>
      <c r="B256" s="203"/>
      <c r="C256" s="203"/>
      <c r="D256" s="203"/>
      <c r="E256" s="204"/>
      <c r="F256" s="66" t="s">
        <v>347</v>
      </c>
      <c r="G256" s="64" t="s">
        <v>605</v>
      </c>
      <c r="H256" s="49"/>
      <c r="I256" s="49"/>
      <c r="J256" s="46"/>
      <c r="K256" s="46"/>
      <c r="L256" s="49"/>
      <c r="M256" s="49"/>
      <c r="N256" s="49"/>
      <c r="O256" s="129"/>
      <c r="P256" s="46"/>
      <c r="Q256" s="46"/>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80-5-1</v>
      </c>
      <c r="B257" s="203"/>
      <c r="C257" s="203"/>
      <c r="D257" s="203"/>
      <c r="E257" s="206"/>
      <c r="F257" s="66" t="s">
        <v>348</v>
      </c>
      <c r="G257" s="64" t="s">
        <v>605</v>
      </c>
      <c r="H257" s="49"/>
      <c r="I257" s="49"/>
      <c r="J257" s="46"/>
      <c r="K257" s="46"/>
      <c r="L257" s="49"/>
      <c r="M257" s="49"/>
      <c r="N257" s="49"/>
      <c r="O257" s="129"/>
      <c r="P257" s="46"/>
      <c r="Q257" s="46"/>
    </row>
    <row r="258" spans="1:17" ht="33.7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81-1-1</v>
      </c>
      <c r="B258" s="203"/>
      <c r="C258" s="203"/>
      <c r="D258" s="203"/>
      <c r="E258" s="204" t="s">
        <v>205</v>
      </c>
      <c r="F258" s="66" t="s">
        <v>349</v>
      </c>
      <c r="G258" s="64" t="s">
        <v>605</v>
      </c>
      <c r="H258" s="49"/>
      <c r="I258" s="49"/>
      <c r="J258" s="46"/>
      <c r="K258" s="46"/>
      <c r="L258" s="49"/>
      <c r="M258" s="49"/>
      <c r="N258" s="49"/>
      <c r="O258" s="129"/>
      <c r="P258" s="46"/>
      <c r="Q258" s="46"/>
    </row>
    <row r="259" spans="1:17" ht="33.7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81-2-1</v>
      </c>
      <c r="B259" s="203"/>
      <c r="C259" s="203"/>
      <c r="D259" s="203"/>
      <c r="E259" s="204"/>
      <c r="F259" s="66" t="s">
        <v>350</v>
      </c>
      <c r="G259" s="64" t="s">
        <v>605</v>
      </c>
      <c r="H259" s="49"/>
      <c r="I259" s="49"/>
      <c r="J259" s="46"/>
      <c r="K259" s="46"/>
      <c r="L259" s="49"/>
      <c r="M259" s="49"/>
      <c r="N259" s="49"/>
      <c r="O259" s="129"/>
      <c r="P259" s="46"/>
      <c r="Q259" s="46"/>
    </row>
    <row r="260" spans="1:17" ht="4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81-3-1</v>
      </c>
      <c r="B260" s="203"/>
      <c r="C260" s="203"/>
      <c r="D260" s="203"/>
      <c r="E260" s="204"/>
      <c r="F260" s="66" t="s">
        <v>351</v>
      </c>
      <c r="G260" s="64" t="s">
        <v>605</v>
      </c>
      <c r="H260" s="49"/>
      <c r="I260" s="49"/>
      <c r="J260" s="46"/>
      <c r="K260" s="46"/>
      <c r="L260" s="49"/>
      <c r="M260" s="49"/>
      <c r="N260" s="49"/>
      <c r="O260" s="129"/>
      <c r="P260" s="46"/>
      <c r="Q260" s="46"/>
    </row>
    <row r="261" spans="1:17" ht="4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81-4-1</v>
      </c>
      <c r="B261" s="203"/>
      <c r="C261" s="203"/>
      <c r="D261" s="203"/>
      <c r="E261" s="204"/>
      <c r="F261" s="66" t="s">
        <v>352</v>
      </c>
      <c r="G261" s="64" t="s">
        <v>605</v>
      </c>
      <c r="H261" s="49"/>
      <c r="I261" s="49"/>
      <c r="J261" s="46"/>
      <c r="K261" s="46"/>
      <c r="L261" s="49"/>
      <c r="M261" s="49"/>
      <c r="N261" s="49"/>
      <c r="O261" s="129"/>
      <c r="P261" s="46"/>
      <c r="Q261" s="46"/>
    </row>
    <row r="262" spans="1:17" ht="33.7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81-5-1</v>
      </c>
      <c r="B262" s="203"/>
      <c r="C262" s="203"/>
      <c r="D262" s="203"/>
      <c r="E262" s="206"/>
      <c r="F262" s="66" t="s">
        <v>353</v>
      </c>
      <c r="G262" s="64" t="s">
        <v>605</v>
      </c>
      <c r="H262" s="49"/>
      <c r="I262" s="49"/>
      <c r="J262" s="46"/>
      <c r="K262" s="46"/>
      <c r="L262" s="49"/>
      <c r="M262" s="49"/>
      <c r="N262" s="49"/>
      <c r="O262" s="129"/>
      <c r="P262" s="46"/>
      <c r="Q262" s="46"/>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82-1-1</v>
      </c>
      <c r="B263" s="203"/>
      <c r="C263" s="206"/>
      <c r="D263" s="206"/>
      <c r="E263" s="206" t="s">
        <v>542</v>
      </c>
      <c r="F263" s="66" t="s">
        <v>354</v>
      </c>
      <c r="G263" s="64" t="s">
        <v>605</v>
      </c>
      <c r="H263" s="49"/>
      <c r="I263" s="49"/>
      <c r="J263" s="46"/>
      <c r="K263" s="46"/>
      <c r="L263" s="49"/>
      <c r="M263" s="49"/>
      <c r="N263" s="49"/>
      <c r="O263" s="129"/>
      <c r="P263" s="46"/>
      <c r="Q263" s="46"/>
    </row>
    <row r="264" spans="1:17" ht="33.75">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83-1-1</v>
      </c>
      <c r="B264" s="206"/>
      <c r="C264" s="206" t="s">
        <v>528</v>
      </c>
      <c r="D264" s="206" t="s">
        <v>214</v>
      </c>
      <c r="E264" s="205" t="s">
        <v>215</v>
      </c>
      <c r="F264" s="66" t="s">
        <v>355</v>
      </c>
      <c r="G264" s="64" t="s">
        <v>605</v>
      </c>
      <c r="H264" s="49"/>
      <c r="I264" s="49"/>
      <c r="J264" s="46"/>
      <c r="K264" s="46"/>
      <c r="L264" s="49"/>
      <c r="M264" s="49"/>
      <c r="N264" s="49"/>
      <c r="O264" s="129"/>
      <c r="P264" s="46"/>
      <c r="Q264" s="46"/>
    </row>
    <row r="265" spans="1:17" ht="22.5">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84-1-1</v>
      </c>
      <c r="B265" s="202" t="s">
        <v>356</v>
      </c>
      <c r="C265" s="202" t="s">
        <v>357</v>
      </c>
      <c r="D265" s="202" t="s">
        <v>499</v>
      </c>
      <c r="E265" s="201" t="s">
        <v>499</v>
      </c>
      <c r="F265" s="66" t="s">
        <v>358</v>
      </c>
      <c r="G265" s="64" t="s">
        <v>605</v>
      </c>
      <c r="H265" s="49"/>
      <c r="I265" s="49"/>
      <c r="J265" s="46"/>
      <c r="K265" s="46"/>
      <c r="L265" s="49"/>
      <c r="M265" s="49"/>
      <c r="N265" s="49"/>
      <c r="O265" s="129"/>
      <c r="P265" s="46"/>
      <c r="Q265" s="46"/>
    </row>
    <row r="266" spans="1:17" ht="22.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84-2-1</v>
      </c>
      <c r="B266" s="203"/>
      <c r="C266" s="203"/>
      <c r="D266" s="206"/>
      <c r="E266" s="206"/>
      <c r="F266" s="66" t="s">
        <v>359</v>
      </c>
      <c r="G266" s="64" t="s">
        <v>605</v>
      </c>
      <c r="H266" s="49"/>
      <c r="I266" s="49"/>
      <c r="J266" s="46"/>
      <c r="K266" s="46"/>
      <c r="L266" s="49"/>
      <c r="M266" s="49"/>
      <c r="N266" s="49"/>
      <c r="O266" s="129"/>
      <c r="P266" s="46"/>
      <c r="Q266" s="46"/>
    </row>
    <row r="267" spans="1:17" ht="33.7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85-1-1</v>
      </c>
      <c r="B267" s="203"/>
      <c r="C267" s="203"/>
      <c r="D267" s="203" t="s">
        <v>496</v>
      </c>
      <c r="E267" s="204" t="s">
        <v>499</v>
      </c>
      <c r="F267" s="66" t="s">
        <v>360</v>
      </c>
      <c r="G267" s="64" t="s">
        <v>605</v>
      </c>
      <c r="H267" s="49"/>
      <c r="I267" s="49"/>
      <c r="J267" s="46"/>
      <c r="K267" s="46"/>
      <c r="L267" s="49"/>
      <c r="M267" s="49"/>
      <c r="N267" s="49"/>
      <c r="O267" s="129"/>
      <c r="P267" s="46"/>
      <c r="Q267" s="46"/>
    </row>
    <row r="268" spans="1:17" ht="33.7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85-2-1</v>
      </c>
      <c r="B268" s="203"/>
      <c r="C268" s="206"/>
      <c r="D268" s="206"/>
      <c r="E268" s="206"/>
      <c r="F268" s="66" t="s">
        <v>361</v>
      </c>
      <c r="G268" s="64" t="s">
        <v>605</v>
      </c>
      <c r="H268" s="49"/>
      <c r="I268" s="49"/>
      <c r="J268" s="46"/>
      <c r="K268" s="46"/>
      <c r="L268" s="49"/>
      <c r="M268" s="49"/>
      <c r="N268" s="49"/>
      <c r="O268" s="129"/>
      <c r="P268" s="46"/>
      <c r="Q268" s="46"/>
    </row>
    <row r="269" spans="1:17" ht="33.7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86-1-1</v>
      </c>
      <c r="B269" s="203"/>
      <c r="C269" s="204" t="s">
        <v>362</v>
      </c>
      <c r="D269" s="203" t="s">
        <v>214</v>
      </c>
      <c r="E269" s="206" t="s">
        <v>232</v>
      </c>
      <c r="F269" s="66" t="s">
        <v>363</v>
      </c>
      <c r="G269" s="64" t="s">
        <v>605</v>
      </c>
      <c r="H269" s="49"/>
      <c r="I269" s="49"/>
      <c r="J269" s="46"/>
      <c r="K269" s="46"/>
      <c r="L269" s="49"/>
      <c r="M269" s="49"/>
      <c r="N269" s="49"/>
      <c r="O269" s="129"/>
      <c r="P269" s="46"/>
      <c r="Q269" s="46"/>
    </row>
    <row r="270" spans="1:17" ht="33.7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87-1-1</v>
      </c>
      <c r="B270" s="203"/>
      <c r="C270" s="204"/>
      <c r="D270" s="203"/>
      <c r="E270" s="206" t="s">
        <v>236</v>
      </c>
      <c r="F270" s="66" t="s">
        <v>364</v>
      </c>
      <c r="G270" s="64" t="s">
        <v>605</v>
      </c>
      <c r="H270" s="49"/>
      <c r="I270" s="49"/>
      <c r="J270" s="46"/>
      <c r="K270" s="46"/>
      <c r="L270" s="49"/>
      <c r="M270" s="49"/>
      <c r="N270" s="49"/>
      <c r="O270" s="129"/>
      <c r="P270" s="46"/>
      <c r="Q270" s="46"/>
    </row>
    <row r="271" spans="1:17" ht="33.7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88-1-1</v>
      </c>
      <c r="B271" s="203"/>
      <c r="C271" s="219"/>
      <c r="D271" s="204"/>
      <c r="E271" s="206" t="s">
        <v>215</v>
      </c>
      <c r="F271" s="66" t="s">
        <v>365</v>
      </c>
      <c r="G271" s="64" t="s">
        <v>605</v>
      </c>
      <c r="H271" s="49"/>
      <c r="I271" s="49"/>
      <c r="J271" s="46"/>
      <c r="K271" s="46"/>
      <c r="L271" s="49"/>
      <c r="M271" s="49"/>
      <c r="N271" s="49"/>
      <c r="O271" s="129"/>
      <c r="P271" s="46"/>
      <c r="Q271" s="46"/>
    </row>
    <row r="272" spans="1:17" ht="33.7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89-1-1</v>
      </c>
      <c r="B272" s="203"/>
      <c r="C272" s="204"/>
      <c r="D272" s="206"/>
      <c r="E272" s="206" t="s">
        <v>239</v>
      </c>
      <c r="F272" s="66" t="s">
        <v>366</v>
      </c>
      <c r="G272" s="64" t="s">
        <v>605</v>
      </c>
      <c r="H272" s="49"/>
      <c r="I272" s="49"/>
      <c r="J272" s="46"/>
      <c r="K272" s="46"/>
      <c r="L272" s="49"/>
      <c r="M272" s="49"/>
      <c r="N272" s="49"/>
      <c r="O272" s="129"/>
      <c r="P272" s="46"/>
      <c r="Q272" s="46"/>
    </row>
    <row r="273" spans="1:17" ht="22.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90-1-1</v>
      </c>
      <c r="B273" s="203"/>
      <c r="C273" s="219"/>
      <c r="D273" s="203" t="s">
        <v>248</v>
      </c>
      <c r="E273" s="220" t="s">
        <v>499</v>
      </c>
      <c r="F273" s="66" t="s">
        <v>367</v>
      </c>
      <c r="G273" s="64" t="s">
        <v>605</v>
      </c>
      <c r="H273" s="49"/>
      <c r="I273" s="49"/>
      <c r="J273" s="46"/>
      <c r="K273" s="46"/>
      <c r="L273" s="49"/>
      <c r="M273" s="49"/>
      <c r="N273" s="49"/>
      <c r="O273" s="129"/>
      <c r="P273" s="46"/>
      <c r="Q273" s="46"/>
    </row>
    <row r="274" spans="1:17" ht="22.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90-2-1</v>
      </c>
      <c r="B274" s="203"/>
      <c r="C274" s="219"/>
      <c r="D274" s="204"/>
      <c r="E274" s="206"/>
      <c r="F274" s="66" t="s">
        <v>368</v>
      </c>
      <c r="G274" s="64" t="s">
        <v>605</v>
      </c>
      <c r="H274" s="49"/>
      <c r="I274" s="49"/>
      <c r="J274" s="46"/>
      <c r="K274" s="46"/>
      <c r="L274" s="49"/>
      <c r="M274" s="49"/>
      <c r="N274" s="49"/>
      <c r="O274" s="129"/>
      <c r="P274" s="46"/>
      <c r="Q274" s="46"/>
    </row>
    <row r="275" spans="1:17" ht="33.7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91-1-1</v>
      </c>
      <c r="B275" s="203"/>
      <c r="C275" s="219"/>
      <c r="D275" s="204"/>
      <c r="E275" s="204" t="s">
        <v>127</v>
      </c>
      <c r="F275" s="66" t="s">
        <v>369</v>
      </c>
      <c r="G275" s="64" t="s">
        <v>605</v>
      </c>
      <c r="H275" s="49"/>
      <c r="I275" s="49"/>
      <c r="J275" s="46"/>
      <c r="K275" s="46"/>
      <c r="L275" s="49"/>
      <c r="M275" s="49"/>
      <c r="N275" s="49"/>
      <c r="O275" s="129"/>
      <c r="P275" s="46"/>
      <c r="Q275" s="46"/>
    </row>
    <row r="276" spans="1:17" ht="33.7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91-2-1</v>
      </c>
      <c r="B276" s="203"/>
      <c r="C276" s="219"/>
      <c r="D276" s="204"/>
      <c r="E276" s="204"/>
      <c r="F276" s="66" t="s">
        <v>370</v>
      </c>
      <c r="G276" s="64" t="s">
        <v>605</v>
      </c>
      <c r="H276" s="49"/>
      <c r="I276" s="49"/>
      <c r="J276" s="46"/>
      <c r="K276" s="46"/>
      <c r="L276" s="49"/>
      <c r="M276" s="49"/>
      <c r="N276" s="49"/>
      <c r="O276" s="129"/>
      <c r="P276" s="46"/>
      <c r="Q276" s="46"/>
    </row>
    <row r="277" spans="1:17" ht="33.7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91-3-1</v>
      </c>
      <c r="B277" s="203"/>
      <c r="C277" s="219"/>
      <c r="D277" s="204"/>
      <c r="E277" s="204"/>
      <c r="F277" s="66" t="s">
        <v>556</v>
      </c>
      <c r="G277" s="64" t="s">
        <v>605</v>
      </c>
      <c r="H277" s="49"/>
      <c r="I277" s="49"/>
      <c r="J277" s="46"/>
      <c r="K277" s="46"/>
      <c r="L277" s="49"/>
      <c r="M277" s="49"/>
      <c r="N277" s="49"/>
      <c r="O277" s="129"/>
      <c r="P277" s="46"/>
      <c r="Q277" s="46"/>
    </row>
    <row r="278" spans="1:17" ht="33.7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91-4-1</v>
      </c>
      <c r="B278" s="203"/>
      <c r="C278" s="219"/>
      <c r="D278" s="204"/>
      <c r="E278" s="204"/>
      <c r="F278" s="66" t="s">
        <v>372</v>
      </c>
      <c r="G278" s="64" t="s">
        <v>605</v>
      </c>
      <c r="H278" s="49"/>
      <c r="I278" s="49"/>
      <c r="J278" s="46"/>
      <c r="K278" s="46"/>
      <c r="L278" s="49"/>
      <c r="M278" s="49"/>
      <c r="N278" s="49"/>
      <c r="O278" s="129"/>
      <c r="P278" s="46"/>
      <c r="Q278" s="46"/>
    </row>
    <row r="279" spans="1:17" ht="33.7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91-5-1</v>
      </c>
      <c r="B279" s="203"/>
      <c r="C279" s="203"/>
      <c r="D279" s="203"/>
      <c r="E279" s="220"/>
      <c r="F279" s="66" t="s">
        <v>373</v>
      </c>
      <c r="G279" s="64" t="s">
        <v>605</v>
      </c>
      <c r="H279" s="49"/>
      <c r="I279" s="49"/>
      <c r="J279" s="46"/>
      <c r="K279" s="46"/>
      <c r="L279" s="49"/>
      <c r="M279" s="49"/>
      <c r="N279" s="49"/>
      <c r="O279" s="129"/>
      <c r="P279" s="46"/>
      <c r="Q279" s="46"/>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91-6-1</v>
      </c>
      <c r="B280" s="203"/>
      <c r="C280" s="203"/>
      <c r="D280" s="203"/>
      <c r="E280" s="220"/>
      <c r="F280" s="66" t="s">
        <v>374</v>
      </c>
      <c r="G280" s="64" t="s">
        <v>605</v>
      </c>
      <c r="H280" s="49"/>
      <c r="I280" s="49"/>
      <c r="J280" s="46"/>
      <c r="K280" s="46"/>
      <c r="L280" s="49"/>
      <c r="M280" s="49"/>
      <c r="N280" s="49"/>
      <c r="O280" s="129"/>
      <c r="P280" s="46"/>
      <c r="Q280" s="46"/>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91-7-1</v>
      </c>
      <c r="B281" s="203"/>
      <c r="C281" s="203"/>
      <c r="D281" s="203"/>
      <c r="E281" s="220"/>
      <c r="F281" s="66" t="s">
        <v>375</v>
      </c>
      <c r="G281" s="64" t="s">
        <v>605</v>
      </c>
      <c r="H281" s="49"/>
      <c r="I281" s="49"/>
      <c r="J281" s="46"/>
      <c r="K281" s="46"/>
      <c r="L281" s="49"/>
      <c r="M281" s="49"/>
      <c r="N281" s="49"/>
      <c r="O281" s="129"/>
      <c r="P281" s="46"/>
      <c r="Q281" s="46"/>
    </row>
    <row r="282" spans="1:17" ht="33.7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91-8-1</v>
      </c>
      <c r="B282" s="203"/>
      <c r="C282" s="203"/>
      <c r="D282" s="203"/>
      <c r="E282" s="220"/>
      <c r="F282" s="66" t="s">
        <v>376</v>
      </c>
      <c r="G282" s="64" t="s">
        <v>605</v>
      </c>
      <c r="H282" s="49"/>
      <c r="I282" s="49"/>
      <c r="J282" s="46"/>
      <c r="K282" s="46"/>
      <c r="L282" s="49"/>
      <c r="M282" s="49"/>
      <c r="N282" s="49"/>
      <c r="O282" s="129"/>
      <c r="P282" s="46"/>
      <c r="Q282" s="46"/>
    </row>
    <row r="283" spans="1:17" ht="33.7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91-9-1</v>
      </c>
      <c r="B283" s="203"/>
      <c r="C283" s="203"/>
      <c r="D283" s="203"/>
      <c r="E283" s="220"/>
      <c r="F283" s="66" t="s">
        <v>377</v>
      </c>
      <c r="G283" s="64" t="s">
        <v>605</v>
      </c>
      <c r="H283" s="49"/>
      <c r="I283" s="49"/>
      <c r="J283" s="46"/>
      <c r="K283" s="46"/>
      <c r="L283" s="49"/>
      <c r="M283" s="49"/>
      <c r="N283" s="49"/>
      <c r="O283" s="129"/>
      <c r="P283" s="46"/>
      <c r="Q283" s="46"/>
    </row>
    <row r="284" spans="1:17" ht="33.7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91-10-1</v>
      </c>
      <c r="B284" s="203"/>
      <c r="C284" s="203"/>
      <c r="D284" s="203"/>
      <c r="E284" s="204"/>
      <c r="F284" s="66" t="s">
        <v>378</v>
      </c>
      <c r="G284" s="64" t="s">
        <v>605</v>
      </c>
      <c r="H284" s="49"/>
      <c r="I284" s="49"/>
      <c r="J284" s="46"/>
      <c r="K284" s="46"/>
      <c r="L284" s="49"/>
      <c r="M284" s="49"/>
      <c r="N284" s="49"/>
      <c r="O284" s="129"/>
      <c r="P284" s="46"/>
      <c r="Q284" s="46"/>
    </row>
    <row r="285" spans="1:17" ht="33.7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91-11-1</v>
      </c>
      <c r="B285" s="203"/>
      <c r="C285" s="203"/>
      <c r="D285" s="203"/>
      <c r="E285" s="206"/>
      <c r="F285" s="66" t="s">
        <v>379</v>
      </c>
      <c r="G285" s="64" t="s">
        <v>605</v>
      </c>
      <c r="H285" s="49"/>
      <c r="I285" s="49"/>
      <c r="J285" s="46"/>
      <c r="K285" s="46"/>
      <c r="L285" s="49"/>
      <c r="M285" s="49"/>
      <c r="N285" s="49"/>
      <c r="O285" s="129"/>
      <c r="P285" s="46"/>
      <c r="Q285" s="46"/>
    </row>
    <row r="286" spans="1:17">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92-1-1</v>
      </c>
      <c r="B286" s="203"/>
      <c r="C286" s="203"/>
      <c r="D286" s="203"/>
      <c r="E286" s="204" t="s">
        <v>61</v>
      </c>
      <c r="F286" s="66" t="s">
        <v>380</v>
      </c>
      <c r="G286" s="64" t="s">
        <v>605</v>
      </c>
      <c r="H286" s="49"/>
      <c r="I286" s="49"/>
      <c r="J286" s="46"/>
      <c r="K286" s="46"/>
      <c r="L286" s="49"/>
      <c r="M286" s="49"/>
      <c r="N286" s="49"/>
      <c r="O286" s="129"/>
      <c r="P286" s="46"/>
      <c r="Q286" s="46"/>
    </row>
    <row r="287" spans="1:17">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92-2-1</v>
      </c>
      <c r="B287" s="203"/>
      <c r="C287" s="203"/>
      <c r="D287" s="203"/>
      <c r="E287" s="204"/>
      <c r="F287" s="66" t="s">
        <v>381</v>
      </c>
      <c r="G287" s="64" t="s">
        <v>605</v>
      </c>
      <c r="H287" s="49"/>
      <c r="I287" s="49"/>
      <c r="J287" s="46"/>
      <c r="K287" s="46"/>
      <c r="L287" s="49"/>
      <c r="M287" s="49"/>
      <c r="N287" s="49"/>
      <c r="O287" s="129"/>
      <c r="P287" s="46"/>
      <c r="Q287" s="46"/>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92-3-1</v>
      </c>
      <c r="B288" s="203"/>
      <c r="C288" s="219"/>
      <c r="D288" s="203"/>
      <c r="E288" s="204"/>
      <c r="F288" s="66" t="s">
        <v>382</v>
      </c>
      <c r="G288" s="64" t="s">
        <v>605</v>
      </c>
      <c r="H288" s="49"/>
      <c r="I288" s="49"/>
      <c r="J288" s="46"/>
      <c r="K288" s="46"/>
      <c r="L288" s="49"/>
      <c r="M288" s="49"/>
      <c r="N288" s="49"/>
      <c r="O288" s="129"/>
      <c r="P288" s="46"/>
      <c r="Q288" s="46"/>
    </row>
    <row r="289" spans="1:17" ht="22.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92-4-1</v>
      </c>
      <c r="B289" s="203"/>
      <c r="C289" s="219"/>
      <c r="D289" s="204"/>
      <c r="E289" s="204"/>
      <c r="F289" s="66" t="s">
        <v>383</v>
      </c>
      <c r="G289" s="64" t="s">
        <v>605</v>
      </c>
      <c r="H289" s="49"/>
      <c r="I289" s="49"/>
      <c r="J289" s="46"/>
      <c r="K289" s="46"/>
      <c r="L289" s="49"/>
      <c r="M289" s="49"/>
      <c r="N289" s="49"/>
      <c r="O289" s="129"/>
      <c r="P289" s="46"/>
      <c r="Q289" s="46"/>
    </row>
    <row r="290" spans="1:17" ht="22.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92-5-1</v>
      </c>
      <c r="B290" s="203"/>
      <c r="C290" s="219"/>
      <c r="D290" s="204"/>
      <c r="E290" s="204"/>
      <c r="F290" s="66" t="s">
        <v>384</v>
      </c>
      <c r="G290" s="64" t="s">
        <v>605</v>
      </c>
      <c r="H290" s="49"/>
      <c r="I290" s="49"/>
      <c r="J290" s="46"/>
      <c r="K290" s="46"/>
      <c r="L290" s="49"/>
      <c r="M290" s="49"/>
      <c r="N290" s="49"/>
      <c r="O290" s="129"/>
      <c r="P290" s="46"/>
      <c r="Q290" s="46"/>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92-6-1</v>
      </c>
      <c r="B291" s="203"/>
      <c r="C291" s="219"/>
      <c r="D291" s="204"/>
      <c r="E291" s="206"/>
      <c r="F291" s="66" t="s">
        <v>385</v>
      </c>
      <c r="G291" s="64" t="s">
        <v>605</v>
      </c>
      <c r="H291" s="49"/>
      <c r="I291" s="49"/>
      <c r="J291" s="46"/>
      <c r="K291" s="46"/>
      <c r="L291" s="49"/>
      <c r="M291" s="49"/>
      <c r="N291" s="49"/>
      <c r="O291" s="129"/>
      <c r="P291" s="46"/>
      <c r="Q291" s="46"/>
    </row>
    <row r="292" spans="1:17" ht="22.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93-1-1</v>
      </c>
      <c r="B292" s="203"/>
      <c r="C292" s="219"/>
      <c r="D292" s="204"/>
      <c r="E292" s="204" t="s">
        <v>205</v>
      </c>
      <c r="F292" s="66" t="s">
        <v>386</v>
      </c>
      <c r="G292" s="64" t="s">
        <v>605</v>
      </c>
      <c r="H292" s="49"/>
      <c r="I292" s="49"/>
      <c r="J292" s="46"/>
      <c r="K292" s="46"/>
      <c r="L292" s="49"/>
      <c r="M292" s="49"/>
      <c r="N292" s="49"/>
      <c r="O292" s="129"/>
      <c r="P292" s="46"/>
      <c r="Q292" s="46"/>
    </row>
    <row r="293" spans="1:17" ht="33.7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93-2-1</v>
      </c>
      <c r="B293" s="203"/>
      <c r="C293" s="219"/>
      <c r="D293" s="204"/>
      <c r="E293" s="204"/>
      <c r="F293" s="66" t="s">
        <v>387</v>
      </c>
      <c r="G293" s="64" t="s">
        <v>605</v>
      </c>
      <c r="H293" s="49"/>
      <c r="I293" s="49"/>
      <c r="J293" s="46"/>
      <c r="K293" s="46"/>
      <c r="L293" s="49"/>
      <c r="M293" s="49"/>
      <c r="N293" s="49"/>
      <c r="O293" s="129"/>
      <c r="P293" s="46"/>
      <c r="Q293" s="46"/>
    </row>
    <row r="294" spans="1:17" ht="4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93-3-1</v>
      </c>
      <c r="B294" s="203"/>
      <c r="C294" s="219"/>
      <c r="D294" s="204"/>
      <c r="E294" s="204"/>
      <c r="F294" s="66" t="s">
        <v>388</v>
      </c>
      <c r="G294" s="64" t="s">
        <v>605</v>
      </c>
      <c r="H294" s="49"/>
      <c r="I294" s="49"/>
      <c r="J294" s="46"/>
      <c r="K294" s="46"/>
      <c r="L294" s="49"/>
      <c r="M294" s="49"/>
      <c r="N294" s="49"/>
      <c r="O294" s="129"/>
      <c r="P294" s="46"/>
      <c r="Q294" s="46"/>
    </row>
    <row r="295" spans="1:17" ht="4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93-4-1</v>
      </c>
      <c r="B295" s="203"/>
      <c r="C295" s="219"/>
      <c r="D295" s="204"/>
      <c r="E295" s="204"/>
      <c r="F295" s="66" t="s">
        <v>389</v>
      </c>
      <c r="G295" s="64" t="s">
        <v>605</v>
      </c>
      <c r="H295" s="49"/>
      <c r="I295" s="49"/>
      <c r="J295" s="46"/>
      <c r="K295" s="46"/>
      <c r="L295" s="49"/>
      <c r="M295" s="49"/>
      <c r="N295" s="49"/>
      <c r="O295" s="129"/>
      <c r="P295" s="46"/>
      <c r="Q295" s="46"/>
    </row>
    <row r="296" spans="1:17" ht="22.5">
      <c r="A296" s="4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93-5-1</v>
      </c>
      <c r="B296" s="203"/>
      <c r="C296" s="219"/>
      <c r="D296" s="204"/>
      <c r="E296" s="204"/>
      <c r="F296" s="66" t="s">
        <v>390</v>
      </c>
      <c r="G296" s="64" t="s">
        <v>605</v>
      </c>
      <c r="H296" s="49"/>
      <c r="I296" s="49"/>
      <c r="J296" s="46"/>
      <c r="K296" s="46"/>
      <c r="L296" s="49"/>
      <c r="M296" s="49"/>
      <c r="N296" s="49"/>
      <c r="O296" s="129"/>
      <c r="P296" s="46"/>
      <c r="Q296" s="46"/>
    </row>
    <row r="297" spans="1:17" ht="45">
      <c r="A297" s="43"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93-6-1</v>
      </c>
      <c r="B297" s="203"/>
      <c r="C297" s="219"/>
      <c r="D297" s="204"/>
      <c r="E297" s="204"/>
      <c r="F297" s="66" t="s">
        <v>391</v>
      </c>
      <c r="G297" s="64" t="s">
        <v>605</v>
      </c>
      <c r="H297" s="49"/>
      <c r="I297" s="49"/>
      <c r="J297" s="46"/>
      <c r="K297" s="46"/>
      <c r="L297" s="49"/>
      <c r="M297" s="49"/>
      <c r="N297" s="49"/>
      <c r="O297" s="129"/>
      <c r="P297" s="46"/>
      <c r="Q297" s="46"/>
    </row>
    <row r="298" spans="1:17" ht="45">
      <c r="A298" s="43"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93-7-1</v>
      </c>
      <c r="B298" s="203"/>
      <c r="C298" s="219"/>
      <c r="D298" s="204"/>
      <c r="E298" s="204"/>
      <c r="F298" s="66" t="s">
        <v>392</v>
      </c>
      <c r="G298" s="64" t="s">
        <v>605</v>
      </c>
      <c r="H298" s="49"/>
      <c r="I298" s="49"/>
      <c r="J298" s="46"/>
      <c r="K298" s="46"/>
      <c r="L298" s="49"/>
      <c r="M298" s="49"/>
      <c r="N298" s="49"/>
      <c r="O298" s="129"/>
      <c r="P298" s="46"/>
      <c r="Q298" s="46"/>
    </row>
    <row r="299" spans="1:17" ht="22.5">
      <c r="A299" s="43"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93-8-1</v>
      </c>
      <c r="B299" s="203"/>
      <c r="C299" s="219"/>
      <c r="D299" s="204"/>
      <c r="E299" s="206"/>
      <c r="F299" s="66" t="s">
        <v>393</v>
      </c>
      <c r="G299" s="64" t="s">
        <v>605</v>
      </c>
      <c r="H299" s="49"/>
      <c r="I299" s="49"/>
      <c r="J299" s="46"/>
      <c r="K299" s="46"/>
      <c r="L299" s="49"/>
      <c r="M299" s="49"/>
      <c r="N299" s="49"/>
      <c r="O299" s="129"/>
      <c r="P299" s="46"/>
      <c r="Q299" s="46"/>
    </row>
    <row r="300" spans="1:17" ht="22.5">
      <c r="A300" s="43"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94-1-1</v>
      </c>
      <c r="B300" s="206"/>
      <c r="C300" s="223"/>
      <c r="D300" s="205"/>
      <c r="E300" s="205" t="s">
        <v>239</v>
      </c>
      <c r="F300" s="66" t="s">
        <v>394</v>
      </c>
      <c r="G300" s="64" t="s">
        <v>605</v>
      </c>
      <c r="H300" s="49"/>
      <c r="I300" s="49"/>
      <c r="J300" s="46"/>
      <c r="K300" s="46"/>
      <c r="L300" s="49"/>
      <c r="M300" s="49"/>
      <c r="N300" s="49"/>
      <c r="O300" s="129"/>
      <c r="P300" s="46"/>
      <c r="Q300" s="46"/>
    </row>
    <row r="301" spans="1:17" ht="22.5">
      <c r="A301" s="43"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95-1-1</v>
      </c>
      <c r="B301" s="195" t="s">
        <v>395</v>
      </c>
      <c r="C301" s="195" t="s">
        <v>396</v>
      </c>
      <c r="D301" s="195" t="s">
        <v>499</v>
      </c>
      <c r="E301" s="242" t="s">
        <v>499</v>
      </c>
      <c r="F301" s="94" t="s">
        <v>397</v>
      </c>
      <c r="G301" s="95"/>
      <c r="H301" s="96"/>
      <c r="I301" s="96"/>
      <c r="J301" s="235" t="s">
        <v>643</v>
      </c>
      <c r="K301" s="97"/>
      <c r="L301" s="96"/>
      <c r="M301" s="96"/>
      <c r="N301" s="96"/>
      <c r="O301" s="126"/>
      <c r="P301" s="97"/>
      <c r="Q301" s="97"/>
    </row>
    <row r="302" spans="1:17" ht="22.5">
      <c r="A302" s="43"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95-2-1</v>
      </c>
      <c r="B302" s="196"/>
      <c r="C302" s="196"/>
      <c r="D302" s="196"/>
      <c r="E302" s="199"/>
      <c r="F302" s="94" t="s">
        <v>398</v>
      </c>
      <c r="G302" s="95"/>
      <c r="H302" s="96"/>
      <c r="I302" s="96"/>
      <c r="J302" s="235" t="s">
        <v>643</v>
      </c>
      <c r="K302" s="97"/>
      <c r="L302" s="96"/>
      <c r="M302" s="96"/>
      <c r="N302" s="96"/>
      <c r="O302" s="126"/>
      <c r="P302" s="97"/>
      <c r="Q302" s="97"/>
    </row>
    <row r="303" spans="1:17" ht="22.5">
      <c r="A303" s="43"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95-3-1</v>
      </c>
      <c r="B303" s="196"/>
      <c r="C303" s="196"/>
      <c r="D303" s="196"/>
      <c r="E303" s="199"/>
      <c r="F303" s="94" t="s">
        <v>399</v>
      </c>
      <c r="G303" s="95"/>
      <c r="H303" s="96"/>
      <c r="I303" s="96"/>
      <c r="J303" s="235" t="s">
        <v>643</v>
      </c>
      <c r="K303" s="97"/>
      <c r="L303" s="96"/>
      <c r="M303" s="96"/>
      <c r="N303" s="96"/>
      <c r="O303" s="126"/>
      <c r="P303" s="97"/>
      <c r="Q303" s="97"/>
    </row>
    <row r="304" spans="1:17" ht="22.5">
      <c r="A304" s="43"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95-4-1</v>
      </c>
      <c r="B304" s="196"/>
      <c r="C304" s="198"/>
      <c r="D304" s="198"/>
      <c r="E304" s="198"/>
      <c r="F304" s="94" t="s">
        <v>400</v>
      </c>
      <c r="G304" s="95"/>
      <c r="H304" s="96"/>
      <c r="I304" s="96"/>
      <c r="J304" s="235" t="s">
        <v>643</v>
      </c>
      <c r="K304" s="97"/>
      <c r="L304" s="96"/>
      <c r="M304" s="96"/>
      <c r="N304" s="96"/>
      <c r="O304" s="126"/>
      <c r="P304" s="97"/>
      <c r="Q304" s="97"/>
    </row>
    <row r="305" spans="1:17" ht="22.5">
      <c r="A305" s="43"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96-1-1</v>
      </c>
      <c r="B305" s="196"/>
      <c r="C305" s="196" t="s">
        <v>401</v>
      </c>
      <c r="D305" s="196" t="s">
        <v>214</v>
      </c>
      <c r="E305" s="198" t="s">
        <v>232</v>
      </c>
      <c r="F305" s="94" t="s">
        <v>402</v>
      </c>
      <c r="G305" s="95"/>
      <c r="H305" s="96"/>
      <c r="I305" s="96"/>
      <c r="J305" s="235" t="s">
        <v>643</v>
      </c>
      <c r="K305" s="97"/>
      <c r="L305" s="96"/>
      <c r="M305" s="96"/>
      <c r="N305" s="96"/>
      <c r="O305" s="126"/>
      <c r="P305" s="97"/>
      <c r="Q305" s="97"/>
    </row>
    <row r="306" spans="1:17" ht="22.5">
      <c r="A306" s="43"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97-1-1</v>
      </c>
      <c r="B306" s="196"/>
      <c r="C306" s="196"/>
      <c r="D306" s="196"/>
      <c r="E306" s="198" t="s">
        <v>234</v>
      </c>
      <c r="F306" s="94" t="s">
        <v>403</v>
      </c>
      <c r="G306" s="95"/>
      <c r="H306" s="96"/>
      <c r="I306" s="96"/>
      <c r="J306" s="235" t="s">
        <v>643</v>
      </c>
      <c r="K306" s="97"/>
      <c r="L306" s="96"/>
      <c r="M306" s="96"/>
      <c r="N306" s="96"/>
      <c r="O306" s="126"/>
      <c r="P306" s="97"/>
      <c r="Q306" s="97"/>
    </row>
    <row r="307" spans="1:17" ht="22.5">
      <c r="A307" s="43"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98-1-1</v>
      </c>
      <c r="B307" s="196"/>
      <c r="C307" s="196"/>
      <c r="D307" s="196"/>
      <c r="E307" s="198" t="s">
        <v>236</v>
      </c>
      <c r="F307" s="94" t="s">
        <v>404</v>
      </c>
      <c r="G307" s="95"/>
      <c r="H307" s="96"/>
      <c r="I307" s="96"/>
      <c r="J307" s="235" t="s">
        <v>643</v>
      </c>
      <c r="K307" s="97"/>
      <c r="L307" s="96"/>
      <c r="M307" s="96"/>
      <c r="N307" s="96"/>
      <c r="O307" s="126"/>
      <c r="P307" s="97"/>
      <c r="Q307" s="97"/>
    </row>
    <row r="308" spans="1:17" ht="22.5">
      <c r="A308" s="43"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99-1-1</v>
      </c>
      <c r="B308" s="196"/>
      <c r="C308" s="196"/>
      <c r="D308" s="198"/>
      <c r="E308" s="198" t="s">
        <v>152</v>
      </c>
      <c r="F308" s="94" t="s">
        <v>405</v>
      </c>
      <c r="G308" s="95"/>
      <c r="H308" s="96"/>
      <c r="I308" s="96"/>
      <c r="J308" s="235" t="s">
        <v>643</v>
      </c>
      <c r="K308" s="97"/>
      <c r="L308" s="96"/>
      <c r="M308" s="96"/>
      <c r="N308" s="96"/>
      <c r="O308" s="126"/>
      <c r="P308" s="97"/>
      <c r="Q308" s="97"/>
    </row>
    <row r="309" spans="1:17" ht="22.5">
      <c r="A309" s="43"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100-1-1</v>
      </c>
      <c r="B309" s="196"/>
      <c r="C309" s="197"/>
      <c r="D309" s="196" t="s">
        <v>406</v>
      </c>
      <c r="E309" s="199" t="s">
        <v>407</v>
      </c>
      <c r="F309" s="94" t="s">
        <v>408</v>
      </c>
      <c r="G309" s="95"/>
      <c r="H309" s="96"/>
      <c r="I309" s="96"/>
      <c r="J309" s="235" t="s">
        <v>643</v>
      </c>
      <c r="K309" s="97"/>
      <c r="L309" s="96"/>
      <c r="M309" s="96"/>
      <c r="N309" s="96"/>
      <c r="O309" s="126"/>
      <c r="P309" s="97"/>
      <c r="Q309" s="97"/>
    </row>
    <row r="310" spans="1:17" ht="22.5">
      <c r="A310" s="43"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100-2-1</v>
      </c>
      <c r="B310" s="196"/>
      <c r="C310" s="197"/>
      <c r="D310" s="199"/>
      <c r="E310" s="199"/>
      <c r="F310" s="94" t="s">
        <v>409</v>
      </c>
      <c r="G310" s="95"/>
      <c r="H310" s="96"/>
      <c r="I310" s="96"/>
      <c r="J310" s="235" t="s">
        <v>643</v>
      </c>
      <c r="K310" s="97"/>
      <c r="L310" s="96"/>
      <c r="M310" s="96"/>
      <c r="N310" s="96"/>
      <c r="O310" s="126"/>
      <c r="P310" s="97"/>
      <c r="Q310" s="97"/>
    </row>
    <row r="311" spans="1:17" ht="33.75">
      <c r="A311" s="43"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100-3-1</v>
      </c>
      <c r="B311" s="196"/>
      <c r="C311" s="197"/>
      <c r="D311" s="199"/>
      <c r="E311" s="199"/>
      <c r="F311" s="94" t="s">
        <v>410</v>
      </c>
      <c r="G311" s="95"/>
      <c r="H311" s="96"/>
      <c r="I311" s="96"/>
      <c r="J311" s="235" t="s">
        <v>643</v>
      </c>
      <c r="K311" s="97"/>
      <c r="L311" s="96"/>
      <c r="M311" s="96"/>
      <c r="N311" s="96"/>
      <c r="O311" s="126"/>
      <c r="P311" s="97"/>
      <c r="Q311" s="97"/>
    </row>
    <row r="312" spans="1:17" ht="33.75">
      <c r="A312" s="43"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100-4-1</v>
      </c>
      <c r="B312" s="196"/>
      <c r="C312" s="197"/>
      <c r="D312" s="199"/>
      <c r="E312" s="199"/>
      <c r="F312" s="94" t="s">
        <v>557</v>
      </c>
      <c r="G312" s="95"/>
      <c r="H312" s="96"/>
      <c r="I312" s="96"/>
      <c r="J312" s="235" t="s">
        <v>643</v>
      </c>
      <c r="K312" s="97"/>
      <c r="L312" s="96"/>
      <c r="M312" s="96"/>
      <c r="N312" s="96"/>
      <c r="O312" s="126"/>
      <c r="P312" s="97"/>
      <c r="Q312" s="97"/>
    </row>
    <row r="313" spans="1:17" ht="33.75">
      <c r="A313" s="43"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100-5-1</v>
      </c>
      <c r="B313" s="196"/>
      <c r="C313" s="197"/>
      <c r="D313" s="199"/>
      <c r="E313" s="199"/>
      <c r="F313" s="94" t="s">
        <v>546</v>
      </c>
      <c r="G313" s="95"/>
      <c r="H313" s="96"/>
      <c r="I313" s="96"/>
      <c r="J313" s="235" t="s">
        <v>643</v>
      </c>
      <c r="K313" s="97"/>
      <c r="L313" s="96"/>
      <c r="M313" s="96"/>
      <c r="N313" s="96"/>
      <c r="O313" s="126"/>
      <c r="P313" s="97"/>
      <c r="Q313" s="97"/>
    </row>
    <row r="314" spans="1:17" ht="33.75">
      <c r="A314" s="43"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100-6-1</v>
      </c>
      <c r="B314" s="196"/>
      <c r="C314" s="197"/>
      <c r="D314" s="199"/>
      <c r="E314" s="199"/>
      <c r="F314" s="94" t="s">
        <v>547</v>
      </c>
      <c r="G314" s="95"/>
      <c r="H314" s="96"/>
      <c r="I314" s="96"/>
      <c r="J314" s="235" t="s">
        <v>643</v>
      </c>
      <c r="K314" s="97"/>
      <c r="L314" s="96"/>
      <c r="M314" s="96"/>
      <c r="N314" s="96"/>
      <c r="O314" s="126"/>
      <c r="P314" s="97"/>
      <c r="Q314" s="97"/>
    </row>
    <row r="315" spans="1:17" ht="33.75">
      <c r="A315" s="43"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100-7-1</v>
      </c>
      <c r="B315" s="196"/>
      <c r="C315" s="197"/>
      <c r="D315" s="199"/>
      <c r="E315" s="199"/>
      <c r="F315" s="94" t="s">
        <v>558</v>
      </c>
      <c r="G315" s="95"/>
      <c r="H315" s="96"/>
      <c r="I315" s="96"/>
      <c r="J315" s="235" t="s">
        <v>643</v>
      </c>
      <c r="K315" s="97"/>
      <c r="L315" s="96"/>
      <c r="M315" s="96"/>
      <c r="N315" s="96"/>
      <c r="O315" s="126"/>
      <c r="P315" s="97"/>
      <c r="Q315" s="97"/>
    </row>
    <row r="316" spans="1:17" ht="22.5">
      <c r="A316" s="43"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100-8-1</v>
      </c>
      <c r="B316" s="196"/>
      <c r="C316" s="197"/>
      <c r="D316" s="199"/>
      <c r="E316" s="199"/>
      <c r="F316" s="94" t="s">
        <v>412</v>
      </c>
      <c r="G316" s="95"/>
      <c r="H316" s="96"/>
      <c r="I316" s="96"/>
      <c r="J316" s="235" t="s">
        <v>643</v>
      </c>
      <c r="K316" s="97"/>
      <c r="L316" s="96"/>
      <c r="M316" s="96"/>
      <c r="N316" s="96"/>
      <c r="O316" s="126"/>
      <c r="P316" s="97"/>
      <c r="Q316" s="97"/>
    </row>
    <row r="317" spans="1:17" ht="22.5">
      <c r="A317" s="43"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100-9-1</v>
      </c>
      <c r="B317" s="198"/>
      <c r="C317" s="243"/>
      <c r="D317" s="200"/>
      <c r="E317" s="200"/>
      <c r="F317" s="94" t="s">
        <v>413</v>
      </c>
      <c r="G317" s="95"/>
      <c r="H317" s="96"/>
      <c r="I317" s="96"/>
      <c r="J317" s="235" t="s">
        <v>643</v>
      </c>
      <c r="K317" s="97"/>
      <c r="L317" s="96"/>
      <c r="M317" s="96"/>
      <c r="N317" s="96"/>
      <c r="O317" s="126"/>
      <c r="P317" s="97"/>
      <c r="Q317" s="97"/>
    </row>
    <row r="318" spans="1:17" s="30" customFormat="1" ht="22.5">
      <c r="A318" s="43"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101-1-1</v>
      </c>
      <c r="B318" s="225" t="s">
        <v>414</v>
      </c>
      <c r="C318" s="217" t="s">
        <v>415</v>
      </c>
      <c r="D318" s="207" t="s">
        <v>416</v>
      </c>
      <c r="E318" s="212" t="s">
        <v>495</v>
      </c>
      <c r="F318" s="94" t="s">
        <v>417</v>
      </c>
      <c r="G318" s="80" t="s">
        <v>628</v>
      </c>
      <c r="H318" s="80"/>
      <c r="I318" s="80"/>
      <c r="J318" s="80"/>
      <c r="K318" s="123"/>
      <c r="L318" s="96"/>
      <c r="M318" s="96"/>
      <c r="N318" s="96"/>
      <c r="O318" s="126"/>
      <c r="P318" s="80"/>
      <c r="Q318" s="80"/>
    </row>
    <row r="319" spans="1:17" s="30" customFormat="1">
      <c r="A319" s="43"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101-2-1</v>
      </c>
      <c r="B319" s="214"/>
      <c r="C319" s="210"/>
      <c r="D319" s="207"/>
      <c r="E319" s="207"/>
      <c r="F319" s="94" t="s">
        <v>418</v>
      </c>
      <c r="G319" s="80" t="s">
        <v>628</v>
      </c>
      <c r="H319" s="80"/>
      <c r="I319" s="80"/>
      <c r="J319" s="80"/>
      <c r="K319" s="123"/>
      <c r="L319" s="96"/>
      <c r="M319" s="96"/>
      <c r="N319" s="96"/>
      <c r="O319" s="126"/>
      <c r="P319" s="80"/>
      <c r="Q319" s="80"/>
    </row>
    <row r="320" spans="1:17" s="30" customFormat="1" ht="22.5">
      <c r="A320" s="43"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101-3-1</v>
      </c>
      <c r="B320" s="214"/>
      <c r="C320" s="210"/>
      <c r="D320" s="207"/>
      <c r="E320" s="207"/>
      <c r="F320" s="61" t="s">
        <v>419</v>
      </c>
      <c r="G320" s="32"/>
      <c r="H320" s="122" t="s">
        <v>660</v>
      </c>
      <c r="I320" s="122" t="s">
        <v>661</v>
      </c>
      <c r="J320" s="122" t="s">
        <v>971</v>
      </c>
      <c r="K320" s="32" t="s">
        <v>662</v>
      </c>
      <c r="L320" s="116"/>
      <c r="M320" s="116"/>
      <c r="N320" s="54"/>
      <c r="O320" s="130"/>
      <c r="P320" s="32"/>
      <c r="Q320" s="32"/>
    </row>
    <row r="321" spans="1:17" s="30" customFormat="1" ht="22.5">
      <c r="A321" s="43"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101-4-1</v>
      </c>
      <c r="B321" s="214"/>
      <c r="C321" s="210"/>
      <c r="D321" s="207"/>
      <c r="E321" s="207"/>
      <c r="F321" s="61" t="s">
        <v>420</v>
      </c>
      <c r="G321" s="32"/>
      <c r="H321" s="122" t="s">
        <v>660</v>
      </c>
      <c r="I321" s="122" t="s">
        <v>661</v>
      </c>
      <c r="J321" s="122" t="s">
        <v>971</v>
      </c>
      <c r="K321" s="32" t="s">
        <v>663</v>
      </c>
      <c r="L321" s="116"/>
      <c r="M321" s="116"/>
      <c r="N321" s="54"/>
      <c r="O321" s="130"/>
      <c r="P321" s="32"/>
      <c r="Q321" s="32"/>
    </row>
    <row r="322" spans="1:17" s="30" customFormat="1" ht="22.5">
      <c r="A322" s="43"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101-5-1</v>
      </c>
      <c r="B322" s="214"/>
      <c r="C322" s="210"/>
      <c r="D322" s="207"/>
      <c r="E322" s="207"/>
      <c r="F322" s="61" t="s">
        <v>421</v>
      </c>
      <c r="G322" s="32"/>
      <c r="H322" s="122" t="s">
        <v>660</v>
      </c>
      <c r="I322" s="122" t="s">
        <v>661</v>
      </c>
      <c r="J322" s="122" t="s">
        <v>971</v>
      </c>
      <c r="K322" s="32" t="s">
        <v>664</v>
      </c>
      <c r="L322" s="116"/>
      <c r="M322" s="116"/>
      <c r="N322" s="54"/>
      <c r="O322" s="130"/>
      <c r="P322" s="32"/>
      <c r="Q322" s="32"/>
    </row>
    <row r="323" spans="1:17" ht="22.5">
      <c r="A323" s="43"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101-6-1</v>
      </c>
      <c r="B323" s="226"/>
      <c r="C323" s="227"/>
      <c r="D323" s="193"/>
      <c r="E323" s="193"/>
      <c r="F323" s="51" t="s">
        <v>593</v>
      </c>
      <c r="G323" s="51"/>
      <c r="H323" s="122" t="s">
        <v>660</v>
      </c>
      <c r="I323" s="122" t="s">
        <v>661</v>
      </c>
      <c r="J323" s="122" t="s">
        <v>971</v>
      </c>
      <c r="K323" s="32" t="s">
        <v>665</v>
      </c>
      <c r="L323" s="78"/>
      <c r="M323" s="116"/>
      <c r="N323" s="54"/>
      <c r="O323" s="130"/>
      <c r="P323" s="116"/>
      <c r="Q323" s="116"/>
    </row>
    <row r="324" spans="1:17" s="30" customFormat="1" ht="33.75">
      <c r="A324" s="43"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101-7-1</v>
      </c>
      <c r="B324" s="214"/>
      <c r="C324" s="210"/>
      <c r="D324" s="207"/>
      <c r="E324" s="207"/>
      <c r="F324" s="61" t="s">
        <v>422</v>
      </c>
      <c r="G324" s="32"/>
      <c r="H324" s="122" t="s">
        <v>660</v>
      </c>
      <c r="I324" s="122" t="s">
        <v>666</v>
      </c>
      <c r="J324" s="122" t="s">
        <v>977</v>
      </c>
      <c r="K324" s="32" t="s">
        <v>667</v>
      </c>
      <c r="L324" s="116"/>
      <c r="M324" s="116"/>
      <c r="N324" s="54"/>
      <c r="O324" s="130"/>
      <c r="P324" s="32"/>
      <c r="Q324" s="32"/>
    </row>
    <row r="325" spans="1:17" s="30" customFormat="1" ht="33.75">
      <c r="A325" s="43"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101-8-1</v>
      </c>
      <c r="B325" s="214"/>
      <c r="C325" s="210"/>
      <c r="D325" s="207"/>
      <c r="E325" s="207"/>
      <c r="F325" s="61" t="s">
        <v>423</v>
      </c>
      <c r="G325" s="32"/>
      <c r="H325" s="122" t="s">
        <v>660</v>
      </c>
      <c r="I325" s="122" t="s">
        <v>666</v>
      </c>
      <c r="J325" s="122" t="s">
        <v>977</v>
      </c>
      <c r="K325" s="32" t="s">
        <v>668</v>
      </c>
      <c r="L325" s="116"/>
      <c r="M325" s="116"/>
      <c r="N325" s="54"/>
      <c r="O325" s="130"/>
      <c r="P325" s="32"/>
      <c r="Q325" s="32"/>
    </row>
    <row r="326" spans="1:17" s="30" customFormat="1" ht="22.5">
      <c r="A326" s="43"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101-9-1</v>
      </c>
      <c r="B326" s="214"/>
      <c r="C326" s="210"/>
      <c r="D326" s="207"/>
      <c r="E326" s="207"/>
      <c r="F326" s="61" t="s">
        <v>424</v>
      </c>
      <c r="G326" s="32"/>
      <c r="H326" s="122" t="s">
        <v>660</v>
      </c>
      <c r="I326" s="122" t="s">
        <v>669</v>
      </c>
      <c r="J326" s="122" t="s">
        <v>971</v>
      </c>
      <c r="K326" s="32" t="s">
        <v>670</v>
      </c>
      <c r="L326" s="116"/>
      <c r="M326" s="116"/>
      <c r="N326" s="54"/>
      <c r="O326" s="130"/>
      <c r="P326" s="32"/>
      <c r="Q326" s="32"/>
    </row>
    <row r="327" spans="1:17" s="30" customFormat="1" ht="22.5">
      <c r="A327" s="43"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101-10-1</v>
      </c>
      <c r="B327" s="214"/>
      <c r="C327" s="210"/>
      <c r="D327" s="207"/>
      <c r="E327" s="207"/>
      <c r="F327" s="61" t="s">
        <v>425</v>
      </c>
      <c r="G327" s="32"/>
      <c r="H327" s="122" t="s">
        <v>660</v>
      </c>
      <c r="I327" s="122" t="s">
        <v>669</v>
      </c>
      <c r="J327" s="122" t="s">
        <v>971</v>
      </c>
      <c r="K327" s="32" t="s">
        <v>671</v>
      </c>
      <c r="L327" s="116"/>
      <c r="M327" s="116"/>
      <c r="N327" s="54"/>
      <c r="O327" s="130"/>
      <c r="P327" s="32"/>
      <c r="Q327" s="32"/>
    </row>
    <row r="328" spans="1:17" s="30" customFormat="1" ht="22.5">
      <c r="A328" s="43"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101-11-1</v>
      </c>
      <c r="B328" s="214"/>
      <c r="C328" s="210"/>
      <c r="D328" s="207"/>
      <c r="E328" s="207"/>
      <c r="F328" s="61" t="s">
        <v>426</v>
      </c>
      <c r="G328" s="32"/>
      <c r="H328" s="122" t="s">
        <v>660</v>
      </c>
      <c r="I328" s="122" t="s">
        <v>669</v>
      </c>
      <c r="J328" s="122" t="s">
        <v>971</v>
      </c>
      <c r="K328" s="32" t="s">
        <v>672</v>
      </c>
      <c r="L328" s="116"/>
      <c r="M328" s="116"/>
      <c r="N328" s="54"/>
      <c r="O328" s="130"/>
      <c r="P328" s="32"/>
      <c r="Q328" s="32"/>
    </row>
    <row r="329" spans="1:17" s="30" customFormat="1" ht="22.5">
      <c r="A329" s="43"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101-12-1</v>
      </c>
      <c r="B329" s="214"/>
      <c r="C329" s="210"/>
      <c r="D329" s="207"/>
      <c r="E329" s="207"/>
      <c r="F329" s="61" t="s">
        <v>427</v>
      </c>
      <c r="G329" s="32"/>
      <c r="H329" s="122" t="s">
        <v>660</v>
      </c>
      <c r="I329" s="122" t="s">
        <v>673</v>
      </c>
      <c r="J329" s="122" t="s">
        <v>971</v>
      </c>
      <c r="K329" s="32" t="s">
        <v>674</v>
      </c>
      <c r="L329" s="116"/>
      <c r="M329" s="116"/>
      <c r="N329" s="54"/>
      <c r="O329" s="130"/>
      <c r="P329" s="32"/>
      <c r="Q329" s="32"/>
    </row>
    <row r="330" spans="1:17" s="30" customFormat="1" ht="22.5">
      <c r="A330" s="43"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101-13-1</v>
      </c>
      <c r="B330" s="214"/>
      <c r="C330" s="210"/>
      <c r="D330" s="207"/>
      <c r="E330" s="207"/>
      <c r="F330" s="61" t="s">
        <v>428</v>
      </c>
      <c r="G330" s="32"/>
      <c r="H330" s="122" t="s">
        <v>660</v>
      </c>
      <c r="I330" s="122" t="s">
        <v>673</v>
      </c>
      <c r="J330" s="122" t="s">
        <v>971</v>
      </c>
      <c r="K330" s="32" t="s">
        <v>675</v>
      </c>
      <c r="L330" s="116"/>
      <c r="M330" s="116"/>
      <c r="N330" s="54"/>
      <c r="O330" s="130"/>
      <c r="P330" s="32"/>
      <c r="Q330" s="32"/>
    </row>
    <row r="331" spans="1:17" s="30" customFormat="1" ht="22.5">
      <c r="A331" s="43"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101-14-1</v>
      </c>
      <c r="B331" s="214"/>
      <c r="C331" s="210"/>
      <c r="D331" s="207"/>
      <c r="E331" s="207"/>
      <c r="F331" s="60" t="s">
        <v>429</v>
      </c>
      <c r="G331" s="32"/>
      <c r="H331" s="122" t="s">
        <v>648</v>
      </c>
      <c r="I331" s="122" t="s">
        <v>676</v>
      </c>
      <c r="J331" s="122" t="s">
        <v>971</v>
      </c>
      <c r="K331" s="32" t="s">
        <v>677</v>
      </c>
      <c r="L331" s="116"/>
      <c r="M331" s="116"/>
      <c r="N331" s="54"/>
      <c r="O331" s="130"/>
      <c r="P331" s="32"/>
      <c r="Q331" s="32"/>
    </row>
    <row r="332" spans="1:17" s="30" customFormat="1" ht="22.5">
      <c r="A332" s="43"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101-14-2</v>
      </c>
      <c r="B332" s="214"/>
      <c r="C332" s="210"/>
      <c r="D332" s="207"/>
      <c r="E332" s="207"/>
      <c r="F332" s="244"/>
      <c r="G332" s="32"/>
      <c r="H332" s="122" t="s">
        <v>648</v>
      </c>
      <c r="I332" s="122" t="s">
        <v>676</v>
      </c>
      <c r="J332" s="122" t="s">
        <v>971</v>
      </c>
      <c r="K332" s="32" t="s">
        <v>678</v>
      </c>
      <c r="L332" s="116"/>
      <c r="M332" s="116"/>
      <c r="N332" s="54"/>
      <c r="O332" s="130"/>
      <c r="P332" s="32"/>
      <c r="Q332" s="32"/>
    </row>
    <row r="333" spans="1:17" s="30" customFormat="1" ht="22.5">
      <c r="A333" s="43"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101-14-3</v>
      </c>
      <c r="B333" s="214"/>
      <c r="C333" s="210"/>
      <c r="D333" s="207"/>
      <c r="E333" s="207"/>
      <c r="F333" s="244"/>
      <c r="G333" s="32"/>
      <c r="H333" s="122" t="s">
        <v>648</v>
      </c>
      <c r="I333" s="122" t="s">
        <v>676</v>
      </c>
      <c r="J333" s="122" t="s">
        <v>971</v>
      </c>
      <c r="K333" s="32" t="s">
        <v>679</v>
      </c>
      <c r="L333" s="116"/>
      <c r="M333" s="116"/>
      <c r="N333" s="54"/>
      <c r="O333" s="130"/>
      <c r="P333" s="32"/>
      <c r="Q333" s="32"/>
    </row>
    <row r="334" spans="1:17" s="30" customFormat="1" ht="22.5">
      <c r="A334" s="43"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101-14-4</v>
      </c>
      <c r="B334" s="214"/>
      <c r="C334" s="210"/>
      <c r="D334" s="207"/>
      <c r="E334" s="207"/>
      <c r="F334" s="244"/>
      <c r="G334" s="32"/>
      <c r="H334" s="122" t="s">
        <v>648</v>
      </c>
      <c r="I334" s="122" t="s">
        <v>676</v>
      </c>
      <c r="J334" s="122" t="s">
        <v>971</v>
      </c>
      <c r="K334" s="32" t="s">
        <v>680</v>
      </c>
      <c r="L334" s="116"/>
      <c r="M334" s="116"/>
      <c r="N334" s="54"/>
      <c r="O334" s="130"/>
      <c r="P334" s="32"/>
      <c r="Q334" s="32"/>
    </row>
    <row r="335" spans="1:17" s="30" customFormat="1" ht="22.5">
      <c r="A335" s="43"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101-14-5</v>
      </c>
      <c r="B335" s="214"/>
      <c r="C335" s="210"/>
      <c r="D335" s="207"/>
      <c r="E335" s="207"/>
      <c r="F335" s="244"/>
      <c r="G335" s="32"/>
      <c r="H335" s="122" t="s">
        <v>648</v>
      </c>
      <c r="I335" s="122" t="s">
        <v>676</v>
      </c>
      <c r="J335" s="122" t="s">
        <v>971</v>
      </c>
      <c r="K335" s="32" t="s">
        <v>681</v>
      </c>
      <c r="L335" s="116"/>
      <c r="M335" s="116"/>
      <c r="N335" s="54"/>
      <c r="O335" s="130"/>
      <c r="P335" s="32"/>
      <c r="Q335" s="32"/>
    </row>
    <row r="336" spans="1:17" s="30" customFormat="1" ht="22.5">
      <c r="A336" s="43"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101-14-6</v>
      </c>
      <c r="B336" s="214"/>
      <c r="C336" s="210"/>
      <c r="D336" s="207"/>
      <c r="E336" s="207"/>
      <c r="F336" s="244"/>
      <c r="G336" s="32"/>
      <c r="H336" s="122" t="s">
        <v>648</v>
      </c>
      <c r="I336" s="122" t="s">
        <v>676</v>
      </c>
      <c r="J336" s="122" t="s">
        <v>971</v>
      </c>
      <c r="K336" s="32" t="s">
        <v>682</v>
      </c>
      <c r="L336" s="116"/>
      <c r="M336" s="116"/>
      <c r="N336" s="54"/>
      <c r="O336" s="130"/>
      <c r="P336" s="32"/>
      <c r="Q336" s="32"/>
    </row>
    <row r="337" spans="1:17" s="30" customFormat="1" ht="22.5">
      <c r="A337" s="43"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101-14-7</v>
      </c>
      <c r="B337" s="214"/>
      <c r="C337" s="210"/>
      <c r="D337" s="207"/>
      <c r="E337" s="207"/>
      <c r="F337" s="244"/>
      <c r="G337" s="32"/>
      <c r="H337" s="122" t="s">
        <v>648</v>
      </c>
      <c r="I337" s="122" t="s">
        <v>676</v>
      </c>
      <c r="J337" s="122" t="s">
        <v>971</v>
      </c>
      <c r="K337" s="32" t="s">
        <v>683</v>
      </c>
      <c r="L337" s="116"/>
      <c r="M337" s="116"/>
      <c r="N337" s="54"/>
      <c r="O337" s="130"/>
      <c r="P337" s="32"/>
      <c r="Q337" s="32"/>
    </row>
    <row r="338" spans="1:17" s="30" customFormat="1" ht="22.5">
      <c r="A338" s="43"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101-14-8</v>
      </c>
      <c r="B338" s="214"/>
      <c r="C338" s="210"/>
      <c r="D338" s="207"/>
      <c r="E338" s="207"/>
      <c r="F338" s="244"/>
      <c r="G338" s="32"/>
      <c r="H338" s="122" t="s">
        <v>648</v>
      </c>
      <c r="I338" s="122" t="s">
        <v>676</v>
      </c>
      <c r="J338" s="122" t="s">
        <v>971</v>
      </c>
      <c r="K338" s="32" t="s">
        <v>684</v>
      </c>
      <c r="L338" s="116"/>
      <c r="M338" s="116"/>
      <c r="N338" s="54"/>
      <c r="O338" s="130"/>
      <c r="P338" s="32"/>
      <c r="Q338" s="32"/>
    </row>
    <row r="339" spans="1:17" s="30" customFormat="1" ht="22.5">
      <c r="A339" s="43"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101-14-9</v>
      </c>
      <c r="B339" s="214"/>
      <c r="C339" s="210"/>
      <c r="D339" s="207"/>
      <c r="E339" s="207"/>
      <c r="F339" s="244"/>
      <c r="G339" s="32"/>
      <c r="H339" s="122" t="s">
        <v>648</v>
      </c>
      <c r="I339" s="122" t="s">
        <v>676</v>
      </c>
      <c r="J339" s="122" t="s">
        <v>971</v>
      </c>
      <c r="K339" s="32" t="s">
        <v>685</v>
      </c>
      <c r="L339" s="116"/>
      <c r="M339" s="116"/>
      <c r="N339" s="54"/>
      <c r="O339" s="130"/>
      <c r="P339" s="32"/>
      <c r="Q339" s="32"/>
    </row>
    <row r="340" spans="1:17" s="30" customFormat="1" ht="22.5">
      <c r="A340" s="43"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101-14-10</v>
      </c>
      <c r="B340" s="214"/>
      <c r="C340" s="210"/>
      <c r="D340" s="207"/>
      <c r="E340" s="207"/>
      <c r="F340" s="244"/>
      <c r="G340" s="32"/>
      <c r="H340" s="122" t="s">
        <v>648</v>
      </c>
      <c r="I340" s="122" t="s">
        <v>676</v>
      </c>
      <c r="J340" s="122" t="s">
        <v>971</v>
      </c>
      <c r="K340" s="32" t="s">
        <v>686</v>
      </c>
      <c r="L340" s="116"/>
      <c r="M340" s="116"/>
      <c r="N340" s="54"/>
      <c r="O340" s="130"/>
      <c r="P340" s="32"/>
      <c r="Q340" s="32"/>
    </row>
    <row r="341" spans="1:17" s="30" customFormat="1" ht="22.5">
      <c r="A341" s="43"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101-14-11</v>
      </c>
      <c r="B341" s="214"/>
      <c r="C341" s="210"/>
      <c r="D341" s="207"/>
      <c r="E341" s="207"/>
      <c r="F341" s="239"/>
      <c r="G341" s="32"/>
      <c r="H341" s="122" t="s">
        <v>648</v>
      </c>
      <c r="I341" s="122" t="s">
        <v>676</v>
      </c>
      <c r="J341" s="122" t="s">
        <v>971</v>
      </c>
      <c r="K341" s="32" t="s">
        <v>687</v>
      </c>
      <c r="L341" s="116"/>
      <c r="M341" s="116"/>
      <c r="N341" s="54"/>
      <c r="O341" s="130"/>
      <c r="P341" s="32"/>
      <c r="Q341" s="32"/>
    </row>
    <row r="342" spans="1:17" s="30" customFormat="1" ht="22.5">
      <c r="A342" s="43"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101-15-1</v>
      </c>
      <c r="B342" s="214"/>
      <c r="C342" s="210"/>
      <c r="D342" s="207"/>
      <c r="E342" s="207"/>
      <c r="F342" s="61" t="s">
        <v>430</v>
      </c>
      <c r="G342" s="32"/>
      <c r="H342" s="122" t="s">
        <v>648</v>
      </c>
      <c r="I342" s="122" t="s">
        <v>676</v>
      </c>
      <c r="J342" s="122" t="s">
        <v>971</v>
      </c>
      <c r="K342" s="32" t="s">
        <v>688</v>
      </c>
      <c r="L342" s="116"/>
      <c r="M342" s="116"/>
      <c r="N342" s="54"/>
      <c r="O342" s="130"/>
      <c r="P342" s="32"/>
      <c r="Q342" s="32"/>
    </row>
    <row r="343" spans="1:17" s="30" customFormat="1" ht="22.5">
      <c r="A343" s="43"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101-16-1</v>
      </c>
      <c r="B343" s="214"/>
      <c r="C343" s="210"/>
      <c r="D343" s="207"/>
      <c r="E343" s="207"/>
      <c r="F343" s="94" t="s">
        <v>431</v>
      </c>
      <c r="G343" s="80"/>
      <c r="H343" s="127"/>
      <c r="I343" s="127"/>
      <c r="J343" s="80" t="s">
        <v>978</v>
      </c>
      <c r="K343" s="80"/>
      <c r="L343" s="96"/>
      <c r="M343" s="96"/>
      <c r="N343" s="96"/>
      <c r="O343" s="126"/>
      <c r="P343" s="80"/>
      <c r="Q343" s="80"/>
    </row>
    <row r="344" spans="1:17" s="30" customFormat="1" ht="22.5">
      <c r="A344" s="43"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101-17-1</v>
      </c>
      <c r="B344" s="214"/>
      <c r="C344" s="210"/>
      <c r="D344" s="207"/>
      <c r="E344" s="207"/>
      <c r="F344" s="60" t="s">
        <v>432</v>
      </c>
      <c r="G344" s="32"/>
      <c r="H344" s="122" t="s">
        <v>648</v>
      </c>
      <c r="I344" s="122" t="s">
        <v>676</v>
      </c>
      <c r="J344" s="122" t="s">
        <v>971</v>
      </c>
      <c r="K344" s="32" t="s">
        <v>690</v>
      </c>
      <c r="L344" s="116"/>
      <c r="M344" s="116"/>
      <c r="N344" s="54"/>
      <c r="O344" s="130"/>
      <c r="P344" s="32"/>
      <c r="Q344" s="32"/>
    </row>
    <row r="345" spans="1:17" s="30" customFormat="1" ht="22.5">
      <c r="A345" s="43"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101-17-2</v>
      </c>
      <c r="B345" s="214"/>
      <c r="C345" s="210"/>
      <c r="D345" s="207"/>
      <c r="E345" s="207"/>
      <c r="F345" s="244"/>
      <c r="G345" s="32"/>
      <c r="H345" s="122" t="s">
        <v>648</v>
      </c>
      <c r="I345" s="122" t="s">
        <v>676</v>
      </c>
      <c r="J345" s="122" t="s">
        <v>971</v>
      </c>
      <c r="K345" s="32" t="s">
        <v>691</v>
      </c>
      <c r="L345" s="116"/>
      <c r="M345" s="116"/>
      <c r="N345" s="54"/>
      <c r="O345" s="130"/>
      <c r="P345" s="32"/>
      <c r="Q345" s="32"/>
    </row>
    <row r="346" spans="1:17" s="30" customFormat="1" ht="22.5">
      <c r="A346" s="43"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101-17-3</v>
      </c>
      <c r="B346" s="214"/>
      <c r="C346" s="210"/>
      <c r="D346" s="207"/>
      <c r="E346" s="207"/>
      <c r="F346" s="244"/>
      <c r="G346" s="32"/>
      <c r="H346" s="122" t="s">
        <v>648</v>
      </c>
      <c r="I346" s="122" t="s">
        <v>676</v>
      </c>
      <c r="J346" s="122" t="s">
        <v>971</v>
      </c>
      <c r="K346" s="32" t="s">
        <v>692</v>
      </c>
      <c r="L346" s="116"/>
      <c r="M346" s="116"/>
      <c r="N346" s="54"/>
      <c r="O346" s="130"/>
      <c r="P346" s="32"/>
      <c r="Q346" s="32"/>
    </row>
    <row r="347" spans="1:17" s="30" customFormat="1" ht="22.5">
      <c r="A347" s="43"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101-17-4</v>
      </c>
      <c r="B347" s="214"/>
      <c r="C347" s="210"/>
      <c r="D347" s="207"/>
      <c r="E347" s="207"/>
      <c r="F347" s="244"/>
      <c r="G347" s="32"/>
      <c r="H347" s="122" t="s">
        <v>648</v>
      </c>
      <c r="I347" s="122" t="s">
        <v>676</v>
      </c>
      <c r="J347" s="122" t="s">
        <v>971</v>
      </c>
      <c r="K347" s="32" t="s">
        <v>693</v>
      </c>
      <c r="L347" s="116"/>
      <c r="M347" s="116"/>
      <c r="N347" s="54"/>
      <c r="O347" s="130"/>
      <c r="P347" s="32"/>
      <c r="Q347" s="32"/>
    </row>
    <row r="348" spans="1:17" s="30" customFormat="1" ht="22.5">
      <c r="A348" s="43"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101-17-5</v>
      </c>
      <c r="B348" s="214"/>
      <c r="C348" s="210"/>
      <c r="D348" s="207"/>
      <c r="E348" s="207"/>
      <c r="F348" s="244"/>
      <c r="G348" s="32"/>
      <c r="H348" s="122" t="s">
        <v>648</v>
      </c>
      <c r="I348" s="122" t="s">
        <v>676</v>
      </c>
      <c r="J348" s="122" t="s">
        <v>971</v>
      </c>
      <c r="K348" s="32" t="s">
        <v>694</v>
      </c>
      <c r="L348" s="116"/>
      <c r="M348" s="116"/>
      <c r="N348" s="54"/>
      <c r="O348" s="130"/>
      <c r="P348" s="32"/>
      <c r="Q348" s="32"/>
    </row>
    <row r="349" spans="1:17" s="30" customFormat="1" ht="22.5">
      <c r="A349" s="43"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101-17-6</v>
      </c>
      <c r="B349" s="214"/>
      <c r="C349" s="210"/>
      <c r="D349" s="207"/>
      <c r="E349" s="207"/>
      <c r="F349" s="244"/>
      <c r="G349" s="32"/>
      <c r="H349" s="122" t="s">
        <v>648</v>
      </c>
      <c r="I349" s="122" t="s">
        <v>676</v>
      </c>
      <c r="J349" s="122" t="s">
        <v>971</v>
      </c>
      <c r="K349" s="32" t="s">
        <v>695</v>
      </c>
      <c r="L349" s="116"/>
      <c r="M349" s="116"/>
      <c r="N349" s="54"/>
      <c r="O349" s="130"/>
      <c r="P349" s="32"/>
      <c r="Q349" s="32"/>
    </row>
    <row r="350" spans="1:17" s="30" customFormat="1" ht="22.5">
      <c r="A350" s="43"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101-17-7</v>
      </c>
      <c r="B350" s="214"/>
      <c r="C350" s="210"/>
      <c r="D350" s="207"/>
      <c r="E350" s="207"/>
      <c r="F350" s="244"/>
      <c r="G350" s="32"/>
      <c r="H350" s="122" t="s">
        <v>648</v>
      </c>
      <c r="I350" s="122" t="s">
        <v>676</v>
      </c>
      <c r="J350" s="122" t="s">
        <v>971</v>
      </c>
      <c r="K350" s="32" t="s">
        <v>696</v>
      </c>
      <c r="L350" s="116"/>
      <c r="M350" s="116"/>
      <c r="N350" s="54"/>
      <c r="O350" s="130"/>
      <c r="P350" s="32"/>
      <c r="Q350" s="32"/>
    </row>
    <row r="351" spans="1:17" s="30" customFormat="1" ht="22.5">
      <c r="A351" s="43"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101-17-8</v>
      </c>
      <c r="B351" s="214"/>
      <c r="C351" s="210"/>
      <c r="D351" s="207"/>
      <c r="E351" s="207"/>
      <c r="F351" s="244"/>
      <c r="G351" s="32"/>
      <c r="H351" s="122" t="s">
        <v>648</v>
      </c>
      <c r="I351" s="122" t="s">
        <v>676</v>
      </c>
      <c r="J351" s="122" t="s">
        <v>971</v>
      </c>
      <c r="K351" s="32" t="s">
        <v>697</v>
      </c>
      <c r="L351" s="116"/>
      <c r="M351" s="116"/>
      <c r="N351" s="54"/>
      <c r="O351" s="130"/>
      <c r="P351" s="32"/>
      <c r="Q351" s="32"/>
    </row>
    <row r="352" spans="1:17" s="30" customFormat="1" ht="22.5">
      <c r="A352" s="43"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101-17-9</v>
      </c>
      <c r="B352" s="214"/>
      <c r="C352" s="210"/>
      <c r="D352" s="207"/>
      <c r="E352" s="207"/>
      <c r="F352" s="244"/>
      <c r="G352" s="32"/>
      <c r="H352" s="122" t="s">
        <v>648</v>
      </c>
      <c r="I352" s="122" t="s">
        <v>676</v>
      </c>
      <c r="J352" s="122" t="s">
        <v>971</v>
      </c>
      <c r="K352" s="32" t="s">
        <v>698</v>
      </c>
      <c r="L352" s="116"/>
      <c r="M352" s="116"/>
      <c r="N352" s="54"/>
      <c r="O352" s="130"/>
      <c r="P352" s="32"/>
      <c r="Q352" s="32"/>
    </row>
    <row r="353" spans="1:17" s="30" customFormat="1" ht="22.5">
      <c r="A353" s="43"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101-17-10</v>
      </c>
      <c r="B353" s="214"/>
      <c r="C353" s="210"/>
      <c r="D353" s="207"/>
      <c r="E353" s="207"/>
      <c r="F353" s="244"/>
      <c r="G353" s="32"/>
      <c r="H353" s="122" t="s">
        <v>648</v>
      </c>
      <c r="I353" s="122" t="s">
        <v>676</v>
      </c>
      <c r="J353" s="122" t="s">
        <v>971</v>
      </c>
      <c r="K353" s="32" t="s">
        <v>699</v>
      </c>
      <c r="L353" s="116"/>
      <c r="M353" s="116"/>
      <c r="N353" s="54"/>
      <c r="O353" s="130"/>
      <c r="P353" s="32"/>
      <c r="Q353" s="32"/>
    </row>
    <row r="354" spans="1:17" s="30" customFormat="1" ht="22.5">
      <c r="A354" s="43"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101-17-11</v>
      </c>
      <c r="B354" s="214"/>
      <c r="C354" s="210"/>
      <c r="D354" s="207"/>
      <c r="E354" s="207"/>
      <c r="F354" s="244"/>
      <c r="G354" s="32"/>
      <c r="H354" s="122" t="s">
        <v>648</v>
      </c>
      <c r="I354" s="122" t="s">
        <v>676</v>
      </c>
      <c r="J354" s="122" t="s">
        <v>971</v>
      </c>
      <c r="K354" s="32" t="s">
        <v>700</v>
      </c>
      <c r="L354" s="116"/>
      <c r="M354" s="116"/>
      <c r="N354" s="54"/>
      <c r="O354" s="130"/>
      <c r="P354" s="32"/>
      <c r="Q354" s="32"/>
    </row>
    <row r="355" spans="1:17" s="30" customFormat="1" ht="22.5">
      <c r="A355" s="43"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101-17-12</v>
      </c>
      <c r="B355" s="214"/>
      <c r="C355" s="210"/>
      <c r="D355" s="207"/>
      <c r="E355" s="207"/>
      <c r="F355" s="239"/>
      <c r="G355" s="32"/>
      <c r="H355" s="122" t="s">
        <v>648</v>
      </c>
      <c r="I355" s="122" t="s">
        <v>676</v>
      </c>
      <c r="J355" s="122" t="s">
        <v>971</v>
      </c>
      <c r="K355" s="32" t="s">
        <v>701</v>
      </c>
      <c r="L355" s="116"/>
      <c r="M355" s="116"/>
      <c r="N355" s="54"/>
      <c r="O355" s="130"/>
      <c r="P355" s="32"/>
      <c r="Q355" s="32"/>
    </row>
    <row r="356" spans="1:17" s="30" customFormat="1" ht="33.75">
      <c r="A356" s="43"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101-18-1</v>
      </c>
      <c r="B356" s="214"/>
      <c r="C356" s="210"/>
      <c r="D356" s="207"/>
      <c r="E356" s="207"/>
      <c r="F356" s="60" t="s">
        <v>433</v>
      </c>
      <c r="G356" s="32"/>
      <c r="H356" s="122" t="s">
        <v>648</v>
      </c>
      <c r="I356" s="122" t="s">
        <v>676</v>
      </c>
      <c r="J356" s="122" t="s">
        <v>971</v>
      </c>
      <c r="K356" s="32" t="s">
        <v>702</v>
      </c>
      <c r="L356" s="116"/>
      <c r="M356" s="116"/>
      <c r="N356" s="54"/>
      <c r="O356" s="130"/>
      <c r="P356" s="32"/>
      <c r="Q356" s="32"/>
    </row>
    <row r="357" spans="1:17" s="30" customFormat="1" ht="33.75">
      <c r="A357" s="43"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101-18-2</v>
      </c>
      <c r="B357" s="214"/>
      <c r="C357" s="210"/>
      <c r="D357" s="207"/>
      <c r="E357" s="207"/>
      <c r="F357" s="244"/>
      <c r="G357" s="32"/>
      <c r="H357" s="122" t="s">
        <v>648</v>
      </c>
      <c r="I357" s="122" t="s">
        <v>676</v>
      </c>
      <c r="J357" s="122" t="s">
        <v>971</v>
      </c>
      <c r="K357" s="32" t="s">
        <v>703</v>
      </c>
      <c r="L357" s="116"/>
      <c r="M357" s="116"/>
      <c r="N357" s="54"/>
      <c r="O357" s="130"/>
      <c r="P357" s="32"/>
      <c r="Q357" s="32"/>
    </row>
    <row r="358" spans="1:17" s="30" customFormat="1" ht="33.75">
      <c r="A358" s="43"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101-18-3</v>
      </c>
      <c r="B358" s="214"/>
      <c r="C358" s="210"/>
      <c r="D358" s="207"/>
      <c r="E358" s="207"/>
      <c r="F358" s="244"/>
      <c r="G358" s="32"/>
      <c r="H358" s="122" t="s">
        <v>648</v>
      </c>
      <c r="I358" s="122" t="s">
        <v>676</v>
      </c>
      <c r="J358" s="122" t="s">
        <v>971</v>
      </c>
      <c r="K358" s="32" t="s">
        <v>704</v>
      </c>
      <c r="L358" s="116"/>
      <c r="M358" s="116"/>
      <c r="N358" s="54"/>
      <c r="O358" s="130"/>
      <c r="P358" s="32"/>
      <c r="Q358" s="32"/>
    </row>
    <row r="359" spans="1:17" s="30" customFormat="1" ht="33.75">
      <c r="A359" s="43"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101-18-4</v>
      </c>
      <c r="B359" s="214"/>
      <c r="C359" s="210"/>
      <c r="D359" s="207"/>
      <c r="E359" s="207"/>
      <c r="F359" s="244"/>
      <c r="G359" s="32"/>
      <c r="H359" s="122" t="s">
        <v>648</v>
      </c>
      <c r="I359" s="122" t="s">
        <v>676</v>
      </c>
      <c r="J359" s="122" t="s">
        <v>971</v>
      </c>
      <c r="K359" s="32" t="s">
        <v>705</v>
      </c>
      <c r="L359" s="116"/>
      <c r="M359" s="116"/>
      <c r="N359" s="54"/>
      <c r="O359" s="130"/>
      <c r="P359" s="32"/>
      <c r="Q359" s="32"/>
    </row>
    <row r="360" spans="1:17" s="30" customFormat="1" ht="33.75">
      <c r="A360" s="43"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101-18-5</v>
      </c>
      <c r="B360" s="214"/>
      <c r="C360" s="210"/>
      <c r="D360" s="207"/>
      <c r="E360" s="207"/>
      <c r="F360" s="244"/>
      <c r="G360" s="32"/>
      <c r="H360" s="122" t="s">
        <v>648</v>
      </c>
      <c r="I360" s="122" t="s">
        <v>676</v>
      </c>
      <c r="J360" s="122" t="s">
        <v>971</v>
      </c>
      <c r="K360" s="32" t="s">
        <v>706</v>
      </c>
      <c r="L360" s="116"/>
      <c r="M360" s="116"/>
      <c r="N360" s="54"/>
      <c r="O360" s="130"/>
      <c r="P360" s="32"/>
      <c r="Q360" s="32"/>
    </row>
    <row r="361" spans="1:17" s="30" customFormat="1" ht="33.75">
      <c r="A361" s="43"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101-18-6</v>
      </c>
      <c r="B361" s="214"/>
      <c r="C361" s="210"/>
      <c r="D361" s="207"/>
      <c r="E361" s="207"/>
      <c r="F361" s="244"/>
      <c r="G361" s="32"/>
      <c r="H361" s="122" t="s">
        <v>648</v>
      </c>
      <c r="I361" s="122" t="s">
        <v>676</v>
      </c>
      <c r="J361" s="122" t="s">
        <v>971</v>
      </c>
      <c r="K361" s="32" t="s">
        <v>707</v>
      </c>
      <c r="L361" s="116"/>
      <c r="M361" s="116"/>
      <c r="N361" s="54"/>
      <c r="O361" s="130"/>
      <c r="P361" s="32"/>
      <c r="Q361" s="32"/>
    </row>
    <row r="362" spans="1:17" s="30" customFormat="1" ht="33.75">
      <c r="A362" s="43"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101-18-7</v>
      </c>
      <c r="B362" s="214"/>
      <c r="C362" s="210"/>
      <c r="D362" s="207"/>
      <c r="E362" s="207"/>
      <c r="F362" s="244"/>
      <c r="G362" s="32"/>
      <c r="H362" s="122" t="s">
        <v>648</v>
      </c>
      <c r="I362" s="122" t="s">
        <v>676</v>
      </c>
      <c r="J362" s="122" t="s">
        <v>971</v>
      </c>
      <c r="K362" s="32" t="s">
        <v>708</v>
      </c>
      <c r="L362" s="116"/>
      <c r="M362" s="116"/>
      <c r="N362" s="54"/>
      <c r="O362" s="130"/>
      <c r="P362" s="32"/>
      <c r="Q362" s="32"/>
    </row>
    <row r="363" spans="1:17" s="30" customFormat="1" ht="33.75">
      <c r="A363" s="43"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101-18-8</v>
      </c>
      <c r="B363" s="214"/>
      <c r="C363" s="210"/>
      <c r="D363" s="207"/>
      <c r="E363" s="207"/>
      <c r="F363" s="244"/>
      <c r="G363" s="32"/>
      <c r="H363" s="122" t="s">
        <v>648</v>
      </c>
      <c r="I363" s="122" t="s">
        <v>676</v>
      </c>
      <c r="J363" s="122" t="s">
        <v>971</v>
      </c>
      <c r="K363" s="32" t="s">
        <v>709</v>
      </c>
      <c r="L363" s="116"/>
      <c r="M363" s="116"/>
      <c r="N363" s="54"/>
      <c r="O363" s="130"/>
      <c r="P363" s="32"/>
      <c r="Q363" s="32"/>
    </row>
    <row r="364" spans="1:17" s="30" customFormat="1" ht="33.75">
      <c r="A364" s="43"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101-18-9</v>
      </c>
      <c r="B364" s="214"/>
      <c r="C364" s="210"/>
      <c r="D364" s="207"/>
      <c r="E364" s="207"/>
      <c r="F364" s="244"/>
      <c r="G364" s="32"/>
      <c r="H364" s="122" t="s">
        <v>648</v>
      </c>
      <c r="I364" s="122" t="s">
        <v>676</v>
      </c>
      <c r="J364" s="122" t="s">
        <v>971</v>
      </c>
      <c r="K364" s="32" t="s">
        <v>710</v>
      </c>
      <c r="L364" s="116"/>
      <c r="M364" s="116"/>
      <c r="N364" s="54"/>
      <c r="O364" s="130"/>
      <c r="P364" s="32"/>
      <c r="Q364" s="32"/>
    </row>
    <row r="365" spans="1:17" s="30" customFormat="1" ht="33.75">
      <c r="A365" s="43"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101-18-10</v>
      </c>
      <c r="B365" s="214"/>
      <c r="C365" s="210"/>
      <c r="D365" s="207"/>
      <c r="E365" s="207"/>
      <c r="F365" s="244"/>
      <c r="G365" s="32"/>
      <c r="H365" s="122" t="s">
        <v>648</v>
      </c>
      <c r="I365" s="122" t="s">
        <v>676</v>
      </c>
      <c r="J365" s="122" t="s">
        <v>971</v>
      </c>
      <c r="K365" s="32" t="s">
        <v>711</v>
      </c>
      <c r="L365" s="116"/>
      <c r="M365" s="116"/>
      <c r="N365" s="54"/>
      <c r="O365" s="130"/>
      <c r="P365" s="32"/>
      <c r="Q365" s="32"/>
    </row>
    <row r="366" spans="1:17" s="30" customFormat="1" ht="33.75">
      <c r="A366" s="43"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101-18-11</v>
      </c>
      <c r="B366" s="214"/>
      <c r="C366" s="210"/>
      <c r="D366" s="207"/>
      <c r="E366" s="207"/>
      <c r="F366" s="244"/>
      <c r="G366" s="32"/>
      <c r="H366" s="122" t="s">
        <v>648</v>
      </c>
      <c r="I366" s="122" t="s">
        <v>676</v>
      </c>
      <c r="J366" s="122" t="s">
        <v>971</v>
      </c>
      <c r="K366" s="32" t="s">
        <v>712</v>
      </c>
      <c r="L366" s="116"/>
      <c r="M366" s="116"/>
      <c r="N366" s="54"/>
      <c r="O366" s="130"/>
      <c r="P366" s="32"/>
      <c r="Q366" s="32"/>
    </row>
    <row r="367" spans="1:17" s="30" customFormat="1" ht="33.75">
      <c r="A367" s="43"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101-18-12</v>
      </c>
      <c r="B367" s="214"/>
      <c r="C367" s="210"/>
      <c r="D367" s="207"/>
      <c r="E367" s="207"/>
      <c r="F367" s="239"/>
      <c r="G367" s="32"/>
      <c r="H367" s="122" t="s">
        <v>648</v>
      </c>
      <c r="I367" s="122" t="s">
        <v>676</v>
      </c>
      <c r="J367" s="122" t="s">
        <v>971</v>
      </c>
      <c r="K367" s="32" t="s">
        <v>713</v>
      </c>
      <c r="L367" s="116"/>
      <c r="M367" s="116"/>
      <c r="N367" s="54"/>
      <c r="O367" s="130"/>
      <c r="P367" s="32"/>
      <c r="Q367" s="32"/>
    </row>
    <row r="368" spans="1:17" s="30" customFormat="1" ht="22.5">
      <c r="A368" s="43"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101-19-1</v>
      </c>
      <c r="B368" s="214"/>
      <c r="C368" s="210"/>
      <c r="D368" s="207"/>
      <c r="E368" s="207"/>
      <c r="F368" s="60" t="s">
        <v>434</v>
      </c>
      <c r="G368" s="32"/>
      <c r="H368" s="122" t="s">
        <v>648</v>
      </c>
      <c r="I368" s="122" t="s">
        <v>714</v>
      </c>
      <c r="J368" s="122" t="s">
        <v>971</v>
      </c>
      <c r="K368" s="32" t="s">
        <v>715</v>
      </c>
      <c r="L368" s="116"/>
      <c r="M368" s="116"/>
      <c r="N368" s="54"/>
      <c r="O368" s="130"/>
      <c r="P368" s="32"/>
      <c r="Q368" s="32"/>
    </row>
    <row r="369" spans="1:17" s="30" customFormat="1" ht="22.5">
      <c r="A369" s="43"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101-19-2</v>
      </c>
      <c r="B369" s="214"/>
      <c r="C369" s="210"/>
      <c r="D369" s="207"/>
      <c r="E369" s="207"/>
      <c r="F369" s="244"/>
      <c r="G369" s="32"/>
      <c r="H369" s="122" t="s">
        <v>648</v>
      </c>
      <c r="I369" s="122" t="s">
        <v>714</v>
      </c>
      <c r="J369" s="122" t="s">
        <v>971</v>
      </c>
      <c r="K369" s="32" t="s">
        <v>716</v>
      </c>
      <c r="L369" s="116"/>
      <c r="M369" s="116"/>
      <c r="N369" s="54"/>
      <c r="O369" s="130"/>
      <c r="P369" s="32"/>
      <c r="Q369" s="32"/>
    </row>
    <row r="370" spans="1:17" s="30" customFormat="1" ht="22.5">
      <c r="A370" s="43"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101-19-3</v>
      </c>
      <c r="B370" s="214"/>
      <c r="C370" s="210"/>
      <c r="D370" s="207"/>
      <c r="E370" s="207"/>
      <c r="F370" s="244"/>
      <c r="G370" s="32"/>
      <c r="H370" s="122" t="s">
        <v>648</v>
      </c>
      <c r="I370" s="122" t="s">
        <v>714</v>
      </c>
      <c r="J370" s="122" t="s">
        <v>971</v>
      </c>
      <c r="K370" s="32" t="s">
        <v>717</v>
      </c>
      <c r="L370" s="116"/>
      <c r="M370" s="116"/>
      <c r="N370" s="54"/>
      <c r="O370" s="130"/>
      <c r="P370" s="32"/>
      <c r="Q370" s="32"/>
    </row>
    <row r="371" spans="1:17" s="30" customFormat="1" ht="22.5">
      <c r="A371" s="43"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101-19-4</v>
      </c>
      <c r="B371" s="214"/>
      <c r="C371" s="210"/>
      <c r="D371" s="207"/>
      <c r="E371" s="207"/>
      <c r="F371" s="244"/>
      <c r="G371" s="32"/>
      <c r="H371" s="122" t="s">
        <v>648</v>
      </c>
      <c r="I371" s="122" t="s">
        <v>714</v>
      </c>
      <c r="J371" s="122" t="s">
        <v>971</v>
      </c>
      <c r="K371" s="32" t="s">
        <v>718</v>
      </c>
      <c r="L371" s="116"/>
      <c r="M371" s="116"/>
      <c r="N371" s="54"/>
      <c r="O371" s="130"/>
      <c r="P371" s="32"/>
      <c r="Q371" s="32"/>
    </row>
    <row r="372" spans="1:17" s="30" customFormat="1" ht="22.5">
      <c r="A372" s="43"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101-19-5</v>
      </c>
      <c r="B372" s="214"/>
      <c r="C372" s="210"/>
      <c r="D372" s="207"/>
      <c r="E372" s="207"/>
      <c r="F372" s="244"/>
      <c r="G372" s="32"/>
      <c r="H372" s="122" t="s">
        <v>648</v>
      </c>
      <c r="I372" s="122" t="s">
        <v>714</v>
      </c>
      <c r="J372" s="122" t="s">
        <v>971</v>
      </c>
      <c r="K372" s="32" t="s">
        <v>719</v>
      </c>
      <c r="L372" s="116"/>
      <c r="M372" s="116"/>
      <c r="N372" s="54"/>
      <c r="O372" s="130"/>
      <c r="P372" s="32"/>
      <c r="Q372" s="32"/>
    </row>
    <row r="373" spans="1:17" s="30" customFormat="1" ht="22.5">
      <c r="A373" s="43"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101-19-6</v>
      </c>
      <c r="B373" s="214"/>
      <c r="C373" s="210"/>
      <c r="D373" s="207"/>
      <c r="E373" s="207"/>
      <c r="F373" s="244"/>
      <c r="G373" s="32"/>
      <c r="H373" s="122" t="s">
        <v>648</v>
      </c>
      <c r="I373" s="122" t="s">
        <v>714</v>
      </c>
      <c r="J373" s="122" t="s">
        <v>971</v>
      </c>
      <c r="K373" s="32" t="s">
        <v>720</v>
      </c>
      <c r="L373" s="116"/>
      <c r="M373" s="116"/>
      <c r="N373" s="54"/>
      <c r="O373" s="130"/>
      <c r="P373" s="32"/>
      <c r="Q373" s="32"/>
    </row>
    <row r="374" spans="1:17" s="30" customFormat="1" ht="22.5">
      <c r="A374" s="43"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101-19-7</v>
      </c>
      <c r="B374" s="214"/>
      <c r="C374" s="210"/>
      <c r="D374" s="207"/>
      <c r="E374" s="207"/>
      <c r="F374" s="244"/>
      <c r="G374" s="32"/>
      <c r="H374" s="122" t="s">
        <v>648</v>
      </c>
      <c r="I374" s="122" t="s">
        <v>714</v>
      </c>
      <c r="J374" s="122" t="s">
        <v>971</v>
      </c>
      <c r="K374" s="32" t="s">
        <v>721</v>
      </c>
      <c r="L374" s="116"/>
      <c r="M374" s="116"/>
      <c r="N374" s="54"/>
      <c r="O374" s="130"/>
      <c r="P374" s="32"/>
      <c r="Q374" s="32"/>
    </row>
    <row r="375" spans="1:17" s="30" customFormat="1" ht="22.5">
      <c r="A375" s="43"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101-19-8</v>
      </c>
      <c r="B375" s="214"/>
      <c r="C375" s="210"/>
      <c r="D375" s="207"/>
      <c r="E375" s="207"/>
      <c r="F375" s="244"/>
      <c r="G375" s="32"/>
      <c r="H375" s="122" t="s">
        <v>648</v>
      </c>
      <c r="I375" s="122" t="s">
        <v>714</v>
      </c>
      <c r="J375" s="122" t="s">
        <v>971</v>
      </c>
      <c r="K375" s="32" t="s">
        <v>722</v>
      </c>
      <c r="L375" s="116"/>
      <c r="M375" s="116"/>
      <c r="N375" s="54"/>
      <c r="O375" s="130"/>
      <c r="P375" s="32"/>
      <c r="Q375" s="32"/>
    </row>
    <row r="376" spans="1:17" s="30" customFormat="1" ht="22.5">
      <c r="A376" s="43"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101-19-9</v>
      </c>
      <c r="B376" s="214"/>
      <c r="C376" s="210"/>
      <c r="D376" s="207"/>
      <c r="E376" s="207"/>
      <c r="F376" s="244"/>
      <c r="G376" s="32"/>
      <c r="H376" s="122" t="s">
        <v>648</v>
      </c>
      <c r="I376" s="122" t="s">
        <v>714</v>
      </c>
      <c r="J376" s="122" t="s">
        <v>971</v>
      </c>
      <c r="K376" s="32" t="s">
        <v>723</v>
      </c>
      <c r="L376" s="116"/>
      <c r="M376" s="116"/>
      <c r="N376" s="54"/>
      <c r="O376" s="130"/>
      <c r="P376" s="32"/>
      <c r="Q376" s="32"/>
    </row>
    <row r="377" spans="1:17" s="30" customFormat="1" ht="22.5">
      <c r="A377" s="43"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101-19-10</v>
      </c>
      <c r="B377" s="214"/>
      <c r="C377" s="210"/>
      <c r="D377" s="207"/>
      <c r="E377" s="207"/>
      <c r="F377" s="244"/>
      <c r="G377" s="32"/>
      <c r="H377" s="122" t="s">
        <v>648</v>
      </c>
      <c r="I377" s="122" t="s">
        <v>714</v>
      </c>
      <c r="J377" s="122" t="s">
        <v>971</v>
      </c>
      <c r="K377" s="32" t="s">
        <v>724</v>
      </c>
      <c r="L377" s="116"/>
      <c r="M377" s="116"/>
      <c r="N377" s="54"/>
      <c r="O377" s="130"/>
      <c r="P377" s="32"/>
      <c r="Q377" s="32"/>
    </row>
    <row r="378" spans="1:17" s="30" customFormat="1" ht="22.5">
      <c r="A378" s="43"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101-19-11</v>
      </c>
      <c r="B378" s="214"/>
      <c r="C378" s="210"/>
      <c r="D378" s="207"/>
      <c r="E378" s="207"/>
      <c r="F378" s="239"/>
      <c r="G378" s="32"/>
      <c r="H378" s="122" t="s">
        <v>648</v>
      </c>
      <c r="I378" s="122" t="s">
        <v>714</v>
      </c>
      <c r="J378" s="122" t="s">
        <v>971</v>
      </c>
      <c r="K378" s="32" t="s">
        <v>725</v>
      </c>
      <c r="L378" s="116"/>
      <c r="M378" s="116"/>
      <c r="N378" s="54"/>
      <c r="O378" s="130"/>
      <c r="P378" s="32"/>
      <c r="Q378" s="32"/>
    </row>
    <row r="379" spans="1:17" s="30" customFormat="1" ht="22.5">
      <c r="A379" s="43"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101-20-1</v>
      </c>
      <c r="B379" s="214"/>
      <c r="C379" s="210"/>
      <c r="D379" s="207"/>
      <c r="E379" s="207"/>
      <c r="F379" s="94" t="s">
        <v>435</v>
      </c>
      <c r="G379" s="80"/>
      <c r="H379" s="127"/>
      <c r="I379" s="127"/>
      <c r="J379" s="80" t="s">
        <v>726</v>
      </c>
      <c r="K379" s="123"/>
      <c r="L379" s="96"/>
      <c r="M379" s="96"/>
      <c r="N379" s="96"/>
      <c r="O379" s="126"/>
      <c r="P379" s="80"/>
      <c r="Q379" s="80"/>
    </row>
    <row r="380" spans="1:17" s="30" customFormat="1" ht="22.5">
      <c r="A380" s="43"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101-21-1</v>
      </c>
      <c r="B380" s="214"/>
      <c r="C380" s="210"/>
      <c r="D380" s="207"/>
      <c r="E380" s="207"/>
      <c r="F380" s="94" t="s">
        <v>436</v>
      </c>
      <c r="G380" s="80" t="s">
        <v>618</v>
      </c>
      <c r="H380" s="127"/>
      <c r="I380" s="80"/>
      <c r="J380" s="80"/>
      <c r="K380" s="123"/>
      <c r="L380" s="96"/>
      <c r="M380" s="96"/>
      <c r="N380" s="96"/>
      <c r="O380" s="126"/>
      <c r="P380" s="80"/>
      <c r="Q380" s="80"/>
    </row>
    <row r="381" spans="1:17" s="30" customFormat="1" ht="22.5">
      <c r="A381" s="43"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102-1-1</v>
      </c>
      <c r="B381" s="214"/>
      <c r="C381" s="207"/>
      <c r="D381" s="207"/>
      <c r="E381" s="195" t="s">
        <v>437</v>
      </c>
      <c r="F381" s="94" t="s">
        <v>438</v>
      </c>
      <c r="G381" s="80"/>
      <c r="H381" s="127"/>
      <c r="I381" s="80"/>
      <c r="J381" s="80" t="s">
        <v>727</v>
      </c>
      <c r="K381" s="123"/>
      <c r="L381" s="96"/>
      <c r="M381" s="96"/>
      <c r="N381" s="96"/>
      <c r="O381" s="126"/>
      <c r="P381" s="80"/>
      <c r="Q381" s="80"/>
    </row>
    <row r="382" spans="1:17" s="30" customFormat="1" ht="22.5">
      <c r="A382" s="43"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102-2-1</v>
      </c>
      <c r="B382" s="214"/>
      <c r="C382" s="210"/>
      <c r="D382" s="207"/>
      <c r="E382" s="198"/>
      <c r="F382" s="94" t="s">
        <v>439</v>
      </c>
      <c r="G382" s="80"/>
      <c r="H382" s="127"/>
      <c r="I382" s="80"/>
      <c r="J382" s="80" t="s">
        <v>727</v>
      </c>
      <c r="K382" s="123"/>
      <c r="L382" s="96"/>
      <c r="M382" s="96"/>
      <c r="N382" s="96"/>
      <c r="O382" s="126"/>
      <c r="P382" s="80"/>
      <c r="Q382" s="80"/>
    </row>
    <row r="383" spans="1:17" ht="22.5">
      <c r="A383" s="43" t="str" cm="1">
        <f t="array" aca="1" ref="A383" ca="1">_xlfn.LET(
_xlpm.詳細項目数, COUNTA($E$11:E383),
_xlpm.直近で詳細項目が空でないセルの行番号, MAX(INDEX((LEN($E$11:E383)&gt;0)*ROW($E$11:E383),0)),
_xlpm.観点数, COUNTA(INDIRECT("F"&amp;_xlpm.直近で詳細項目が空でないセルの行番号):F383),
_xlpm.直近で観点が空でないセルの行番号, MAX(INDEX((LEN($F$11:F383)&gt;0)*ROW($F$11:F383),0)),
_xlpm.テスト内容数, COUNTA(INDIRECT("J"&amp;_xlpm.直近で観点が空でないセルの行番号):J383),
_xlpm.テスト内容数_空なら1, IF(_xlpm.テスト内容数=0,1,_xlpm.テスト内容数),
_xlpm.詳細項目数&amp;"-"&amp;_xlpm.観点数&amp;"-"&amp;_xlpm.テスト内容数_空なら1
)</f>
        <v>103-1-1</v>
      </c>
      <c r="B383" s="214"/>
      <c r="C383" s="210"/>
      <c r="D383" s="207"/>
      <c r="E383" s="196" t="s">
        <v>440</v>
      </c>
      <c r="F383" s="94" t="s">
        <v>441</v>
      </c>
      <c r="G383" s="94"/>
      <c r="H383" s="127"/>
      <c r="I383" s="127"/>
      <c r="J383" s="96" t="s">
        <v>728</v>
      </c>
      <c r="K383" s="245"/>
      <c r="L383" s="127"/>
      <c r="M383" s="96"/>
      <c r="N383" s="97"/>
      <c r="O383" s="126"/>
      <c r="P383" s="126"/>
      <c r="Q383" s="126"/>
    </row>
    <row r="384" spans="1:17" ht="22.5">
      <c r="A384" s="43" t="str" cm="1">
        <f t="array" aca="1" ref="A384" ca="1">_xlfn.LET(
_xlpm.詳細項目数, COUNTA($E$11:E384),
_xlpm.直近で詳細項目が空でないセルの行番号, MAX(INDEX((LEN($E$11:E384)&gt;0)*ROW($E$11:E384),0)),
_xlpm.観点数, COUNTA(INDIRECT("F"&amp;_xlpm.直近で詳細項目が空でないセルの行番号):F384),
_xlpm.直近で観点が空でないセルの行番号, MAX(INDEX((LEN($F$11:F384)&gt;0)*ROW($F$11:F384),0)),
_xlpm.テスト内容数, COUNTA(INDIRECT("J"&amp;_xlpm.直近で観点が空でないセルの行番号):J384),
_xlpm.テスト内容数_空なら1, IF(_xlpm.テスト内容数=0,1,_xlpm.テスト内容数),
_xlpm.詳細項目数&amp;"-"&amp;_xlpm.観点数&amp;"-"&amp;_xlpm.テスト内容数_空なら1
)</f>
        <v>103-2-1</v>
      </c>
      <c r="B384" s="214"/>
      <c r="C384" s="210"/>
      <c r="D384" s="207"/>
      <c r="E384" s="196"/>
      <c r="F384" s="94" t="s">
        <v>442</v>
      </c>
      <c r="G384" s="94"/>
      <c r="H384" s="127"/>
      <c r="I384" s="127"/>
      <c r="J384" s="96" t="s">
        <v>728</v>
      </c>
      <c r="K384" s="245"/>
      <c r="L384" s="127"/>
      <c r="M384" s="96"/>
      <c r="N384" s="97"/>
      <c r="O384" s="126"/>
      <c r="P384" s="126"/>
      <c r="Q384" s="126"/>
    </row>
    <row r="385" spans="1:17" s="30" customFormat="1" ht="22.5">
      <c r="A385" s="43" t="str" cm="1">
        <f t="array" aca="1" ref="A385" ca="1">_xlfn.LET(
_xlpm.詳細項目数, COUNTA($E$11:E385),
_xlpm.直近で詳細項目が空でないセルの行番号, MAX(INDEX((LEN($E$11:E385)&gt;0)*ROW($E$11:E385),0)),
_xlpm.観点数, COUNTA(INDIRECT("F"&amp;_xlpm.直近で詳細項目が空でないセルの行番号):F385),
_xlpm.直近で観点が空でないセルの行番号, MAX(INDEX((LEN($F$11:F385)&gt;0)*ROW($F$11:F385),0)),
_xlpm.テスト内容数, COUNTA(INDIRECT("J"&amp;_xlpm.直近で観点が空でないセルの行番号):J385),
_xlpm.テスト内容数_空なら1, IF(_xlpm.テスト内容数=0,1,_xlpm.テスト内容数),
_xlpm.詳細項目数&amp;"-"&amp;_xlpm.観点数&amp;"-"&amp;_xlpm.テスト内容数_空なら1
)</f>
        <v>104-1-1</v>
      </c>
      <c r="B385" s="214"/>
      <c r="C385" s="210"/>
      <c r="D385" s="207"/>
      <c r="E385" s="126" t="s">
        <v>443</v>
      </c>
      <c r="F385" s="94" t="s">
        <v>444</v>
      </c>
      <c r="G385" s="80"/>
      <c r="H385" s="127"/>
      <c r="I385" s="80"/>
      <c r="J385" s="96" t="s">
        <v>729</v>
      </c>
      <c r="K385" s="123"/>
      <c r="L385" s="96"/>
      <c r="M385" s="96"/>
      <c r="N385" s="96"/>
      <c r="O385" s="126"/>
      <c r="P385" s="80"/>
      <c r="Q385" s="80"/>
    </row>
    <row r="386" spans="1:17" s="30" customFormat="1" ht="22.5">
      <c r="A386" s="43" t="str" cm="1">
        <f t="array" aca="1" ref="A386" ca="1">_xlfn.LET(
_xlpm.詳細項目数, COUNTA($E$11:E386),
_xlpm.直近で詳細項目が空でないセルの行番号, MAX(INDEX((LEN($E$11:E386)&gt;0)*ROW($E$11:E386),0)),
_xlpm.観点数, COUNTA(INDIRECT("F"&amp;_xlpm.直近で詳細項目が空でないセルの行番号):F386),
_xlpm.直近で観点が空でないセルの行番号, MAX(INDEX((LEN($F$11:F386)&gt;0)*ROW($F$11:F386),0)),
_xlpm.テスト内容数, COUNTA(INDIRECT("J"&amp;_xlpm.直近で観点が空でないセルの行番号):J386),
_xlpm.テスト内容数_空なら1, IF(_xlpm.テスト内容数=0,1,_xlpm.テスト内容数),
_xlpm.詳細項目数&amp;"-"&amp;_xlpm.観点数&amp;"-"&amp;_xlpm.テスト内容数_空なら1
)</f>
        <v>105-1-1</v>
      </c>
      <c r="B386" s="214"/>
      <c r="C386" s="210"/>
      <c r="D386" s="207"/>
      <c r="E386" s="207" t="s">
        <v>496</v>
      </c>
      <c r="F386" s="94" t="s">
        <v>445</v>
      </c>
      <c r="G386" s="80"/>
      <c r="H386" s="127"/>
      <c r="I386" s="127"/>
      <c r="J386" s="127" t="s">
        <v>876</v>
      </c>
      <c r="K386" s="80"/>
      <c r="L386" s="96"/>
      <c r="M386" s="96"/>
      <c r="N386" s="96"/>
      <c r="O386" s="126"/>
      <c r="P386" s="80"/>
      <c r="Q386" s="80"/>
    </row>
    <row r="387" spans="1:17" ht="22.5">
      <c r="A387" s="43" t="str" cm="1">
        <f t="array" aca="1" ref="A387" ca="1">_xlfn.LET(
_xlpm.詳細項目数, COUNTA($E$11:E387),
_xlpm.直近で詳細項目が空でないセルの行番号, MAX(INDEX((LEN($E$11:E387)&gt;0)*ROW($E$11:E387),0)),
_xlpm.観点数, COUNTA(INDIRECT("F"&amp;_xlpm.直近で詳細項目が空でないセルの行番号):F387),
_xlpm.直近で観点が空でないセルの行番号, MAX(INDEX((LEN($F$11:F387)&gt;0)*ROW($F$11:F387),0)),
_xlpm.テスト内容数, COUNTA(INDIRECT("J"&amp;_xlpm.直近で観点が空でないセルの行番号):J387),
_xlpm.テスト内容数_空なら1, IF(_xlpm.テスト内容数=0,1,_xlpm.テスト内容数),
_xlpm.詳細項目数&amp;"-"&amp;_xlpm.観点数&amp;"-"&amp;_xlpm.テスト内容数_空なら1
)</f>
        <v>105-2-1</v>
      </c>
      <c r="B387" s="214"/>
      <c r="C387" s="210"/>
      <c r="D387" s="207"/>
      <c r="E387" s="207"/>
      <c r="F387" s="94" t="s">
        <v>446</v>
      </c>
      <c r="G387" s="95"/>
      <c r="H387" s="127"/>
      <c r="I387" s="127"/>
      <c r="J387" s="127" t="s">
        <v>876</v>
      </c>
      <c r="K387" s="80"/>
      <c r="L387" s="96"/>
      <c r="M387" s="96"/>
      <c r="N387" s="96"/>
      <c r="O387" s="126"/>
      <c r="P387" s="97"/>
      <c r="Q387" s="97"/>
    </row>
    <row r="388" spans="1:17" ht="33.75">
      <c r="A388" s="43" t="str" cm="1">
        <f t="array" aca="1" ref="A388" ca="1">_xlfn.LET(
_xlpm.詳細項目数, COUNTA($E$11:E388),
_xlpm.直近で詳細項目が空でないセルの行番号, MAX(INDEX((LEN($E$11:E388)&gt;0)*ROW($E$11:E388),0)),
_xlpm.観点数, COUNTA(INDIRECT("F"&amp;_xlpm.直近で詳細項目が空でないセルの行番号):F388),
_xlpm.直近で観点が空でないセルの行番号, MAX(INDEX((LEN($F$11:F388)&gt;0)*ROW($F$11:F388),0)),
_xlpm.テスト内容数, COUNTA(INDIRECT("J"&amp;_xlpm.直近で観点が空でないセルの行番号):J388),
_xlpm.テスト内容数_空なら1, IF(_xlpm.テスト内容数=0,1,_xlpm.テスト内容数),
_xlpm.詳細項目数&amp;"-"&amp;_xlpm.観点数&amp;"-"&amp;_xlpm.テスト内容数_空なら1
)</f>
        <v>105-3-1</v>
      </c>
      <c r="B388" s="214"/>
      <c r="C388" s="210"/>
      <c r="D388" s="207"/>
      <c r="E388" s="207"/>
      <c r="F388" s="94" t="s">
        <v>447</v>
      </c>
      <c r="G388" s="95"/>
      <c r="H388" s="96"/>
      <c r="I388" s="96"/>
      <c r="J388" s="127" t="s">
        <v>877</v>
      </c>
      <c r="K388" s="97"/>
      <c r="L388" s="96"/>
      <c r="M388" s="96"/>
      <c r="N388" s="96"/>
      <c r="O388" s="126"/>
      <c r="P388" s="97"/>
      <c r="Q388" s="97"/>
    </row>
    <row r="389" spans="1:17" ht="45">
      <c r="A389" s="43" t="str" cm="1">
        <f t="array" aca="1" ref="A389" ca="1">_xlfn.LET(
_xlpm.詳細項目数, COUNTA($E$11:E389),
_xlpm.直近で詳細項目が空でないセルの行番号, MAX(INDEX((LEN($E$11:E389)&gt;0)*ROW($E$11:E389),0)),
_xlpm.観点数, COUNTA(INDIRECT("F"&amp;_xlpm.直近で詳細項目が空でないセルの行番号):F389),
_xlpm.直近で観点が空でないセルの行番号, MAX(INDEX((LEN($F$11:F389)&gt;0)*ROW($F$11:F389),0)),
_xlpm.テスト内容数, COUNTA(INDIRECT("J"&amp;_xlpm.直近で観点が空でないセルの行番号):J389),
_xlpm.テスト内容数_空なら1, IF(_xlpm.テスト内容数=0,1,_xlpm.テスト内容数),
_xlpm.詳細項目数&amp;"-"&amp;_xlpm.観点数&amp;"-"&amp;_xlpm.テスト内容数_空なら1
)</f>
        <v>105-4-1</v>
      </c>
      <c r="B389" s="214"/>
      <c r="C389" s="210"/>
      <c r="D389" s="207"/>
      <c r="E389" s="207"/>
      <c r="F389" s="94" t="s">
        <v>448</v>
      </c>
      <c r="G389" s="95"/>
      <c r="H389" s="96"/>
      <c r="I389" s="96"/>
      <c r="J389" s="127" t="s">
        <v>877</v>
      </c>
      <c r="K389" s="97"/>
      <c r="L389" s="96"/>
      <c r="M389" s="96"/>
      <c r="N389" s="96"/>
      <c r="O389" s="126"/>
      <c r="P389" s="97"/>
      <c r="Q389" s="97"/>
    </row>
    <row r="390" spans="1:17" ht="33.75">
      <c r="A390" s="43" t="str" cm="1">
        <f t="array" aca="1" ref="A390" ca="1">_xlfn.LET(
_xlpm.詳細項目数, COUNTA($E$11:E390),
_xlpm.直近で詳細項目が空でないセルの行番号, MAX(INDEX((LEN($E$11:E390)&gt;0)*ROW($E$11:E390),0)),
_xlpm.観点数, COUNTA(INDIRECT("F"&amp;_xlpm.直近で詳細項目が空でないセルの行番号):F390),
_xlpm.直近で観点が空でないセルの行番号, MAX(INDEX((LEN($F$11:F390)&gt;0)*ROW($F$11:F390),0)),
_xlpm.テスト内容数, COUNTA(INDIRECT("J"&amp;_xlpm.直近で観点が空でないセルの行番号):J390),
_xlpm.テスト内容数_空なら1, IF(_xlpm.テスト内容数=0,1,_xlpm.テスト内容数),
_xlpm.詳細項目数&amp;"-"&amp;_xlpm.観点数&amp;"-"&amp;_xlpm.テスト内容数_空なら1
)</f>
        <v>105-5-1</v>
      </c>
      <c r="B390" s="214"/>
      <c r="C390" s="210"/>
      <c r="D390" s="207"/>
      <c r="E390" s="207"/>
      <c r="F390" s="94" t="s">
        <v>449</v>
      </c>
      <c r="G390" s="95"/>
      <c r="H390" s="96"/>
      <c r="I390" s="96"/>
      <c r="J390" s="127" t="s">
        <v>877</v>
      </c>
      <c r="K390" s="97"/>
      <c r="L390" s="96"/>
      <c r="M390" s="96"/>
      <c r="N390" s="96"/>
      <c r="O390" s="126"/>
      <c r="P390" s="97"/>
      <c r="Q390" s="97"/>
    </row>
    <row r="391" spans="1:17" ht="45">
      <c r="A391" s="43" t="str" cm="1">
        <f t="array" aca="1" ref="A391" ca="1">_xlfn.LET(
_xlpm.詳細項目数, COUNTA($E$11:E391),
_xlpm.直近で詳細項目が空でないセルの行番号, MAX(INDEX((LEN($E$11:E391)&gt;0)*ROW($E$11:E391),0)),
_xlpm.観点数, COUNTA(INDIRECT("F"&amp;_xlpm.直近で詳細項目が空でないセルの行番号):F391),
_xlpm.直近で観点が空でないセルの行番号, MAX(INDEX((LEN($F$11:F391)&gt;0)*ROW($F$11:F391),0)),
_xlpm.テスト内容数, COUNTA(INDIRECT("J"&amp;_xlpm.直近で観点が空でないセルの行番号):J391),
_xlpm.テスト内容数_空なら1, IF(_xlpm.テスト内容数=0,1,_xlpm.テスト内容数),
_xlpm.詳細項目数&amp;"-"&amp;_xlpm.観点数&amp;"-"&amp;_xlpm.テスト内容数_空なら1
)</f>
        <v>105-6-1</v>
      </c>
      <c r="B391" s="214"/>
      <c r="C391" s="210"/>
      <c r="D391" s="207"/>
      <c r="E391" s="207"/>
      <c r="F391" s="94" t="s">
        <v>450</v>
      </c>
      <c r="G391" s="95"/>
      <c r="H391" s="96"/>
      <c r="I391" s="96"/>
      <c r="J391" s="127" t="s">
        <v>877</v>
      </c>
      <c r="K391" s="97"/>
      <c r="L391" s="96"/>
      <c r="M391" s="96"/>
      <c r="N391" s="96"/>
      <c r="O391" s="126"/>
      <c r="P391" s="97"/>
      <c r="Q391" s="97"/>
    </row>
    <row r="392" spans="1:17" ht="33.75">
      <c r="A392" s="43" t="str" cm="1">
        <f t="array" aca="1" ref="A392" ca="1">_xlfn.LET(
_xlpm.詳細項目数, COUNTA($E$11:E392),
_xlpm.直近で詳細項目が空でないセルの行番号, MAX(INDEX((LEN($E$11:E392)&gt;0)*ROW($E$11:E392),0)),
_xlpm.観点数, COUNTA(INDIRECT("F"&amp;_xlpm.直近で詳細項目が空でないセルの行番号):F392),
_xlpm.直近で観点が空でないセルの行番号, MAX(INDEX((LEN($F$11:F392)&gt;0)*ROW($F$11:F392),0)),
_xlpm.テスト内容数, COUNTA(INDIRECT("J"&amp;_xlpm.直近で観点が空でないセルの行番号):J392),
_xlpm.テスト内容数_空なら1, IF(_xlpm.テスト内容数=0,1,_xlpm.テスト内容数),
_xlpm.詳細項目数&amp;"-"&amp;_xlpm.観点数&amp;"-"&amp;_xlpm.テスト内容数_空なら1
)</f>
        <v>105-7-1</v>
      </c>
      <c r="B392" s="214"/>
      <c r="C392" s="210"/>
      <c r="D392" s="207"/>
      <c r="E392" s="207"/>
      <c r="F392" s="94" t="s">
        <v>451</v>
      </c>
      <c r="G392" s="95"/>
      <c r="H392" s="96"/>
      <c r="I392" s="96"/>
      <c r="J392" s="127" t="s">
        <v>877</v>
      </c>
      <c r="K392" s="97"/>
      <c r="L392" s="96"/>
      <c r="M392" s="96"/>
      <c r="N392" s="96"/>
      <c r="O392" s="126"/>
      <c r="P392" s="97"/>
      <c r="Q392" s="97"/>
    </row>
    <row r="393" spans="1:17" ht="45">
      <c r="A393" s="43" t="str" cm="1">
        <f t="array" aca="1" ref="A393" ca="1">_xlfn.LET(
_xlpm.詳細項目数, COUNTA($E$11:E393),
_xlpm.直近で詳細項目が空でないセルの行番号, MAX(INDEX((LEN($E$11:E393)&gt;0)*ROW($E$11:E393),0)),
_xlpm.観点数, COUNTA(INDIRECT("F"&amp;_xlpm.直近で詳細項目が空でないセルの行番号):F393),
_xlpm.直近で観点が空でないセルの行番号, MAX(INDEX((LEN($F$11:F393)&gt;0)*ROW($F$11:F393),0)),
_xlpm.テスト内容数, COUNTA(INDIRECT("J"&amp;_xlpm.直近で観点が空でないセルの行番号):J393),
_xlpm.テスト内容数_空なら1, IF(_xlpm.テスト内容数=0,1,_xlpm.テスト内容数),
_xlpm.詳細項目数&amp;"-"&amp;_xlpm.観点数&amp;"-"&amp;_xlpm.テスト内容数_空なら1
)</f>
        <v>105-8-1</v>
      </c>
      <c r="B393" s="214"/>
      <c r="C393" s="210"/>
      <c r="D393" s="207"/>
      <c r="E393" s="207"/>
      <c r="F393" s="94" t="s">
        <v>452</v>
      </c>
      <c r="G393" s="95"/>
      <c r="H393" s="96"/>
      <c r="I393" s="96"/>
      <c r="J393" s="127" t="s">
        <v>877</v>
      </c>
      <c r="K393" s="97"/>
      <c r="L393" s="96"/>
      <c r="M393" s="96"/>
      <c r="N393" s="96"/>
      <c r="O393" s="126"/>
      <c r="P393" s="97"/>
      <c r="Q393" s="97"/>
    </row>
    <row r="394" spans="1:17" ht="33.75">
      <c r="A394" s="43" t="str" cm="1">
        <f t="array" aca="1" ref="A394" ca="1">_xlfn.LET(
_xlpm.詳細項目数, COUNTA($E$11:E394),
_xlpm.直近で詳細項目が空でないセルの行番号, MAX(INDEX((LEN($E$11:E394)&gt;0)*ROW($E$11:E394),0)),
_xlpm.観点数, COUNTA(INDIRECT("F"&amp;_xlpm.直近で詳細項目が空でないセルの行番号):F394),
_xlpm.直近で観点が空でないセルの行番号, MAX(INDEX((LEN($F$11:F394)&gt;0)*ROW($F$11:F394),0)),
_xlpm.テスト内容数, COUNTA(INDIRECT("J"&amp;_xlpm.直近で観点が空でないセルの行番号):J394),
_xlpm.テスト内容数_空なら1, IF(_xlpm.テスト内容数=0,1,_xlpm.テスト内容数),
_xlpm.詳細項目数&amp;"-"&amp;_xlpm.観点数&amp;"-"&amp;_xlpm.テスト内容数_空なら1
)</f>
        <v>105-9-1</v>
      </c>
      <c r="B394" s="214"/>
      <c r="C394" s="210"/>
      <c r="D394" s="207"/>
      <c r="E394" s="207"/>
      <c r="F394" s="61" t="s">
        <v>453</v>
      </c>
      <c r="G394" s="71"/>
      <c r="H394" s="116" t="s">
        <v>660</v>
      </c>
      <c r="I394" s="116" t="s">
        <v>730</v>
      </c>
      <c r="J394" s="117" t="s">
        <v>1003</v>
      </c>
      <c r="K394" s="78" t="s">
        <v>739</v>
      </c>
      <c r="L394" s="116"/>
      <c r="M394" s="116"/>
      <c r="N394" s="54"/>
      <c r="O394" s="130"/>
      <c r="P394" s="78"/>
      <c r="Q394" s="78"/>
    </row>
    <row r="395" spans="1:17" ht="33.75">
      <c r="A395" s="43" t="str" cm="1">
        <f t="array" aca="1" ref="A395" ca="1">_xlfn.LET(
_xlpm.詳細項目数, COUNTA($E$11:E395),
_xlpm.直近で詳細項目が空でないセルの行番号, MAX(INDEX((LEN($E$11:E395)&gt;0)*ROW($E$11:E395),0)),
_xlpm.観点数, COUNTA(INDIRECT("F"&amp;_xlpm.直近で詳細項目が空でないセルの行番号):F395),
_xlpm.直近で観点が空でないセルの行番号, MAX(INDEX((LEN($F$11:F395)&gt;0)*ROW($F$11:F395),0)),
_xlpm.テスト内容数, COUNTA(INDIRECT("J"&amp;_xlpm.直近で観点が空でないセルの行番号):J395),
_xlpm.テスト内容数_空なら1, IF(_xlpm.テスト内容数=0,1,_xlpm.テスト内容数),
_xlpm.詳細項目数&amp;"-"&amp;_xlpm.観点数&amp;"-"&amp;_xlpm.テスト内容数_空なら1
)</f>
        <v>106-1-1</v>
      </c>
      <c r="B395" s="213"/>
      <c r="C395" s="210"/>
      <c r="D395" s="207"/>
      <c r="E395" s="130" t="s">
        <v>497</v>
      </c>
      <c r="F395" s="61" t="s">
        <v>454</v>
      </c>
      <c r="G395" s="71"/>
      <c r="H395" s="122" t="s">
        <v>660</v>
      </c>
      <c r="I395" s="122" t="s">
        <v>740</v>
      </c>
      <c r="J395" s="122" t="s">
        <v>971</v>
      </c>
      <c r="K395" s="32" t="s">
        <v>760</v>
      </c>
      <c r="L395" s="116"/>
      <c r="M395" s="116"/>
      <c r="N395" s="54"/>
      <c r="O395" s="130"/>
      <c r="P395" s="78"/>
      <c r="Q395" s="78"/>
    </row>
    <row r="396" spans="1:17" ht="22.5">
      <c r="A396" s="43" t="str" cm="1">
        <f t="array" aca="1" ref="A396" ca="1">_xlfn.LET(
_xlpm.詳細項目数, COUNTA($E$11:E396),
_xlpm.直近で詳細項目が空でないセルの行番号, MAX(INDEX((LEN($E$11:E396)&gt;0)*ROW($E$11:E396),0)),
_xlpm.観点数, COUNTA(INDIRECT("F"&amp;_xlpm.直近で詳細項目が空でないセルの行番号):F396),
_xlpm.直近で観点が空でないセルの行番号, MAX(INDEX((LEN($F$11:F396)&gt;0)*ROW($F$11:F396),0)),
_xlpm.テスト内容数, COUNTA(INDIRECT("J"&amp;_xlpm.直近で観点が空でないセルの行番号):J396),
_xlpm.テスト内容数_空なら1, IF(_xlpm.テスト内容数=0,1,_xlpm.テスト内容数),
_xlpm.詳細項目数&amp;"-"&amp;_xlpm.観点数&amp;"-"&amp;_xlpm.テスト内容数_空なら1
)</f>
        <v>107-1-1</v>
      </c>
      <c r="B396" s="213"/>
      <c r="C396" s="210"/>
      <c r="D396" s="211"/>
      <c r="E396" s="130" t="s">
        <v>498</v>
      </c>
      <c r="F396" s="61" t="s">
        <v>455</v>
      </c>
      <c r="G396" s="71"/>
      <c r="H396" s="122" t="s">
        <v>660</v>
      </c>
      <c r="I396" s="122" t="s">
        <v>741</v>
      </c>
      <c r="J396" s="122" t="s">
        <v>971</v>
      </c>
      <c r="K396" s="116" t="s">
        <v>742</v>
      </c>
      <c r="L396" s="116"/>
      <c r="M396" s="116"/>
      <c r="N396" s="54"/>
      <c r="O396" s="130"/>
      <c r="P396" s="78"/>
      <c r="Q396" s="78"/>
    </row>
    <row r="397" spans="1:17" ht="22.5">
      <c r="A397" s="43" t="str" cm="1">
        <f t="array" aca="1" ref="A397" ca="1">_xlfn.LET(
_xlpm.詳細項目数, COUNTA($E$11:E397),
_xlpm.直近で詳細項目が空でないセルの行番号, MAX(INDEX((LEN($E$11:E397)&gt;0)*ROW($E$11:E397),0)),
_xlpm.観点数, COUNTA(INDIRECT("F"&amp;_xlpm.直近で詳細項目が空でないセルの行番号):F397),
_xlpm.直近で観点が空でないセルの行番号, MAX(INDEX((LEN($F$11:F397)&gt;0)*ROW($F$11:F397),0)),
_xlpm.テスト内容数, COUNTA(INDIRECT("J"&amp;_xlpm.直近で観点が空でないセルの行番号):J397),
_xlpm.テスト内容数_空なら1, IF(_xlpm.テスト内容数=0,1,_xlpm.テスト内容数),
_xlpm.詳細項目数&amp;"-"&amp;_xlpm.観点数&amp;"-"&amp;_xlpm.テスト内容数_空なら1
)</f>
        <v>108-1-1</v>
      </c>
      <c r="B397" s="213"/>
      <c r="C397" s="207"/>
      <c r="D397" s="207" t="s">
        <v>456</v>
      </c>
      <c r="E397" s="212" t="s">
        <v>499</v>
      </c>
      <c r="F397" s="60" t="s">
        <v>457</v>
      </c>
      <c r="G397" s="71"/>
      <c r="H397" s="122" t="s">
        <v>648</v>
      </c>
      <c r="I397" s="122" t="s">
        <v>761</v>
      </c>
      <c r="J397" s="122" t="s">
        <v>971</v>
      </c>
      <c r="K397" s="32" t="s">
        <v>745</v>
      </c>
      <c r="L397" s="116"/>
      <c r="M397" s="116"/>
      <c r="N397" s="54"/>
      <c r="O397" s="130"/>
      <c r="P397" s="78"/>
      <c r="Q397" s="78"/>
    </row>
    <row r="398" spans="1:17" ht="22.5">
      <c r="A398" s="43" t="str" cm="1">
        <f t="array" aca="1" ref="A398" ca="1">_xlfn.LET(
_xlpm.詳細項目数, COUNTA($E$11:E398),
_xlpm.直近で詳細項目が空でないセルの行番号, MAX(INDEX((LEN($E$11:E398)&gt;0)*ROW($E$11:E398),0)),
_xlpm.観点数, COUNTA(INDIRECT("F"&amp;_xlpm.直近で詳細項目が空でないセルの行番号):F398),
_xlpm.直近で観点が空でないセルの行番号, MAX(INDEX((LEN($F$11:F398)&gt;0)*ROW($F$11:F398),0)),
_xlpm.テスト内容数, COUNTA(INDIRECT("J"&amp;_xlpm.直近で観点が空でないセルの行番号):J398),
_xlpm.テスト内容数_空なら1, IF(_xlpm.テスト内容数=0,1,_xlpm.テスト内容数),
_xlpm.詳細項目数&amp;"-"&amp;_xlpm.観点数&amp;"-"&amp;_xlpm.テスト内容数_空なら1
)</f>
        <v>108-1-2</v>
      </c>
      <c r="B398" s="213"/>
      <c r="C398" s="210"/>
      <c r="D398" s="207"/>
      <c r="E398" s="207"/>
      <c r="F398" s="244"/>
      <c r="G398" s="71"/>
      <c r="H398" s="122" t="s">
        <v>648</v>
      </c>
      <c r="I398" s="122" t="s">
        <v>761</v>
      </c>
      <c r="J398" s="122" t="s">
        <v>971</v>
      </c>
      <c r="K398" s="32" t="s">
        <v>746</v>
      </c>
      <c r="L398" s="116"/>
      <c r="M398" s="116"/>
      <c r="N398" s="54"/>
      <c r="O398" s="130"/>
      <c r="P398" s="78"/>
      <c r="Q398" s="78"/>
    </row>
    <row r="399" spans="1:17" ht="22.5">
      <c r="A399" s="43" t="str" cm="1">
        <f t="array" aca="1" ref="A399" ca="1">_xlfn.LET(
_xlpm.詳細項目数, COUNTA($E$11:E399),
_xlpm.直近で詳細項目が空でないセルの行番号, MAX(INDEX((LEN($E$11:E399)&gt;0)*ROW($E$11:E399),0)),
_xlpm.観点数, COUNTA(INDIRECT("F"&amp;_xlpm.直近で詳細項目が空でないセルの行番号):F399),
_xlpm.直近で観点が空でないセルの行番号, MAX(INDEX((LEN($F$11:F399)&gt;0)*ROW($F$11:F399),0)),
_xlpm.テスト内容数, COUNTA(INDIRECT("J"&amp;_xlpm.直近で観点が空でないセルの行番号):J399),
_xlpm.テスト内容数_空なら1, IF(_xlpm.テスト内容数=0,1,_xlpm.テスト内容数),
_xlpm.詳細項目数&amp;"-"&amp;_xlpm.観点数&amp;"-"&amp;_xlpm.テスト内容数_空なら1
)</f>
        <v>108-1-3</v>
      </c>
      <c r="B399" s="213"/>
      <c r="C399" s="210"/>
      <c r="D399" s="207"/>
      <c r="E399" s="207"/>
      <c r="F399" s="244"/>
      <c r="G399" s="71"/>
      <c r="H399" s="122" t="s">
        <v>648</v>
      </c>
      <c r="I399" s="122" t="s">
        <v>761</v>
      </c>
      <c r="J399" s="122" t="s">
        <v>971</v>
      </c>
      <c r="K399" s="32" t="s">
        <v>747</v>
      </c>
      <c r="L399" s="116"/>
      <c r="M399" s="116"/>
      <c r="N399" s="54"/>
      <c r="O399" s="130"/>
      <c r="P399" s="78"/>
      <c r="Q399" s="78"/>
    </row>
    <row r="400" spans="1:17" ht="22.5">
      <c r="A400" s="43" t="str" cm="1">
        <f t="array" aca="1" ref="A400" ca="1">_xlfn.LET(
_xlpm.詳細項目数, COUNTA($E$11:E400),
_xlpm.直近で詳細項目が空でないセルの行番号, MAX(INDEX((LEN($E$11:E400)&gt;0)*ROW($E$11:E400),0)),
_xlpm.観点数, COUNTA(INDIRECT("F"&amp;_xlpm.直近で詳細項目が空でないセルの行番号):F400),
_xlpm.直近で観点が空でないセルの行番号, MAX(INDEX((LEN($F$11:F400)&gt;0)*ROW($F$11:F400),0)),
_xlpm.テスト内容数, COUNTA(INDIRECT("J"&amp;_xlpm.直近で観点が空でないセルの行番号):J400),
_xlpm.テスト内容数_空なら1, IF(_xlpm.テスト内容数=0,1,_xlpm.テスト内容数),
_xlpm.詳細項目数&amp;"-"&amp;_xlpm.観点数&amp;"-"&amp;_xlpm.テスト内容数_空なら1
)</f>
        <v>108-1-4</v>
      </c>
      <c r="B400" s="213"/>
      <c r="C400" s="210"/>
      <c r="D400" s="207"/>
      <c r="E400" s="207"/>
      <c r="F400" s="244"/>
      <c r="G400" s="71"/>
      <c r="H400" s="122" t="s">
        <v>648</v>
      </c>
      <c r="I400" s="122" t="s">
        <v>761</v>
      </c>
      <c r="J400" s="122" t="s">
        <v>971</v>
      </c>
      <c r="K400" s="32" t="s">
        <v>748</v>
      </c>
      <c r="L400" s="116"/>
      <c r="M400" s="116"/>
      <c r="N400" s="54"/>
      <c r="O400" s="130"/>
      <c r="P400" s="78"/>
      <c r="Q400" s="78"/>
    </row>
    <row r="401" spans="1:17" ht="22.5">
      <c r="A401" s="43" t="str" cm="1">
        <f t="array" aca="1" ref="A401" ca="1">_xlfn.LET(
_xlpm.詳細項目数, COUNTA($E$11:E401),
_xlpm.直近で詳細項目が空でないセルの行番号, MAX(INDEX((LEN($E$11:E401)&gt;0)*ROW($E$11:E401),0)),
_xlpm.観点数, COUNTA(INDIRECT("F"&amp;_xlpm.直近で詳細項目が空でないセルの行番号):F401),
_xlpm.直近で観点が空でないセルの行番号, MAX(INDEX((LEN($F$11:F401)&gt;0)*ROW($F$11:F401),0)),
_xlpm.テスト内容数, COUNTA(INDIRECT("J"&amp;_xlpm.直近で観点が空でないセルの行番号):J401),
_xlpm.テスト内容数_空なら1, IF(_xlpm.テスト内容数=0,1,_xlpm.テスト内容数),
_xlpm.詳細項目数&amp;"-"&amp;_xlpm.観点数&amp;"-"&amp;_xlpm.テスト内容数_空なら1
)</f>
        <v>108-1-5</v>
      </c>
      <c r="B401" s="213"/>
      <c r="C401" s="210"/>
      <c r="D401" s="207"/>
      <c r="E401" s="207"/>
      <c r="F401" s="244"/>
      <c r="G401" s="71"/>
      <c r="H401" s="122" t="s">
        <v>648</v>
      </c>
      <c r="I401" s="122" t="s">
        <v>761</v>
      </c>
      <c r="J401" s="122" t="s">
        <v>971</v>
      </c>
      <c r="K401" s="32" t="s">
        <v>749</v>
      </c>
      <c r="L401" s="116"/>
      <c r="M401" s="116"/>
      <c r="N401" s="54"/>
      <c r="O401" s="130"/>
      <c r="P401" s="78"/>
      <c r="Q401" s="78"/>
    </row>
    <row r="402" spans="1:17" ht="22.5">
      <c r="A402" s="43" t="str" cm="1">
        <f t="array" aca="1" ref="A402" ca="1">_xlfn.LET(
_xlpm.詳細項目数, COUNTA($E$11:E402),
_xlpm.直近で詳細項目が空でないセルの行番号, MAX(INDEX((LEN($E$11:E402)&gt;0)*ROW($E$11:E402),0)),
_xlpm.観点数, COUNTA(INDIRECT("F"&amp;_xlpm.直近で詳細項目が空でないセルの行番号):F402),
_xlpm.直近で観点が空でないセルの行番号, MAX(INDEX((LEN($F$11:F402)&gt;0)*ROW($F$11:F402),0)),
_xlpm.テスト内容数, COUNTA(INDIRECT("J"&amp;_xlpm.直近で観点が空でないセルの行番号):J402),
_xlpm.テスト内容数_空なら1, IF(_xlpm.テスト内容数=0,1,_xlpm.テスト内容数),
_xlpm.詳細項目数&amp;"-"&amp;_xlpm.観点数&amp;"-"&amp;_xlpm.テスト内容数_空なら1
)</f>
        <v>108-1-6</v>
      </c>
      <c r="B402" s="213"/>
      <c r="C402" s="210"/>
      <c r="D402" s="207"/>
      <c r="E402" s="207"/>
      <c r="F402" s="244"/>
      <c r="G402" s="71"/>
      <c r="H402" s="122" t="s">
        <v>648</v>
      </c>
      <c r="I402" s="122" t="s">
        <v>761</v>
      </c>
      <c r="J402" s="122" t="s">
        <v>971</v>
      </c>
      <c r="K402" s="32" t="s">
        <v>750</v>
      </c>
      <c r="L402" s="116"/>
      <c r="M402" s="116"/>
      <c r="N402" s="54"/>
      <c r="O402" s="130"/>
      <c r="P402" s="78"/>
      <c r="Q402" s="78"/>
    </row>
    <row r="403" spans="1:17" ht="22.5">
      <c r="A403" s="43" t="str" cm="1">
        <f t="array" aca="1" ref="A403" ca="1">_xlfn.LET(
_xlpm.詳細項目数, COUNTA($E$11:E403),
_xlpm.直近で詳細項目が空でないセルの行番号, MAX(INDEX((LEN($E$11:E403)&gt;0)*ROW($E$11:E403),0)),
_xlpm.観点数, COUNTA(INDIRECT("F"&amp;_xlpm.直近で詳細項目が空でないセルの行番号):F403),
_xlpm.直近で観点が空でないセルの行番号, MAX(INDEX((LEN($F$11:F403)&gt;0)*ROW($F$11:F403),0)),
_xlpm.テスト内容数, COUNTA(INDIRECT("J"&amp;_xlpm.直近で観点が空でないセルの行番号):J403),
_xlpm.テスト内容数_空なら1, IF(_xlpm.テスト内容数=0,1,_xlpm.テスト内容数),
_xlpm.詳細項目数&amp;"-"&amp;_xlpm.観点数&amp;"-"&amp;_xlpm.テスト内容数_空なら1
)</f>
        <v>108-1-7</v>
      </c>
      <c r="B403" s="213"/>
      <c r="C403" s="210"/>
      <c r="D403" s="207"/>
      <c r="E403" s="207"/>
      <c r="F403" s="244"/>
      <c r="G403" s="71"/>
      <c r="H403" s="122" t="s">
        <v>648</v>
      </c>
      <c r="I403" s="122" t="s">
        <v>761</v>
      </c>
      <c r="J403" s="122" t="s">
        <v>971</v>
      </c>
      <c r="K403" s="32" t="s">
        <v>751</v>
      </c>
      <c r="L403" s="116"/>
      <c r="M403" s="116"/>
      <c r="N403" s="54"/>
      <c r="O403" s="130"/>
      <c r="P403" s="78"/>
      <c r="Q403" s="78"/>
    </row>
    <row r="404" spans="1:17" ht="22.5">
      <c r="A404" s="43" t="str" cm="1">
        <f t="array" aca="1" ref="A404" ca="1">_xlfn.LET(
_xlpm.詳細項目数, COUNTA($E$11:E404),
_xlpm.直近で詳細項目が空でないセルの行番号, MAX(INDEX((LEN($E$11:E404)&gt;0)*ROW($E$11:E404),0)),
_xlpm.観点数, COUNTA(INDIRECT("F"&amp;_xlpm.直近で詳細項目が空でないセルの行番号):F404),
_xlpm.直近で観点が空でないセルの行番号, MAX(INDEX((LEN($F$11:F404)&gt;0)*ROW($F$11:F404),0)),
_xlpm.テスト内容数, COUNTA(INDIRECT("J"&amp;_xlpm.直近で観点が空でないセルの行番号):J404),
_xlpm.テスト内容数_空なら1, IF(_xlpm.テスト内容数=0,1,_xlpm.テスト内容数),
_xlpm.詳細項目数&amp;"-"&amp;_xlpm.観点数&amp;"-"&amp;_xlpm.テスト内容数_空なら1
)</f>
        <v>108-1-8</v>
      </c>
      <c r="B404" s="213"/>
      <c r="C404" s="210"/>
      <c r="D404" s="207"/>
      <c r="E404" s="207"/>
      <c r="F404" s="244"/>
      <c r="G404" s="71"/>
      <c r="H404" s="122" t="s">
        <v>648</v>
      </c>
      <c r="I404" s="122" t="s">
        <v>761</v>
      </c>
      <c r="J404" s="122" t="s">
        <v>971</v>
      </c>
      <c r="K404" s="32" t="s">
        <v>752</v>
      </c>
      <c r="L404" s="116"/>
      <c r="M404" s="116"/>
      <c r="N404" s="54"/>
      <c r="O404" s="130"/>
      <c r="P404" s="78"/>
      <c r="Q404" s="78"/>
    </row>
    <row r="405" spans="1:17" ht="22.5">
      <c r="A405" s="43" t="str" cm="1">
        <f t="array" aca="1" ref="A405" ca="1">_xlfn.LET(
_xlpm.詳細項目数, COUNTA($E$11:E405),
_xlpm.直近で詳細項目が空でないセルの行番号, MAX(INDEX((LEN($E$11:E405)&gt;0)*ROW($E$11:E405),0)),
_xlpm.観点数, COUNTA(INDIRECT("F"&amp;_xlpm.直近で詳細項目が空でないセルの行番号):F405),
_xlpm.直近で観点が空でないセルの行番号, MAX(INDEX((LEN($F$11:F405)&gt;0)*ROW($F$11:F405),0)),
_xlpm.テスト内容数, COUNTA(INDIRECT("J"&amp;_xlpm.直近で観点が空でないセルの行番号):J405),
_xlpm.テスト内容数_空なら1, IF(_xlpm.テスト内容数=0,1,_xlpm.テスト内容数),
_xlpm.詳細項目数&amp;"-"&amp;_xlpm.観点数&amp;"-"&amp;_xlpm.テスト内容数_空なら1
)</f>
        <v>108-1-9</v>
      </c>
      <c r="B405" s="213"/>
      <c r="C405" s="210"/>
      <c r="D405" s="207"/>
      <c r="E405" s="207"/>
      <c r="F405" s="244"/>
      <c r="G405" s="71"/>
      <c r="H405" s="122" t="s">
        <v>648</v>
      </c>
      <c r="I405" s="122" t="s">
        <v>761</v>
      </c>
      <c r="J405" s="122" t="s">
        <v>971</v>
      </c>
      <c r="K405" s="32" t="s">
        <v>753</v>
      </c>
      <c r="L405" s="116"/>
      <c r="M405" s="116"/>
      <c r="N405" s="54"/>
      <c r="O405" s="130"/>
      <c r="P405" s="78"/>
      <c r="Q405" s="78"/>
    </row>
    <row r="406" spans="1:17" ht="22.5">
      <c r="A406" s="43" t="str" cm="1">
        <f t="array" aca="1" ref="A406" ca="1">_xlfn.LET(
_xlpm.詳細項目数, COUNTA($E$11:E406),
_xlpm.直近で詳細項目が空でないセルの行番号, MAX(INDEX((LEN($E$11:E406)&gt;0)*ROW($E$11:E406),0)),
_xlpm.観点数, COUNTA(INDIRECT("F"&amp;_xlpm.直近で詳細項目が空でないセルの行番号):F406),
_xlpm.直近で観点が空でないセルの行番号, MAX(INDEX((LEN($F$11:F406)&gt;0)*ROW($F$11:F406),0)),
_xlpm.テスト内容数, COUNTA(INDIRECT("J"&amp;_xlpm.直近で観点が空でないセルの行番号):J406),
_xlpm.テスト内容数_空なら1, IF(_xlpm.テスト内容数=0,1,_xlpm.テスト内容数),
_xlpm.詳細項目数&amp;"-"&amp;_xlpm.観点数&amp;"-"&amp;_xlpm.テスト内容数_空なら1
)</f>
        <v>108-1-10</v>
      </c>
      <c r="B406" s="213"/>
      <c r="C406" s="210"/>
      <c r="D406" s="207"/>
      <c r="E406" s="207"/>
      <c r="F406" s="244"/>
      <c r="G406" s="71"/>
      <c r="H406" s="122" t="s">
        <v>648</v>
      </c>
      <c r="I406" s="122" t="s">
        <v>761</v>
      </c>
      <c r="J406" s="122" t="s">
        <v>971</v>
      </c>
      <c r="K406" s="32" t="s">
        <v>754</v>
      </c>
      <c r="L406" s="116"/>
      <c r="M406" s="116"/>
      <c r="N406" s="54"/>
      <c r="O406" s="130"/>
      <c r="P406" s="78"/>
      <c r="Q406" s="78"/>
    </row>
    <row r="407" spans="1:17" ht="22.5">
      <c r="A407" s="43" t="str" cm="1">
        <f t="array" aca="1" ref="A407" ca="1">_xlfn.LET(
_xlpm.詳細項目数, COUNTA($E$11:E407),
_xlpm.直近で詳細項目が空でないセルの行番号, MAX(INDEX((LEN($E$11:E407)&gt;0)*ROW($E$11:E407),0)),
_xlpm.観点数, COUNTA(INDIRECT("F"&amp;_xlpm.直近で詳細項目が空でないセルの行番号):F407),
_xlpm.直近で観点が空でないセルの行番号, MAX(INDEX((LEN($F$11:F407)&gt;0)*ROW($F$11:F407),0)),
_xlpm.テスト内容数, COUNTA(INDIRECT("J"&amp;_xlpm.直近で観点が空でないセルの行番号):J407),
_xlpm.テスト内容数_空なら1, IF(_xlpm.テスト内容数=0,1,_xlpm.テスト内容数),
_xlpm.詳細項目数&amp;"-"&amp;_xlpm.観点数&amp;"-"&amp;_xlpm.テスト内容数_空なら1
)</f>
        <v>108-1-11</v>
      </c>
      <c r="B407" s="213"/>
      <c r="C407" s="210"/>
      <c r="D407" s="207"/>
      <c r="E407" s="207"/>
      <c r="F407" s="244"/>
      <c r="G407" s="71"/>
      <c r="H407" s="122" t="s">
        <v>648</v>
      </c>
      <c r="I407" s="122" t="s">
        <v>761</v>
      </c>
      <c r="J407" s="122" t="s">
        <v>971</v>
      </c>
      <c r="K407" s="32" t="s">
        <v>755</v>
      </c>
      <c r="L407" s="116"/>
      <c r="M407" s="116"/>
      <c r="N407" s="54"/>
      <c r="O407" s="130"/>
      <c r="P407" s="78"/>
      <c r="Q407" s="78"/>
    </row>
    <row r="408" spans="1:17" ht="22.5">
      <c r="A408" s="43" t="str" cm="1">
        <f t="array" aca="1" ref="A408" ca="1">_xlfn.LET(
_xlpm.詳細項目数, COUNTA($E$11:E408),
_xlpm.直近で詳細項目が空でないセルの行番号, MAX(INDEX((LEN($E$11:E408)&gt;0)*ROW($E$11:E408),0)),
_xlpm.観点数, COUNTA(INDIRECT("F"&amp;_xlpm.直近で詳細項目が空でないセルの行番号):F408),
_xlpm.直近で観点が空でないセルの行番号, MAX(INDEX((LEN($F$11:F408)&gt;0)*ROW($F$11:F408),0)),
_xlpm.テスト内容数, COUNTA(INDIRECT("J"&amp;_xlpm.直近で観点が空でないセルの行番号):J408),
_xlpm.テスト内容数_空なら1, IF(_xlpm.テスト内容数=0,1,_xlpm.テスト内容数),
_xlpm.詳細項目数&amp;"-"&amp;_xlpm.観点数&amp;"-"&amp;_xlpm.テスト内容数_空なら1
)</f>
        <v>108-1-12</v>
      </c>
      <c r="B408" s="213"/>
      <c r="C408" s="210"/>
      <c r="D408" s="207"/>
      <c r="E408" s="211"/>
      <c r="F408" s="239"/>
      <c r="G408" s="71"/>
      <c r="H408" s="122" t="s">
        <v>648</v>
      </c>
      <c r="I408" s="122" t="s">
        <v>761</v>
      </c>
      <c r="J408" s="122" t="s">
        <v>971</v>
      </c>
      <c r="K408" s="32" t="s">
        <v>756</v>
      </c>
      <c r="L408" s="116"/>
      <c r="M408" s="116"/>
      <c r="N408" s="54"/>
      <c r="O408" s="130"/>
      <c r="P408" s="78"/>
      <c r="Q408" s="78"/>
    </row>
    <row r="409" spans="1:17" ht="22.5">
      <c r="A409" s="43" t="str" cm="1">
        <f t="array" aca="1" ref="A409" ca="1">_xlfn.LET(
_xlpm.詳細項目数, COUNTA($E$11:E409),
_xlpm.直近で詳細項目が空でないセルの行番号, MAX(INDEX((LEN($E$11:E409)&gt;0)*ROW($E$11:E409),0)),
_xlpm.観点数, COUNTA(INDIRECT("F"&amp;_xlpm.直近で詳細項目が空でないセルの行番号):F409),
_xlpm.直近で観点が空でないセルの行番号, MAX(INDEX((LEN($F$11:F409)&gt;0)*ROW($F$11:F409),0)),
_xlpm.テスト内容数, COUNTA(INDIRECT("J"&amp;_xlpm.直近で観点が空でないセルの行番号):J409),
_xlpm.テスト内容数_空なら1, IF(_xlpm.テスト内容数=0,1,_xlpm.テスト内容数),
_xlpm.詳細項目数&amp;"-"&amp;_xlpm.観点数&amp;"-"&amp;_xlpm.テスト内容数_空なら1
)</f>
        <v>109-1-1</v>
      </c>
      <c r="B409" s="213"/>
      <c r="C409" s="210"/>
      <c r="D409" s="207"/>
      <c r="E409" s="196" t="s">
        <v>500</v>
      </c>
      <c r="F409" s="240" t="s">
        <v>458</v>
      </c>
      <c r="G409" s="95"/>
      <c r="H409" s="127"/>
      <c r="I409" s="127"/>
      <c r="J409" s="127" t="s">
        <v>878</v>
      </c>
      <c r="K409" s="80"/>
      <c r="L409" s="96"/>
      <c r="M409" s="96"/>
      <c r="N409" s="96"/>
      <c r="O409" s="126"/>
      <c r="P409" s="97"/>
      <c r="Q409" s="97"/>
    </row>
    <row r="410" spans="1:17" ht="22.5">
      <c r="A410" s="43" t="str" cm="1">
        <f t="array" aca="1" ref="A410" ca="1">_xlfn.LET(
_xlpm.詳細項目数, COUNTA($E$11:E410),
_xlpm.直近で詳細項目が空でないセルの行番号, MAX(INDEX((LEN($E$11:E410)&gt;0)*ROW($E$11:E410),0)),
_xlpm.観点数, COUNTA(INDIRECT("F"&amp;_xlpm.直近で詳細項目が空でないセルの行番号):F410),
_xlpm.直近で観点が空でないセルの行番号, MAX(INDEX((LEN($F$11:F410)&gt;0)*ROW($F$11:F410),0)),
_xlpm.テスト内容数, COUNTA(INDIRECT("J"&amp;_xlpm.直近で観点が空でないセルの行番号):J410),
_xlpm.テスト内容数_空なら1, IF(_xlpm.テスト内容数=0,1,_xlpm.テスト内容数),
_xlpm.詳細項目数&amp;"-"&amp;_xlpm.観点数&amp;"-"&amp;_xlpm.テスト内容数_空なら1
)</f>
        <v>109-2-1</v>
      </c>
      <c r="B410" s="213"/>
      <c r="C410" s="210"/>
      <c r="D410" s="207"/>
      <c r="E410" s="196"/>
      <c r="F410" s="94" t="s">
        <v>459</v>
      </c>
      <c r="G410" s="95"/>
      <c r="H410" s="127"/>
      <c r="I410" s="127"/>
      <c r="J410" s="127" t="s">
        <v>879</v>
      </c>
      <c r="K410" s="80"/>
      <c r="L410" s="96"/>
      <c r="M410" s="96"/>
      <c r="N410" s="96"/>
      <c r="O410" s="126"/>
      <c r="P410" s="97"/>
      <c r="Q410" s="97"/>
    </row>
    <row r="411" spans="1:17" ht="22.5">
      <c r="A411" s="43" t="str" cm="1">
        <f t="array" aca="1" ref="A411" ca="1">_xlfn.LET(
_xlpm.詳細項目数, COUNTA($E$11:E411),
_xlpm.直近で詳細項目が空でないセルの行番号, MAX(INDEX((LEN($E$11:E411)&gt;0)*ROW($E$11:E411),0)),
_xlpm.観点数, COUNTA(INDIRECT("F"&amp;_xlpm.直近で詳細項目が空でないセルの行番号):F411),
_xlpm.直近で観点が空でないセルの行番号, MAX(INDEX((LEN($F$11:F411)&gt;0)*ROW($F$11:F411),0)),
_xlpm.テスト内容数, COUNTA(INDIRECT("J"&amp;_xlpm.直近で観点が空でないセルの行番号):J411),
_xlpm.テスト内容数_空なら1, IF(_xlpm.テスト内容数=0,1,_xlpm.テスト内容数),
_xlpm.詳細項目数&amp;"-"&amp;_xlpm.観点数&amp;"-"&amp;_xlpm.テスト内容数_空なら1
)</f>
        <v>109-3-1</v>
      </c>
      <c r="B411" s="213"/>
      <c r="C411" s="210"/>
      <c r="D411" s="207"/>
      <c r="E411" s="196"/>
      <c r="F411" s="94" t="s">
        <v>460</v>
      </c>
      <c r="G411" s="95"/>
      <c r="H411" s="96"/>
      <c r="I411" s="96"/>
      <c r="J411" s="97" t="s">
        <v>879</v>
      </c>
      <c r="K411" s="97"/>
      <c r="L411" s="96"/>
      <c r="M411" s="96"/>
      <c r="N411" s="96"/>
      <c r="O411" s="126"/>
      <c r="P411" s="97"/>
      <c r="Q411" s="97"/>
    </row>
    <row r="412" spans="1:17" ht="22.5">
      <c r="A412" s="43" t="str" cm="1">
        <f t="array" aca="1" ref="A412" ca="1">_xlfn.LET(
_xlpm.詳細項目数, COUNTA($E$11:E412),
_xlpm.直近で詳細項目が空でないセルの行番号, MAX(INDEX((LEN($E$11:E412)&gt;0)*ROW($E$11:E412),0)),
_xlpm.観点数, COUNTA(INDIRECT("F"&amp;_xlpm.直近で詳細項目が空でないセルの行番号):F412),
_xlpm.直近で観点が空でないセルの行番号, MAX(INDEX((LEN($F$11:F412)&gt;0)*ROW($F$11:F412),0)),
_xlpm.テスト内容数, COUNTA(INDIRECT("J"&amp;_xlpm.直近で観点が空でないセルの行番号):J412),
_xlpm.テスト内容数_空なら1, IF(_xlpm.テスト内容数=0,1,_xlpm.テスト内容数),
_xlpm.詳細項目数&amp;"-"&amp;_xlpm.観点数&amp;"-"&amp;_xlpm.テスト内容数_空なら1
)</f>
        <v>109-4-1</v>
      </c>
      <c r="B412" s="213"/>
      <c r="C412" s="210"/>
      <c r="D412" s="211"/>
      <c r="E412" s="196"/>
      <c r="F412" s="94" t="s">
        <v>461</v>
      </c>
      <c r="G412" s="95"/>
      <c r="H412" s="96"/>
      <c r="I412" s="96"/>
      <c r="J412" s="97" t="s">
        <v>879</v>
      </c>
      <c r="K412" s="97"/>
      <c r="L412" s="96"/>
      <c r="M412" s="96"/>
      <c r="N412" s="96"/>
      <c r="O412" s="126"/>
      <c r="P412" s="97"/>
      <c r="Q412" s="97"/>
    </row>
    <row r="413" spans="1:17">
      <c r="A413" s="43" t="str" cm="1">
        <f t="array" aca="1" ref="A413" ca="1">_xlfn.LET(
_xlpm.詳細項目数, COUNTA($E$11:E413),
_xlpm.直近で詳細項目が空でないセルの行番号, MAX(INDEX((LEN($E$11:E413)&gt;0)*ROW($E$11:E413),0)),
_xlpm.観点数, COUNTA(INDIRECT("F"&amp;_xlpm.直近で詳細項目が空でないセルの行番号):F413),
_xlpm.直近で観点が空でないセルの行番号, MAX(INDEX((LEN($F$11:F413)&gt;0)*ROW($F$11:F413),0)),
_xlpm.テスト内容数, COUNTA(INDIRECT("J"&amp;_xlpm.直近で観点が空でないセルの行番号):J413),
_xlpm.テスト内容数_空なら1, IF(_xlpm.テスト内容数=0,1,_xlpm.テスト内容数),
_xlpm.詳細項目数&amp;"-"&amp;_xlpm.観点数&amp;"-"&amp;_xlpm.テスト内容数_空なら1
)</f>
        <v>110-1-1</v>
      </c>
      <c r="B413" s="213"/>
      <c r="C413" s="210"/>
      <c r="D413" s="196" t="s">
        <v>33</v>
      </c>
      <c r="E413" s="195" t="s">
        <v>499</v>
      </c>
      <c r="F413" s="94" t="s">
        <v>462</v>
      </c>
      <c r="G413" s="95"/>
      <c r="H413" s="96"/>
      <c r="I413" s="96"/>
      <c r="J413" s="97" t="s">
        <v>778</v>
      </c>
      <c r="K413" s="97"/>
      <c r="L413" s="96"/>
      <c r="M413" s="96"/>
      <c r="N413" s="96"/>
      <c r="O413" s="126"/>
      <c r="P413" s="97"/>
      <c r="Q413" s="97"/>
    </row>
    <row r="414" spans="1:17" ht="22.5">
      <c r="A414" s="43" t="str" cm="1">
        <f t="array" aca="1" ref="A414" ca="1">_xlfn.LET(
_xlpm.詳細項目数, COUNTA($E$11:E414),
_xlpm.直近で詳細項目が空でないセルの行番号, MAX(INDEX((LEN($E$11:E414)&gt;0)*ROW($E$11:E414),0)),
_xlpm.観点数, COUNTA(INDIRECT("F"&amp;_xlpm.直近で詳細項目が空でないセルの行番号):F414),
_xlpm.直近で観点が空でないセルの行番号, MAX(INDEX((LEN($F$11:F414)&gt;0)*ROW($F$11:F414),0)),
_xlpm.テスト内容数, COUNTA(INDIRECT("J"&amp;_xlpm.直近で観点が空でないセルの行番号):J414),
_xlpm.テスト内容数_空なら1, IF(_xlpm.テスト内容数=0,1,_xlpm.テスト内容数),
_xlpm.詳細項目数&amp;"-"&amp;_xlpm.観点数&amp;"-"&amp;_xlpm.テスト内容数_空なら1
)</f>
        <v>110-2-1</v>
      </c>
      <c r="B414" s="213"/>
      <c r="C414" s="210"/>
      <c r="D414" s="196"/>
      <c r="E414" s="196"/>
      <c r="F414" s="94" t="s">
        <v>463</v>
      </c>
      <c r="G414" s="95"/>
      <c r="H414" s="96"/>
      <c r="I414" s="96"/>
      <c r="J414" s="97" t="s">
        <v>778</v>
      </c>
      <c r="K414" s="97"/>
      <c r="L414" s="96"/>
      <c r="M414" s="96"/>
      <c r="N414" s="96"/>
      <c r="O414" s="126"/>
      <c r="P414" s="97"/>
      <c r="Q414" s="97"/>
    </row>
    <row r="415" spans="1:17" ht="22.5">
      <c r="A415" s="43" t="str" cm="1">
        <f t="array" aca="1" ref="A415" ca="1">_xlfn.LET(
_xlpm.詳細項目数, COUNTA($E$11:E415),
_xlpm.直近で詳細項目が空でないセルの行番号, MAX(INDEX((LEN($E$11:E415)&gt;0)*ROW($E$11:E415),0)),
_xlpm.観点数, COUNTA(INDIRECT("F"&amp;_xlpm.直近で詳細項目が空でないセルの行番号):F415),
_xlpm.直近で観点が空でないセルの行番号, MAX(INDEX((LEN($F$11:F415)&gt;0)*ROW($F$11:F415),0)),
_xlpm.テスト内容数, COUNTA(INDIRECT("J"&amp;_xlpm.直近で観点が空でないセルの行番号):J415),
_xlpm.テスト内容数_空なら1, IF(_xlpm.テスト内容数=0,1,_xlpm.テスト内容数),
_xlpm.詳細項目数&amp;"-"&amp;_xlpm.観点数&amp;"-"&amp;_xlpm.テスト内容数_空なら1
)</f>
        <v>110-3-1</v>
      </c>
      <c r="B415" s="207"/>
      <c r="C415" s="207"/>
      <c r="D415" s="198"/>
      <c r="E415" s="198"/>
      <c r="F415" s="94" t="s">
        <v>464</v>
      </c>
      <c r="G415" s="95"/>
      <c r="H415" s="96"/>
      <c r="I415" s="96"/>
      <c r="J415" s="97" t="s">
        <v>778</v>
      </c>
      <c r="K415" s="97"/>
      <c r="L415" s="96"/>
      <c r="M415" s="96"/>
      <c r="N415" s="96"/>
      <c r="O415" s="126"/>
      <c r="P415" s="97"/>
      <c r="Q415" s="97"/>
    </row>
    <row r="416" spans="1:17" ht="22.5">
      <c r="A416" s="43" t="str" cm="1">
        <f t="array" aca="1" ref="A416" ca="1">_xlfn.LET(
_xlpm.詳細項目数, COUNTA($E$11:E416),
_xlpm.直近で詳細項目が空でないセルの行番号, MAX(INDEX((LEN($E$11:E416)&gt;0)*ROW($E$11:E416),0)),
_xlpm.観点数, COUNTA(INDIRECT("F"&amp;_xlpm.直近で詳細項目が空でないセルの行番号):F416),
_xlpm.直近で観点が空でないセルの行番号, MAX(INDEX((LEN($F$11:F416)&gt;0)*ROW($F$11:F416),0)),
_xlpm.テスト内容数, COUNTA(INDIRECT("J"&amp;_xlpm.直近で観点が空でないセルの行番号):J416),
_xlpm.テスト内容数_空なら1, IF(_xlpm.テスト内容数=0,1,_xlpm.テスト内容数),
_xlpm.詳細項目数&amp;"-"&amp;_xlpm.観点数&amp;"-"&amp;_xlpm.テスト内容数_空なら1
)</f>
        <v>111-1-1</v>
      </c>
      <c r="B416" s="207"/>
      <c r="C416" s="207"/>
      <c r="D416" s="207" t="s">
        <v>465</v>
      </c>
      <c r="E416" s="207" t="s">
        <v>499</v>
      </c>
      <c r="F416" s="60" t="s">
        <v>466</v>
      </c>
      <c r="G416" s="71"/>
      <c r="H416" s="116" t="s">
        <v>648</v>
      </c>
      <c r="I416" s="116" t="s">
        <v>779</v>
      </c>
      <c r="J416" s="117" t="s">
        <v>971</v>
      </c>
      <c r="K416" s="78" t="s">
        <v>880</v>
      </c>
      <c r="L416" s="116"/>
      <c r="M416" s="116"/>
      <c r="N416" s="54"/>
      <c r="O416" s="130"/>
      <c r="P416" s="78"/>
      <c r="Q416" s="78"/>
    </row>
    <row r="417" spans="1:17" ht="22.5">
      <c r="A417" s="43" t="str" cm="1">
        <f t="array" aca="1" ref="A417" ca="1">_xlfn.LET(
_xlpm.詳細項目数, COUNTA($E$11:E417),
_xlpm.直近で詳細項目が空でないセルの行番号, MAX(INDEX((LEN($E$11:E417)&gt;0)*ROW($E$11:E417),0)),
_xlpm.観点数, COUNTA(INDIRECT("F"&amp;_xlpm.直近で詳細項目が空でないセルの行番号):F417),
_xlpm.直近で観点が空でないセルの行番号, MAX(INDEX((LEN($F$11:F417)&gt;0)*ROW($F$11:F417),0)),
_xlpm.テスト内容数, COUNTA(INDIRECT("J"&amp;_xlpm.直近で観点が空でないセルの行番号):J417),
_xlpm.テスト内容数_空なら1, IF(_xlpm.テスト内容数=0,1,_xlpm.テスト内容数),
_xlpm.詳細項目数&amp;"-"&amp;_xlpm.観点数&amp;"-"&amp;_xlpm.テスト内容数_空なら1
)</f>
        <v>111-1-2</v>
      </c>
      <c r="B417" s="213"/>
      <c r="C417" s="210"/>
      <c r="D417" s="207"/>
      <c r="E417" s="207"/>
      <c r="F417" s="244"/>
      <c r="G417" s="71"/>
      <c r="H417" s="116" t="s">
        <v>648</v>
      </c>
      <c r="I417" s="116" t="s">
        <v>779</v>
      </c>
      <c r="J417" s="117" t="s">
        <v>971</v>
      </c>
      <c r="K417" s="78" t="s">
        <v>881</v>
      </c>
      <c r="L417" s="116"/>
      <c r="M417" s="116"/>
      <c r="N417" s="54"/>
      <c r="O417" s="130"/>
      <c r="P417" s="78"/>
      <c r="Q417" s="78"/>
    </row>
    <row r="418" spans="1:17" ht="22.5">
      <c r="A418" s="43" t="str" cm="1">
        <f t="array" aca="1" ref="A418" ca="1">_xlfn.LET(
_xlpm.詳細項目数, COUNTA($E$11:E418),
_xlpm.直近で詳細項目が空でないセルの行番号, MAX(INDEX((LEN($E$11:E418)&gt;0)*ROW($E$11:E418),0)),
_xlpm.観点数, COUNTA(INDIRECT("F"&amp;_xlpm.直近で詳細項目が空でないセルの行番号):F418),
_xlpm.直近で観点が空でないセルの行番号, MAX(INDEX((LEN($F$11:F418)&gt;0)*ROW($F$11:F418),0)),
_xlpm.テスト内容数, COUNTA(INDIRECT("J"&amp;_xlpm.直近で観点が空でないセルの行番号):J418),
_xlpm.テスト内容数_空なら1, IF(_xlpm.テスト内容数=0,1,_xlpm.テスト内容数),
_xlpm.詳細項目数&amp;"-"&amp;_xlpm.観点数&amp;"-"&amp;_xlpm.テスト内容数_空なら1
)</f>
        <v>111-1-3</v>
      </c>
      <c r="B418" s="213"/>
      <c r="C418" s="210"/>
      <c r="D418" s="207"/>
      <c r="E418" s="207"/>
      <c r="F418" s="244"/>
      <c r="G418" s="71"/>
      <c r="H418" s="116" t="s">
        <v>648</v>
      </c>
      <c r="I418" s="116" t="s">
        <v>779</v>
      </c>
      <c r="J418" s="117" t="s">
        <v>971</v>
      </c>
      <c r="K418" s="78" t="s">
        <v>882</v>
      </c>
      <c r="L418" s="116"/>
      <c r="M418" s="116"/>
      <c r="N418" s="54"/>
      <c r="O418" s="130"/>
      <c r="P418" s="78"/>
      <c r="Q418" s="78"/>
    </row>
    <row r="419" spans="1:17" ht="22.5">
      <c r="A419" s="43" t="str" cm="1">
        <f t="array" aca="1" ref="A419" ca="1">_xlfn.LET(
_xlpm.詳細項目数, COUNTA($E$11:E419),
_xlpm.直近で詳細項目が空でないセルの行番号, MAX(INDEX((LEN($E$11:E419)&gt;0)*ROW($E$11:E419),0)),
_xlpm.観点数, COUNTA(INDIRECT("F"&amp;_xlpm.直近で詳細項目が空でないセルの行番号):F419),
_xlpm.直近で観点が空でないセルの行番号, MAX(INDEX((LEN($F$11:F419)&gt;0)*ROW($F$11:F419),0)),
_xlpm.テスト内容数, COUNTA(INDIRECT("J"&amp;_xlpm.直近で観点が空でないセルの行番号):J419),
_xlpm.テスト内容数_空なら1, IF(_xlpm.テスト内容数=0,1,_xlpm.テスト内容数),
_xlpm.詳細項目数&amp;"-"&amp;_xlpm.観点数&amp;"-"&amp;_xlpm.テスト内容数_空なら1
)</f>
        <v>111-1-4</v>
      </c>
      <c r="B419" s="213"/>
      <c r="C419" s="210"/>
      <c r="D419" s="207"/>
      <c r="E419" s="207"/>
      <c r="F419" s="244"/>
      <c r="G419" s="71"/>
      <c r="H419" s="116" t="s">
        <v>648</v>
      </c>
      <c r="I419" s="116" t="s">
        <v>779</v>
      </c>
      <c r="J419" s="117" t="s">
        <v>971</v>
      </c>
      <c r="K419" s="78" t="s">
        <v>883</v>
      </c>
      <c r="L419" s="116"/>
      <c r="M419" s="116"/>
      <c r="N419" s="54"/>
      <c r="O419" s="130"/>
      <c r="P419" s="78"/>
      <c r="Q419" s="78"/>
    </row>
    <row r="420" spans="1:17" ht="22.5">
      <c r="A420" s="43" t="str" cm="1">
        <f t="array" aca="1" ref="A420" ca="1">_xlfn.LET(
_xlpm.詳細項目数, COUNTA($E$11:E420),
_xlpm.直近で詳細項目が空でないセルの行番号, MAX(INDEX((LEN($E$11:E420)&gt;0)*ROW($E$11:E420),0)),
_xlpm.観点数, COUNTA(INDIRECT("F"&amp;_xlpm.直近で詳細項目が空でないセルの行番号):F420),
_xlpm.直近で観点が空でないセルの行番号, MAX(INDEX((LEN($F$11:F420)&gt;0)*ROW($F$11:F420),0)),
_xlpm.テスト内容数, COUNTA(INDIRECT("J"&amp;_xlpm.直近で観点が空でないセルの行番号):J420),
_xlpm.テスト内容数_空なら1, IF(_xlpm.テスト内容数=0,1,_xlpm.テスト内容数),
_xlpm.詳細項目数&amp;"-"&amp;_xlpm.観点数&amp;"-"&amp;_xlpm.テスト内容数_空なら1
)</f>
        <v>111-1-5</v>
      </c>
      <c r="B420" s="213"/>
      <c r="C420" s="210"/>
      <c r="D420" s="207"/>
      <c r="E420" s="207"/>
      <c r="F420" s="244"/>
      <c r="G420" s="71"/>
      <c r="H420" s="116" t="s">
        <v>648</v>
      </c>
      <c r="I420" s="116" t="s">
        <v>779</v>
      </c>
      <c r="J420" s="117" t="s">
        <v>971</v>
      </c>
      <c r="K420" s="78" t="s">
        <v>884</v>
      </c>
      <c r="L420" s="116"/>
      <c r="M420" s="116"/>
      <c r="N420" s="54"/>
      <c r="O420" s="130"/>
      <c r="P420" s="78"/>
      <c r="Q420" s="78"/>
    </row>
    <row r="421" spans="1:17" ht="22.5">
      <c r="A421" s="43" t="str" cm="1">
        <f t="array" aca="1" ref="A421" ca="1">_xlfn.LET(
_xlpm.詳細項目数, COUNTA($E$11:E421),
_xlpm.直近で詳細項目が空でないセルの行番号, MAX(INDEX((LEN($E$11:E421)&gt;0)*ROW($E$11:E421),0)),
_xlpm.観点数, COUNTA(INDIRECT("F"&amp;_xlpm.直近で詳細項目が空でないセルの行番号):F421),
_xlpm.直近で観点が空でないセルの行番号, MAX(INDEX((LEN($F$11:F421)&gt;0)*ROW($F$11:F421),0)),
_xlpm.テスト内容数, COUNTA(INDIRECT("J"&amp;_xlpm.直近で観点が空でないセルの行番号):J421),
_xlpm.テスト内容数_空なら1, IF(_xlpm.テスト内容数=0,1,_xlpm.テスト内容数),
_xlpm.詳細項目数&amp;"-"&amp;_xlpm.観点数&amp;"-"&amp;_xlpm.テスト内容数_空なら1
)</f>
        <v>111-1-6</v>
      </c>
      <c r="B421" s="213"/>
      <c r="C421" s="210"/>
      <c r="D421" s="207"/>
      <c r="E421" s="207"/>
      <c r="F421" s="244"/>
      <c r="G421" s="71"/>
      <c r="H421" s="116" t="s">
        <v>648</v>
      </c>
      <c r="I421" s="116" t="s">
        <v>779</v>
      </c>
      <c r="J421" s="117" t="s">
        <v>971</v>
      </c>
      <c r="K421" s="78" t="s">
        <v>885</v>
      </c>
      <c r="L421" s="116"/>
      <c r="M421" s="116"/>
      <c r="N421" s="54"/>
      <c r="O421" s="130"/>
      <c r="P421" s="78"/>
      <c r="Q421" s="78"/>
    </row>
    <row r="422" spans="1:17" ht="22.5">
      <c r="A422" s="43" t="str" cm="1">
        <f t="array" aca="1" ref="A422" ca="1">_xlfn.LET(
_xlpm.詳細項目数, COUNTA($E$11:E422),
_xlpm.直近で詳細項目が空でないセルの行番号, MAX(INDEX((LEN($E$11:E422)&gt;0)*ROW($E$11:E422),0)),
_xlpm.観点数, COUNTA(INDIRECT("F"&amp;_xlpm.直近で詳細項目が空でないセルの行番号):F422),
_xlpm.直近で観点が空でないセルの行番号, MAX(INDEX((LEN($F$11:F422)&gt;0)*ROW($F$11:F422),0)),
_xlpm.テスト内容数, COUNTA(INDIRECT("J"&amp;_xlpm.直近で観点が空でないセルの行番号):J422),
_xlpm.テスト内容数_空なら1, IF(_xlpm.テスト内容数=0,1,_xlpm.テスト内容数),
_xlpm.詳細項目数&amp;"-"&amp;_xlpm.観点数&amp;"-"&amp;_xlpm.テスト内容数_空なら1
)</f>
        <v>111-1-7</v>
      </c>
      <c r="B422" s="213"/>
      <c r="C422" s="210"/>
      <c r="D422" s="207"/>
      <c r="E422" s="207"/>
      <c r="F422" s="244"/>
      <c r="G422" s="71"/>
      <c r="H422" s="116" t="s">
        <v>648</v>
      </c>
      <c r="I422" s="116" t="s">
        <v>779</v>
      </c>
      <c r="J422" s="117" t="s">
        <v>971</v>
      </c>
      <c r="K422" s="78" t="s">
        <v>886</v>
      </c>
      <c r="L422" s="116"/>
      <c r="M422" s="116"/>
      <c r="N422" s="54"/>
      <c r="O422" s="130"/>
      <c r="P422" s="78"/>
      <c r="Q422" s="78"/>
    </row>
    <row r="423" spans="1:17" ht="22.5">
      <c r="A423" s="43" t="str" cm="1">
        <f t="array" aca="1" ref="A423" ca="1">_xlfn.LET(
_xlpm.詳細項目数, COUNTA($E$11:E423),
_xlpm.直近で詳細項目が空でないセルの行番号, MAX(INDEX((LEN($E$11:E423)&gt;0)*ROW($E$11:E423),0)),
_xlpm.観点数, COUNTA(INDIRECT("F"&amp;_xlpm.直近で詳細項目が空でないセルの行番号):F423),
_xlpm.直近で観点が空でないセルの行番号, MAX(INDEX((LEN($F$11:F423)&gt;0)*ROW($F$11:F423),0)),
_xlpm.テスト内容数, COUNTA(INDIRECT("J"&amp;_xlpm.直近で観点が空でないセルの行番号):J423),
_xlpm.テスト内容数_空なら1, IF(_xlpm.テスト内容数=0,1,_xlpm.テスト内容数),
_xlpm.詳細項目数&amp;"-"&amp;_xlpm.観点数&amp;"-"&amp;_xlpm.テスト内容数_空なら1
)</f>
        <v>111-1-8</v>
      </c>
      <c r="B423" s="213"/>
      <c r="C423" s="210"/>
      <c r="D423" s="207"/>
      <c r="E423" s="207"/>
      <c r="F423" s="244"/>
      <c r="G423" s="71"/>
      <c r="H423" s="116" t="s">
        <v>648</v>
      </c>
      <c r="I423" s="116" t="s">
        <v>779</v>
      </c>
      <c r="J423" s="117" t="s">
        <v>971</v>
      </c>
      <c r="K423" s="78" t="s">
        <v>887</v>
      </c>
      <c r="L423" s="116"/>
      <c r="M423" s="116"/>
      <c r="N423" s="54"/>
      <c r="O423" s="130"/>
      <c r="P423" s="78"/>
      <c r="Q423" s="78"/>
    </row>
    <row r="424" spans="1:17" ht="22.5">
      <c r="A424" s="43" t="str" cm="1">
        <f t="array" aca="1" ref="A424" ca="1">_xlfn.LET(
_xlpm.詳細項目数, COUNTA($E$11:E424),
_xlpm.直近で詳細項目が空でないセルの行番号, MAX(INDEX((LEN($E$11:E424)&gt;0)*ROW($E$11:E424),0)),
_xlpm.観点数, COUNTA(INDIRECT("F"&amp;_xlpm.直近で詳細項目が空でないセルの行番号):F424),
_xlpm.直近で観点が空でないセルの行番号, MAX(INDEX((LEN($F$11:F424)&gt;0)*ROW($F$11:F424),0)),
_xlpm.テスト内容数, COUNTA(INDIRECT("J"&amp;_xlpm.直近で観点が空でないセルの行番号):J424),
_xlpm.テスト内容数_空なら1, IF(_xlpm.テスト内容数=0,1,_xlpm.テスト内容数),
_xlpm.詳細項目数&amp;"-"&amp;_xlpm.観点数&amp;"-"&amp;_xlpm.テスト内容数_空なら1
)</f>
        <v>111-1-9</v>
      </c>
      <c r="B424" s="213"/>
      <c r="C424" s="210"/>
      <c r="D424" s="207"/>
      <c r="E424" s="207"/>
      <c r="F424" s="244"/>
      <c r="G424" s="71"/>
      <c r="H424" s="116" t="s">
        <v>648</v>
      </c>
      <c r="I424" s="116" t="s">
        <v>779</v>
      </c>
      <c r="J424" s="117" t="s">
        <v>971</v>
      </c>
      <c r="K424" s="78" t="s">
        <v>888</v>
      </c>
      <c r="L424" s="116"/>
      <c r="M424" s="116"/>
      <c r="N424" s="54"/>
      <c r="O424" s="130"/>
      <c r="P424" s="78"/>
      <c r="Q424" s="78"/>
    </row>
    <row r="425" spans="1:17" ht="22.5">
      <c r="A425" s="43" t="str" cm="1">
        <f t="array" aca="1" ref="A425" ca="1">_xlfn.LET(
_xlpm.詳細項目数, COUNTA($E$11:E425),
_xlpm.直近で詳細項目が空でないセルの行番号, MAX(INDEX((LEN($E$11:E425)&gt;0)*ROW($E$11:E425),0)),
_xlpm.観点数, COUNTA(INDIRECT("F"&amp;_xlpm.直近で詳細項目が空でないセルの行番号):F425),
_xlpm.直近で観点が空でないセルの行番号, MAX(INDEX((LEN($F$11:F425)&gt;0)*ROW($F$11:F425),0)),
_xlpm.テスト内容数, COUNTA(INDIRECT("J"&amp;_xlpm.直近で観点が空でないセルの行番号):J425),
_xlpm.テスト内容数_空なら1, IF(_xlpm.テスト内容数=0,1,_xlpm.テスト内容数),
_xlpm.詳細項目数&amp;"-"&amp;_xlpm.観点数&amp;"-"&amp;_xlpm.テスト内容数_空なら1
)</f>
        <v>111-1-10</v>
      </c>
      <c r="B425" s="213"/>
      <c r="C425" s="210"/>
      <c r="D425" s="207"/>
      <c r="E425" s="207"/>
      <c r="F425" s="244"/>
      <c r="G425" s="71"/>
      <c r="H425" s="116" t="s">
        <v>648</v>
      </c>
      <c r="I425" s="116" t="s">
        <v>779</v>
      </c>
      <c r="J425" s="117" t="s">
        <v>971</v>
      </c>
      <c r="K425" s="78" t="s">
        <v>889</v>
      </c>
      <c r="L425" s="116"/>
      <c r="M425" s="116"/>
      <c r="N425" s="54"/>
      <c r="O425" s="130"/>
      <c r="P425" s="78"/>
      <c r="Q425" s="78"/>
    </row>
    <row r="426" spans="1:17" ht="22.5">
      <c r="A426" s="43" t="str" cm="1">
        <f t="array" aca="1" ref="A426" ca="1">_xlfn.LET(
_xlpm.詳細項目数, COUNTA($E$11:E426),
_xlpm.直近で詳細項目が空でないセルの行番号, MAX(INDEX((LEN($E$11:E426)&gt;0)*ROW($E$11:E426),0)),
_xlpm.観点数, COUNTA(INDIRECT("F"&amp;_xlpm.直近で詳細項目が空でないセルの行番号):F426),
_xlpm.直近で観点が空でないセルの行番号, MAX(INDEX((LEN($F$11:F426)&gt;0)*ROW($F$11:F426),0)),
_xlpm.テスト内容数, COUNTA(INDIRECT("J"&amp;_xlpm.直近で観点が空でないセルの行番号):J426),
_xlpm.テスト内容数_空なら1, IF(_xlpm.テスト内容数=0,1,_xlpm.テスト内容数),
_xlpm.詳細項目数&amp;"-"&amp;_xlpm.観点数&amp;"-"&amp;_xlpm.テスト内容数_空なら1
)</f>
        <v>111-1-11</v>
      </c>
      <c r="B426" s="213"/>
      <c r="C426" s="210"/>
      <c r="D426" s="207"/>
      <c r="E426" s="207"/>
      <c r="F426" s="244"/>
      <c r="G426" s="71"/>
      <c r="H426" s="116" t="s">
        <v>648</v>
      </c>
      <c r="I426" s="116" t="s">
        <v>779</v>
      </c>
      <c r="J426" s="117" t="s">
        <v>971</v>
      </c>
      <c r="K426" s="78" t="s">
        <v>890</v>
      </c>
      <c r="L426" s="116"/>
      <c r="M426" s="116"/>
      <c r="N426" s="54"/>
      <c r="O426" s="130"/>
      <c r="P426" s="78"/>
      <c r="Q426" s="78"/>
    </row>
    <row r="427" spans="1:17" ht="22.5">
      <c r="A427" s="43" t="str" cm="1">
        <f t="array" aca="1" ref="A427" ca="1">_xlfn.LET(
_xlpm.詳細項目数, COUNTA($E$11:E427),
_xlpm.直近で詳細項目が空でないセルの行番号, MAX(INDEX((LEN($E$11:E427)&gt;0)*ROW($E$11:E427),0)),
_xlpm.観点数, COUNTA(INDIRECT("F"&amp;_xlpm.直近で詳細項目が空でないセルの行番号):F427),
_xlpm.直近で観点が空でないセルの行番号, MAX(INDEX((LEN($F$11:F427)&gt;0)*ROW($F$11:F427),0)),
_xlpm.テスト内容数, COUNTA(INDIRECT("J"&amp;_xlpm.直近で観点が空でないセルの行番号):J427),
_xlpm.テスト内容数_空なら1, IF(_xlpm.テスト内容数=0,1,_xlpm.テスト内容数),
_xlpm.詳細項目数&amp;"-"&amp;_xlpm.観点数&amp;"-"&amp;_xlpm.テスト内容数_空なら1
)</f>
        <v>111-1-12</v>
      </c>
      <c r="B427" s="213"/>
      <c r="C427" s="210"/>
      <c r="D427" s="207"/>
      <c r="E427" s="207"/>
      <c r="F427" s="239"/>
      <c r="G427" s="71"/>
      <c r="H427" s="116" t="s">
        <v>648</v>
      </c>
      <c r="I427" s="116" t="s">
        <v>779</v>
      </c>
      <c r="J427" s="117" t="s">
        <v>971</v>
      </c>
      <c r="K427" s="78" t="s">
        <v>891</v>
      </c>
      <c r="L427" s="116"/>
      <c r="M427" s="116"/>
      <c r="N427" s="54"/>
      <c r="O427" s="130"/>
      <c r="P427" s="78"/>
      <c r="Q427" s="78"/>
    </row>
    <row r="428" spans="1:17" ht="33.75">
      <c r="A428" s="43" t="str" cm="1">
        <f t="array" aca="1" ref="A428" ca="1">_xlfn.LET(
_xlpm.詳細項目数, COUNTA($E$11:E428),
_xlpm.直近で詳細項目が空でないセルの行番号, MAX(INDEX((LEN($E$11:E428)&gt;0)*ROW($E$11:E428),0)),
_xlpm.観点数, COUNTA(INDIRECT("F"&amp;_xlpm.直近で詳細項目が空でないセルの行番号):F428),
_xlpm.直近で観点が空でないセルの行番号, MAX(INDEX((LEN($F$11:F428)&gt;0)*ROW($F$11:F428),0)),
_xlpm.テスト内容数, COUNTA(INDIRECT("J"&amp;_xlpm.直近で観点が空でないセルの行番号):J428),
_xlpm.テスト内容数_空なら1, IF(_xlpm.テスト内容数=0,1,_xlpm.テスト内容数),
_xlpm.詳細項目数&amp;"-"&amp;_xlpm.観点数&amp;"-"&amp;_xlpm.テスト内容数_空なら1
)</f>
        <v>111-2-1</v>
      </c>
      <c r="B428" s="213"/>
      <c r="C428" s="210"/>
      <c r="D428" s="207"/>
      <c r="E428" s="207"/>
      <c r="F428" s="60" t="s">
        <v>467</v>
      </c>
      <c r="G428" s="71"/>
      <c r="H428" s="116" t="s">
        <v>648</v>
      </c>
      <c r="I428" s="116" t="s">
        <v>761</v>
      </c>
      <c r="J428" s="117" t="s">
        <v>979</v>
      </c>
      <c r="K428" s="78" t="s">
        <v>790</v>
      </c>
      <c r="L428" s="116"/>
      <c r="M428" s="116"/>
      <c r="N428" s="54"/>
      <c r="O428" s="130"/>
      <c r="P428" s="78"/>
      <c r="Q428" s="78"/>
    </row>
    <row r="429" spans="1:17" ht="33.75">
      <c r="A429" s="43" t="str" cm="1">
        <f t="array" aca="1" ref="A429" ca="1">_xlfn.LET(
_xlpm.詳細項目数, COUNTA($E$11:E429),
_xlpm.直近で詳細項目が空でないセルの行番号, MAX(INDEX((LEN($E$11:E429)&gt;0)*ROW($E$11:E429),0)),
_xlpm.観点数, COUNTA(INDIRECT("F"&amp;_xlpm.直近で詳細項目が空でないセルの行番号):F429),
_xlpm.直近で観点が空でないセルの行番号, MAX(INDEX((LEN($F$11:F429)&gt;0)*ROW($F$11:F429),0)),
_xlpm.テスト内容数, COUNTA(INDIRECT("J"&amp;_xlpm.直近で観点が空でないセルの行番号):J429),
_xlpm.テスト内容数_空なら1, IF(_xlpm.テスト内容数=0,1,_xlpm.テスト内容数),
_xlpm.詳細項目数&amp;"-"&amp;_xlpm.観点数&amp;"-"&amp;_xlpm.テスト内容数_空なら1
)</f>
        <v>111-2-2</v>
      </c>
      <c r="B429" s="213"/>
      <c r="C429" s="210"/>
      <c r="D429" s="207"/>
      <c r="E429" s="207"/>
      <c r="F429" s="244"/>
      <c r="G429" s="71"/>
      <c r="H429" s="116" t="s">
        <v>648</v>
      </c>
      <c r="I429" s="116" t="s">
        <v>761</v>
      </c>
      <c r="J429" s="117" t="s">
        <v>980</v>
      </c>
      <c r="K429" s="78" t="s">
        <v>790</v>
      </c>
      <c r="L429" s="116"/>
      <c r="M429" s="116"/>
      <c r="N429" s="54"/>
      <c r="O429" s="130"/>
      <c r="P429" s="78"/>
      <c r="Q429" s="78"/>
    </row>
    <row r="430" spans="1:17" ht="22.5">
      <c r="A430" s="43" t="str" cm="1">
        <f t="array" aca="1" ref="A430" ca="1">_xlfn.LET(
_xlpm.詳細項目数, COUNTA($E$11:E430),
_xlpm.直近で詳細項目が空でないセルの行番号, MAX(INDEX((LEN($E$11:E430)&gt;0)*ROW($E$11:E430),0)),
_xlpm.観点数, COUNTA(INDIRECT("F"&amp;_xlpm.直近で詳細項目が空でないセルの行番号):F430),
_xlpm.直近で観点が空でないセルの行番号, MAX(INDEX((LEN($F$11:F430)&gt;0)*ROW($F$11:F430),0)),
_xlpm.テスト内容数, COUNTA(INDIRECT("J"&amp;_xlpm.直近で観点が空でないセルの行番号):J430),
_xlpm.テスト内容数_空なら1, IF(_xlpm.テスト内容数=0,1,_xlpm.テスト内容数),
_xlpm.詳細項目数&amp;"-"&amp;_xlpm.観点数&amp;"-"&amp;_xlpm.テスト内容数_空なら1
)</f>
        <v>111-2-3</v>
      </c>
      <c r="B430" s="213"/>
      <c r="C430" s="210"/>
      <c r="D430" s="207"/>
      <c r="E430" s="207"/>
      <c r="F430" s="244"/>
      <c r="G430" s="71"/>
      <c r="H430" s="116" t="s">
        <v>648</v>
      </c>
      <c r="I430" s="116" t="s">
        <v>761</v>
      </c>
      <c r="J430" s="117" t="s">
        <v>981</v>
      </c>
      <c r="K430" s="78" t="s">
        <v>790</v>
      </c>
      <c r="L430" s="116"/>
      <c r="M430" s="116"/>
      <c r="N430" s="54"/>
      <c r="O430" s="130"/>
      <c r="P430" s="78"/>
      <c r="Q430" s="78"/>
    </row>
    <row r="431" spans="1:17" ht="22.5">
      <c r="A431" s="43" t="str" cm="1">
        <f t="array" aca="1" ref="A431" ca="1">_xlfn.LET(
_xlpm.詳細項目数, COUNTA($E$11:E431),
_xlpm.直近で詳細項目が空でないセルの行番号, MAX(INDEX((LEN($E$11:E431)&gt;0)*ROW($E$11:E431),0)),
_xlpm.観点数, COUNTA(INDIRECT("F"&amp;_xlpm.直近で詳細項目が空でないセルの行番号):F431),
_xlpm.直近で観点が空でないセルの行番号, MAX(INDEX((LEN($F$11:F431)&gt;0)*ROW($F$11:F431),0)),
_xlpm.テスト内容数, COUNTA(INDIRECT("J"&amp;_xlpm.直近で観点が空でないセルの行番号):J431),
_xlpm.テスト内容数_空なら1, IF(_xlpm.テスト内容数=0,1,_xlpm.テスト内容数),
_xlpm.詳細項目数&amp;"-"&amp;_xlpm.観点数&amp;"-"&amp;_xlpm.テスト内容数_空なら1
)</f>
        <v>111-2-4</v>
      </c>
      <c r="B431" s="213"/>
      <c r="C431" s="210"/>
      <c r="D431" s="207"/>
      <c r="E431" s="207"/>
      <c r="F431" s="244"/>
      <c r="G431" s="71"/>
      <c r="H431" s="116" t="s">
        <v>648</v>
      </c>
      <c r="I431" s="116" t="s">
        <v>761</v>
      </c>
      <c r="J431" s="117" t="s">
        <v>982</v>
      </c>
      <c r="K431" s="78" t="s">
        <v>790</v>
      </c>
      <c r="L431" s="116"/>
      <c r="M431" s="116"/>
      <c r="N431" s="54"/>
      <c r="O431" s="130"/>
      <c r="P431" s="78"/>
      <c r="Q431" s="78"/>
    </row>
    <row r="432" spans="1:17" ht="22.5">
      <c r="A432" s="43" t="str" cm="1">
        <f t="array" aca="1" ref="A432" ca="1">_xlfn.LET(
_xlpm.詳細項目数, COUNTA($E$11:E432),
_xlpm.直近で詳細項目が空でないセルの行番号, MAX(INDEX((LEN($E$11:E432)&gt;0)*ROW($E$11:E432),0)),
_xlpm.観点数, COUNTA(INDIRECT("F"&amp;_xlpm.直近で詳細項目が空でないセルの行番号):F432),
_xlpm.直近で観点が空でないセルの行番号, MAX(INDEX((LEN($F$11:F432)&gt;0)*ROW($F$11:F432),0)),
_xlpm.テスト内容数, COUNTA(INDIRECT("J"&amp;_xlpm.直近で観点が空でないセルの行番号):J432),
_xlpm.テスト内容数_空なら1, IF(_xlpm.テスト内容数=0,1,_xlpm.テスト内容数),
_xlpm.詳細項目数&amp;"-"&amp;_xlpm.観点数&amp;"-"&amp;_xlpm.テスト内容数_空なら1
)</f>
        <v>111-2-5</v>
      </c>
      <c r="B432" s="213"/>
      <c r="C432" s="210"/>
      <c r="D432" s="207"/>
      <c r="E432" s="207"/>
      <c r="F432" s="244"/>
      <c r="G432" s="71"/>
      <c r="H432" s="116" t="s">
        <v>648</v>
      </c>
      <c r="I432" s="116" t="s">
        <v>761</v>
      </c>
      <c r="J432" s="117" t="s">
        <v>983</v>
      </c>
      <c r="K432" s="78" t="s">
        <v>790</v>
      </c>
      <c r="L432" s="116"/>
      <c r="M432" s="116"/>
      <c r="N432" s="54"/>
      <c r="O432" s="130"/>
      <c r="P432" s="78"/>
      <c r="Q432" s="78"/>
    </row>
    <row r="433" spans="1:17" ht="22.5">
      <c r="A433" s="43" t="str" cm="1">
        <f t="array" aca="1" ref="A433" ca="1">_xlfn.LET(
_xlpm.詳細項目数, COUNTA($E$11:E433),
_xlpm.直近で詳細項目が空でないセルの行番号, MAX(INDEX((LEN($E$11:E433)&gt;0)*ROW($E$11:E433),0)),
_xlpm.観点数, COUNTA(INDIRECT("F"&amp;_xlpm.直近で詳細項目が空でないセルの行番号):F433),
_xlpm.直近で観点が空でないセルの行番号, MAX(INDEX((LEN($F$11:F433)&gt;0)*ROW($F$11:F433),0)),
_xlpm.テスト内容数, COUNTA(INDIRECT("J"&amp;_xlpm.直近で観点が空でないセルの行番号):J433),
_xlpm.テスト内容数_空なら1, IF(_xlpm.テスト内容数=0,1,_xlpm.テスト内容数),
_xlpm.詳細項目数&amp;"-"&amp;_xlpm.観点数&amp;"-"&amp;_xlpm.テスト内容数_空なら1
)</f>
        <v>111-2-6</v>
      </c>
      <c r="B433" s="213"/>
      <c r="C433" s="210"/>
      <c r="D433" s="207"/>
      <c r="E433" s="207"/>
      <c r="F433" s="239"/>
      <c r="G433" s="71"/>
      <c r="H433" s="116" t="s">
        <v>648</v>
      </c>
      <c r="I433" s="116" t="s">
        <v>761</v>
      </c>
      <c r="J433" s="117" t="s">
        <v>984</v>
      </c>
      <c r="K433" s="78" t="s">
        <v>790</v>
      </c>
      <c r="L433" s="116"/>
      <c r="M433" s="116"/>
      <c r="N433" s="54"/>
      <c r="O433" s="130"/>
      <c r="P433" s="78"/>
      <c r="Q433" s="78"/>
    </row>
    <row r="434" spans="1:17" ht="33.75">
      <c r="A434" s="43" t="str" cm="1">
        <f t="array" aca="1" ref="A434" ca="1">_xlfn.LET(
_xlpm.詳細項目数, COUNTA($E$11:E434),
_xlpm.直近で詳細項目が空でないセルの行番号, MAX(INDEX((LEN($E$11:E434)&gt;0)*ROW($E$11:E434),0)),
_xlpm.観点数, COUNTA(INDIRECT("F"&amp;_xlpm.直近で詳細項目が空でないセルの行番号):F434),
_xlpm.直近で観点が空でないセルの行番号, MAX(INDEX((LEN($F$11:F434)&gt;0)*ROW($F$11:F434),0)),
_xlpm.テスト内容数, COUNTA(INDIRECT("J"&amp;_xlpm.直近で観点が空でないセルの行番号):J434),
_xlpm.テスト内容数_空なら1, IF(_xlpm.テスト内容数=0,1,_xlpm.テスト内容数),
_xlpm.詳細項目数&amp;"-"&amp;_xlpm.観点数&amp;"-"&amp;_xlpm.テスト内容数_空なら1
)</f>
        <v>111-3-1</v>
      </c>
      <c r="B434" s="213"/>
      <c r="C434" s="210"/>
      <c r="D434" s="207"/>
      <c r="E434" s="207"/>
      <c r="F434" s="60" t="s">
        <v>468</v>
      </c>
      <c r="G434" s="71"/>
      <c r="H434" s="116" t="s">
        <v>648</v>
      </c>
      <c r="I434" s="116" t="s">
        <v>791</v>
      </c>
      <c r="J434" s="117" t="s">
        <v>979</v>
      </c>
      <c r="K434" s="78" t="s">
        <v>792</v>
      </c>
      <c r="L434" s="116"/>
      <c r="M434" s="116"/>
      <c r="N434" s="54"/>
      <c r="O434" s="130"/>
      <c r="P434" s="78"/>
      <c r="Q434" s="78"/>
    </row>
    <row r="435" spans="1:17" ht="33.75">
      <c r="A435" s="43" t="str" cm="1">
        <f t="array" aca="1" ref="A435" ca="1">_xlfn.LET(
_xlpm.詳細項目数, COUNTA($E$11:E435),
_xlpm.直近で詳細項目が空でないセルの行番号, MAX(INDEX((LEN($E$11:E435)&gt;0)*ROW($E$11:E435),0)),
_xlpm.観点数, COUNTA(INDIRECT("F"&amp;_xlpm.直近で詳細項目が空でないセルの行番号):F435),
_xlpm.直近で観点が空でないセルの行番号, MAX(INDEX((LEN($F$11:F435)&gt;0)*ROW($F$11:F435),0)),
_xlpm.テスト内容数, COUNTA(INDIRECT("J"&amp;_xlpm.直近で観点が空でないセルの行番号):J435),
_xlpm.テスト内容数_空なら1, IF(_xlpm.テスト内容数=0,1,_xlpm.テスト内容数),
_xlpm.詳細項目数&amp;"-"&amp;_xlpm.観点数&amp;"-"&amp;_xlpm.テスト内容数_空なら1
)</f>
        <v>111-3-2</v>
      </c>
      <c r="B435" s="213"/>
      <c r="C435" s="210"/>
      <c r="D435" s="207"/>
      <c r="E435" s="207"/>
      <c r="F435" s="244"/>
      <c r="G435" s="71"/>
      <c r="H435" s="116" t="s">
        <v>648</v>
      </c>
      <c r="I435" s="116" t="s">
        <v>791</v>
      </c>
      <c r="J435" s="117" t="s">
        <v>980</v>
      </c>
      <c r="K435" s="78" t="s">
        <v>792</v>
      </c>
      <c r="L435" s="116"/>
      <c r="M435" s="116"/>
      <c r="N435" s="54"/>
      <c r="O435" s="130"/>
      <c r="P435" s="78"/>
      <c r="Q435" s="78"/>
    </row>
    <row r="436" spans="1:17" ht="22.5">
      <c r="A436" s="43" t="str" cm="1">
        <f t="array" aca="1" ref="A436" ca="1">_xlfn.LET(
_xlpm.詳細項目数, COUNTA($E$11:E436),
_xlpm.直近で詳細項目が空でないセルの行番号, MAX(INDEX((LEN($E$11:E436)&gt;0)*ROW($E$11:E436),0)),
_xlpm.観点数, COUNTA(INDIRECT("F"&amp;_xlpm.直近で詳細項目が空でないセルの行番号):F436),
_xlpm.直近で観点が空でないセルの行番号, MAX(INDEX((LEN($F$11:F436)&gt;0)*ROW($F$11:F436),0)),
_xlpm.テスト内容数, COUNTA(INDIRECT("J"&amp;_xlpm.直近で観点が空でないセルの行番号):J436),
_xlpm.テスト内容数_空なら1, IF(_xlpm.テスト内容数=0,1,_xlpm.テスト内容数),
_xlpm.詳細項目数&amp;"-"&amp;_xlpm.観点数&amp;"-"&amp;_xlpm.テスト内容数_空なら1
)</f>
        <v>111-3-3</v>
      </c>
      <c r="B436" s="213"/>
      <c r="C436" s="210"/>
      <c r="D436" s="207"/>
      <c r="E436" s="207"/>
      <c r="F436" s="244"/>
      <c r="G436" s="71"/>
      <c r="H436" s="116" t="s">
        <v>648</v>
      </c>
      <c r="I436" s="116" t="s">
        <v>791</v>
      </c>
      <c r="J436" s="117" t="s">
        <v>981</v>
      </c>
      <c r="K436" s="78" t="s">
        <v>792</v>
      </c>
      <c r="L436" s="116"/>
      <c r="M436" s="116"/>
      <c r="N436" s="54"/>
      <c r="O436" s="130"/>
      <c r="P436" s="78"/>
      <c r="Q436" s="78"/>
    </row>
    <row r="437" spans="1:17" ht="22.5">
      <c r="A437" s="43" t="str" cm="1">
        <f t="array" aca="1" ref="A437" ca="1">_xlfn.LET(
_xlpm.詳細項目数, COUNTA($E$11:E437),
_xlpm.直近で詳細項目が空でないセルの行番号, MAX(INDEX((LEN($E$11:E437)&gt;0)*ROW($E$11:E437),0)),
_xlpm.観点数, COUNTA(INDIRECT("F"&amp;_xlpm.直近で詳細項目が空でないセルの行番号):F437),
_xlpm.直近で観点が空でないセルの行番号, MAX(INDEX((LEN($F$11:F437)&gt;0)*ROW($F$11:F437),0)),
_xlpm.テスト内容数, COUNTA(INDIRECT("J"&amp;_xlpm.直近で観点が空でないセルの行番号):J437),
_xlpm.テスト内容数_空なら1, IF(_xlpm.テスト内容数=0,1,_xlpm.テスト内容数),
_xlpm.詳細項目数&amp;"-"&amp;_xlpm.観点数&amp;"-"&amp;_xlpm.テスト内容数_空なら1
)</f>
        <v>111-3-4</v>
      </c>
      <c r="B437" s="213"/>
      <c r="C437" s="210"/>
      <c r="D437" s="207"/>
      <c r="E437" s="207"/>
      <c r="F437" s="244"/>
      <c r="G437" s="71"/>
      <c r="H437" s="116" t="s">
        <v>648</v>
      </c>
      <c r="I437" s="116" t="s">
        <v>791</v>
      </c>
      <c r="J437" s="117" t="s">
        <v>982</v>
      </c>
      <c r="K437" s="78" t="s">
        <v>792</v>
      </c>
      <c r="L437" s="116"/>
      <c r="M437" s="116"/>
      <c r="N437" s="54"/>
      <c r="O437" s="130"/>
      <c r="P437" s="78"/>
      <c r="Q437" s="78"/>
    </row>
    <row r="438" spans="1:17" ht="22.5">
      <c r="A438" s="43" t="str" cm="1">
        <f t="array" aca="1" ref="A438" ca="1">_xlfn.LET(
_xlpm.詳細項目数, COUNTA($E$11:E438),
_xlpm.直近で詳細項目が空でないセルの行番号, MAX(INDEX((LEN($E$11:E438)&gt;0)*ROW($E$11:E438),0)),
_xlpm.観点数, COUNTA(INDIRECT("F"&amp;_xlpm.直近で詳細項目が空でないセルの行番号):F438),
_xlpm.直近で観点が空でないセルの行番号, MAX(INDEX((LEN($F$11:F438)&gt;0)*ROW($F$11:F438),0)),
_xlpm.テスト内容数, COUNTA(INDIRECT("J"&amp;_xlpm.直近で観点が空でないセルの行番号):J438),
_xlpm.テスト内容数_空なら1, IF(_xlpm.テスト内容数=0,1,_xlpm.テスト内容数),
_xlpm.詳細項目数&amp;"-"&amp;_xlpm.観点数&amp;"-"&amp;_xlpm.テスト内容数_空なら1
)</f>
        <v>111-3-5</v>
      </c>
      <c r="B438" s="213"/>
      <c r="C438" s="210"/>
      <c r="D438" s="207"/>
      <c r="E438" s="207"/>
      <c r="F438" s="244"/>
      <c r="G438" s="71"/>
      <c r="H438" s="116" t="s">
        <v>648</v>
      </c>
      <c r="I438" s="116" t="s">
        <v>791</v>
      </c>
      <c r="J438" s="117" t="s">
        <v>983</v>
      </c>
      <c r="K438" s="78" t="s">
        <v>792</v>
      </c>
      <c r="L438" s="116"/>
      <c r="M438" s="116"/>
      <c r="N438" s="54"/>
      <c r="O438" s="130"/>
      <c r="P438" s="78"/>
      <c r="Q438" s="78"/>
    </row>
    <row r="439" spans="1:17" ht="22.5">
      <c r="A439" s="43" t="str" cm="1">
        <f t="array" aca="1" ref="A439" ca="1">_xlfn.LET(
_xlpm.詳細項目数, COUNTA($E$11:E439),
_xlpm.直近で詳細項目が空でないセルの行番号, MAX(INDEX((LEN($E$11:E439)&gt;0)*ROW($E$11:E439),0)),
_xlpm.観点数, COUNTA(INDIRECT("F"&amp;_xlpm.直近で詳細項目が空でないセルの行番号):F439),
_xlpm.直近で観点が空でないセルの行番号, MAX(INDEX((LEN($F$11:F439)&gt;0)*ROW($F$11:F439),0)),
_xlpm.テスト内容数, COUNTA(INDIRECT("J"&amp;_xlpm.直近で観点が空でないセルの行番号):J439),
_xlpm.テスト内容数_空なら1, IF(_xlpm.テスト内容数=0,1,_xlpm.テスト内容数),
_xlpm.詳細項目数&amp;"-"&amp;_xlpm.観点数&amp;"-"&amp;_xlpm.テスト内容数_空なら1
)</f>
        <v>111-3-6</v>
      </c>
      <c r="B439" s="213"/>
      <c r="C439" s="210"/>
      <c r="D439" s="207"/>
      <c r="E439" s="207"/>
      <c r="F439" s="239"/>
      <c r="G439" s="71"/>
      <c r="H439" s="116" t="s">
        <v>648</v>
      </c>
      <c r="I439" s="116" t="s">
        <v>791</v>
      </c>
      <c r="J439" s="117" t="s">
        <v>984</v>
      </c>
      <c r="K439" s="78" t="s">
        <v>792</v>
      </c>
      <c r="L439" s="116"/>
      <c r="M439" s="116"/>
      <c r="N439" s="54"/>
      <c r="O439" s="130"/>
      <c r="P439" s="78"/>
      <c r="Q439" s="78"/>
    </row>
    <row r="440" spans="1:17" ht="22.5">
      <c r="A440" s="43" t="str" cm="1">
        <f t="array" aca="1" ref="A440" ca="1">_xlfn.LET(
_xlpm.詳細項目数, COUNTA($E$11:E440),
_xlpm.直近で詳細項目が空でないセルの行番号, MAX(INDEX((LEN($E$11:E440)&gt;0)*ROW($E$11:E440),0)),
_xlpm.観点数, COUNTA(INDIRECT("F"&amp;_xlpm.直近で詳細項目が空でないセルの行番号):F440),
_xlpm.直近で観点が空でないセルの行番号, MAX(INDEX((LEN($F$11:F440)&gt;0)*ROW($F$11:F440),0)),
_xlpm.テスト内容数, COUNTA(INDIRECT("J"&amp;_xlpm.直近で観点が空でないセルの行番号):J440),
_xlpm.テスト内容数_空なら1, IF(_xlpm.テスト内容数=0,1,_xlpm.テスト内容数),
_xlpm.詳細項目数&amp;"-"&amp;_xlpm.観点数&amp;"-"&amp;_xlpm.テスト内容数_空なら1
)</f>
        <v>111-4-1</v>
      </c>
      <c r="B440" s="213"/>
      <c r="C440" s="210"/>
      <c r="D440" s="207"/>
      <c r="E440" s="207"/>
      <c r="F440" s="94" t="s">
        <v>469</v>
      </c>
      <c r="G440" s="95"/>
      <c r="H440" s="96"/>
      <c r="I440" s="96"/>
      <c r="J440" s="235" t="s">
        <v>793</v>
      </c>
      <c r="K440" s="97"/>
      <c r="L440" s="96"/>
      <c r="M440" s="96"/>
      <c r="N440" s="96"/>
      <c r="O440" s="126"/>
      <c r="P440" s="97"/>
      <c r="Q440" s="97"/>
    </row>
    <row r="441" spans="1:17" ht="45">
      <c r="A441" s="43" t="str" cm="1">
        <f t="array" aca="1" ref="A441" ca="1">_xlfn.LET(
_xlpm.詳細項目数, COUNTA($E$11:E441),
_xlpm.直近で詳細項目が空でないセルの行番号, MAX(INDEX((LEN($E$11:E441)&gt;0)*ROW($E$11:E441),0)),
_xlpm.観点数, COUNTA(INDIRECT("F"&amp;_xlpm.直近で詳細項目が空でないセルの行番号):F441),
_xlpm.直近で観点が空でないセルの行番号, MAX(INDEX((LEN($F$11:F441)&gt;0)*ROW($F$11:F441),0)),
_xlpm.テスト内容数, COUNTA(INDIRECT("J"&amp;_xlpm.直近で観点が空でないセルの行番号):J441),
_xlpm.テスト内容数_空なら1, IF(_xlpm.テスト内容数=0,1,_xlpm.テスト内容数),
_xlpm.詳細項目数&amp;"-"&amp;_xlpm.観点数&amp;"-"&amp;_xlpm.テスト内容数_空なら1
)</f>
        <v>111-5-1</v>
      </c>
      <c r="B441" s="213"/>
      <c r="C441" s="210"/>
      <c r="D441" s="207"/>
      <c r="E441" s="207"/>
      <c r="F441" s="60" t="s">
        <v>470</v>
      </c>
      <c r="G441" s="71"/>
      <c r="H441" s="116" t="s">
        <v>648</v>
      </c>
      <c r="I441" s="116" t="s">
        <v>649</v>
      </c>
      <c r="J441" s="117" t="s">
        <v>985</v>
      </c>
      <c r="K441" s="78" t="s">
        <v>836</v>
      </c>
      <c r="L441" s="116"/>
      <c r="M441" s="116"/>
      <c r="N441" s="54"/>
      <c r="O441" s="130"/>
      <c r="P441" s="78"/>
      <c r="Q441" s="78"/>
    </row>
    <row r="442" spans="1:17" ht="45">
      <c r="A442" s="43" t="str" cm="1">
        <f t="array" aca="1" ref="A442" ca="1">_xlfn.LET(
_xlpm.詳細項目数, COUNTA($E$11:E442),
_xlpm.直近で詳細項目が空でないセルの行番号, MAX(INDEX((LEN($E$11:E442)&gt;0)*ROW($E$11:E442),0)),
_xlpm.観点数, COUNTA(INDIRECT("F"&amp;_xlpm.直近で詳細項目が空でないセルの行番号):F442),
_xlpm.直近で観点が空でないセルの行番号, MAX(INDEX((LEN($F$11:F442)&gt;0)*ROW($F$11:F442),0)),
_xlpm.テスト内容数, COUNTA(INDIRECT("J"&amp;_xlpm.直近で観点が空でないセルの行番号):J442),
_xlpm.テスト内容数_空なら1, IF(_xlpm.テスト内容数=0,1,_xlpm.テスト内容数),
_xlpm.詳細項目数&amp;"-"&amp;_xlpm.観点数&amp;"-"&amp;_xlpm.テスト内容数_空なら1
)</f>
        <v>111-5-2</v>
      </c>
      <c r="B442" s="213"/>
      <c r="C442" s="210"/>
      <c r="D442" s="207"/>
      <c r="E442" s="207"/>
      <c r="F442" s="239"/>
      <c r="G442" s="71"/>
      <c r="H442" s="116" t="s">
        <v>648</v>
      </c>
      <c r="I442" s="116" t="s">
        <v>649</v>
      </c>
      <c r="J442" s="238" t="s">
        <v>986</v>
      </c>
      <c r="K442" s="78" t="s">
        <v>837</v>
      </c>
      <c r="L442" s="116"/>
      <c r="M442" s="116"/>
      <c r="N442" s="54"/>
      <c r="O442" s="130"/>
      <c r="P442" s="78"/>
      <c r="Q442" s="78"/>
    </row>
    <row r="443" spans="1:17" ht="33.75">
      <c r="A443" s="43" t="str" cm="1">
        <f t="array" aca="1" ref="A443" ca="1">_xlfn.LET(
_xlpm.詳細項目数, COUNTA($E$11:E443),
_xlpm.直近で詳細項目が空でないセルの行番号, MAX(INDEX((LEN($E$11:E443)&gt;0)*ROW($E$11:E443),0)),
_xlpm.観点数, COUNTA(INDIRECT("F"&amp;_xlpm.直近で詳細項目が空でないセルの行番号):F443),
_xlpm.直近で観点が空でないセルの行番号, MAX(INDEX((LEN($F$11:F443)&gt;0)*ROW($F$11:F443),0)),
_xlpm.テスト内容数, COUNTA(INDIRECT("J"&amp;_xlpm.直近で観点が空でないセルの行番号):J443),
_xlpm.テスト内容数_空なら1, IF(_xlpm.テスト内容数=0,1,_xlpm.テスト内容数),
_xlpm.詳細項目数&amp;"-"&amp;_xlpm.観点数&amp;"-"&amp;_xlpm.テスト内容数_空なら1
)</f>
        <v>111-6-1</v>
      </c>
      <c r="B443" s="213"/>
      <c r="C443" s="210"/>
      <c r="D443" s="207"/>
      <c r="E443" s="207"/>
      <c r="F443" s="94" t="s">
        <v>471</v>
      </c>
      <c r="G443" s="95" t="s">
        <v>627</v>
      </c>
      <c r="H443" s="96"/>
      <c r="I443" s="96"/>
      <c r="J443" s="97"/>
      <c r="K443" s="97"/>
      <c r="L443" s="96"/>
      <c r="M443" s="96"/>
      <c r="N443" s="96"/>
      <c r="O443" s="126"/>
      <c r="P443" s="97"/>
      <c r="Q443" s="97"/>
    </row>
    <row r="444" spans="1:17" ht="22.5">
      <c r="A444" s="43" t="str" cm="1">
        <f t="array" aca="1" ref="A444" ca="1">_xlfn.LET(
_xlpm.詳細項目数, COUNTA($E$11:E444),
_xlpm.直近で詳細項目が空でないセルの行番号, MAX(INDEX((LEN($E$11:E444)&gt;0)*ROW($E$11:E444),0)),
_xlpm.観点数, COUNTA(INDIRECT("F"&amp;_xlpm.直近で詳細項目が空でないセルの行番号):F444),
_xlpm.直近で観点が空でないセルの行番号, MAX(INDEX((LEN($F$11:F444)&gt;0)*ROW($F$11:F444),0)),
_xlpm.テスト内容数, COUNTA(INDIRECT("J"&amp;_xlpm.直近で観点が空でないセルの行番号):J444),
_xlpm.テスト内容数_空なら1, IF(_xlpm.テスト内容数=0,1,_xlpm.テスト内容数),
_xlpm.詳細項目数&amp;"-"&amp;_xlpm.観点数&amp;"-"&amp;_xlpm.テスト内容数_空なら1
)</f>
        <v>111-7-1</v>
      </c>
      <c r="B444" s="213"/>
      <c r="C444" s="210"/>
      <c r="D444" s="207"/>
      <c r="E444" s="207"/>
      <c r="F444" s="94" t="s">
        <v>472</v>
      </c>
      <c r="G444" s="95"/>
      <c r="H444" s="96"/>
      <c r="I444" s="96"/>
      <c r="J444" s="97" t="s">
        <v>892</v>
      </c>
      <c r="K444" s="97"/>
      <c r="L444" s="96"/>
      <c r="M444" s="96"/>
      <c r="N444" s="96"/>
      <c r="O444" s="126"/>
      <c r="P444" s="97"/>
      <c r="Q444" s="97"/>
    </row>
    <row r="445" spans="1:17" ht="22.5">
      <c r="A445" s="43" t="str" cm="1">
        <f t="array" aca="1" ref="A445" ca="1">_xlfn.LET(
_xlpm.詳細項目数, COUNTA($E$11:E445),
_xlpm.直近で詳細項目が空でないセルの行番号, MAX(INDEX((LEN($E$11:E445)&gt;0)*ROW($E$11:E445),0)),
_xlpm.観点数, COUNTA(INDIRECT("F"&amp;_xlpm.直近で詳細項目が空でないセルの行番号):F445),
_xlpm.直近で観点が空でないセルの行番号, MAX(INDEX((LEN($F$11:F445)&gt;0)*ROW($F$11:F445),0)),
_xlpm.テスト内容数, COUNTA(INDIRECT("J"&amp;_xlpm.直近で観点が空でないセルの行番号):J445),
_xlpm.テスト内容数_空なら1, IF(_xlpm.テスト内容数=0,1,_xlpm.テスト内容数),
_xlpm.詳細項目数&amp;"-"&amp;_xlpm.観点数&amp;"-"&amp;_xlpm.テスト内容数_空なら1
)</f>
        <v>111-8-1</v>
      </c>
      <c r="B445" s="213"/>
      <c r="C445" s="210"/>
      <c r="D445" s="207"/>
      <c r="E445" s="207"/>
      <c r="F445" s="94" t="s">
        <v>473</v>
      </c>
      <c r="G445" s="95"/>
      <c r="H445" s="96"/>
      <c r="I445" s="96"/>
      <c r="J445" s="97" t="s">
        <v>892</v>
      </c>
      <c r="K445" s="97"/>
      <c r="L445" s="96"/>
      <c r="M445" s="96"/>
      <c r="N445" s="96"/>
      <c r="O445" s="126"/>
      <c r="P445" s="97"/>
      <c r="Q445" s="97"/>
    </row>
    <row r="446" spans="1:17" ht="22.5">
      <c r="A446" s="43" t="str" cm="1">
        <f t="array" aca="1" ref="A446" ca="1">_xlfn.LET(
_xlpm.詳細項目数, COUNTA($E$11:E446),
_xlpm.直近で詳細項目が空でないセルの行番号, MAX(INDEX((LEN($E$11:E446)&gt;0)*ROW($E$11:E446),0)),
_xlpm.観点数, COUNTA(INDIRECT("F"&amp;_xlpm.直近で詳細項目が空でないセルの行番号):F446),
_xlpm.直近で観点が空でないセルの行番号, MAX(INDEX((LEN($F$11:F446)&gt;0)*ROW($F$11:F446),0)),
_xlpm.テスト内容数, COUNTA(INDIRECT("J"&amp;_xlpm.直近で観点が空でないセルの行番号):J446),
_xlpm.テスト内容数_空なら1, IF(_xlpm.テスト内容数=0,1,_xlpm.テスト内容数),
_xlpm.詳細項目数&amp;"-"&amp;_xlpm.観点数&amp;"-"&amp;_xlpm.テスト内容数_空なら1
)</f>
        <v>111-9-1</v>
      </c>
      <c r="B446" s="213"/>
      <c r="C446" s="210"/>
      <c r="D446" s="207"/>
      <c r="E446" s="207"/>
      <c r="F446" s="94" t="s">
        <v>474</v>
      </c>
      <c r="G446" s="95"/>
      <c r="H446" s="96"/>
      <c r="I446" s="96"/>
      <c r="J446" s="97" t="s">
        <v>892</v>
      </c>
      <c r="K446" s="97"/>
      <c r="L446" s="96"/>
      <c r="M446" s="96"/>
      <c r="N446" s="96"/>
      <c r="O446" s="126"/>
      <c r="P446" s="97"/>
      <c r="Q446" s="97"/>
    </row>
    <row r="447" spans="1:17" ht="22.5">
      <c r="A447" s="43" t="str" cm="1">
        <f t="array" aca="1" ref="A447" ca="1">_xlfn.LET(
_xlpm.詳細項目数, COUNTA($E$11:E447),
_xlpm.直近で詳細項目が空でないセルの行番号, MAX(INDEX((LEN($E$11:E447)&gt;0)*ROW($E$11:E447),0)),
_xlpm.観点数, COUNTA(INDIRECT("F"&amp;_xlpm.直近で詳細項目が空でないセルの行番号):F447),
_xlpm.直近で観点が空でないセルの行番号, MAX(INDEX((LEN($F$11:F447)&gt;0)*ROW($F$11:F447),0)),
_xlpm.テスト内容数, COUNTA(INDIRECT("J"&amp;_xlpm.直近で観点が空でないセルの行番号):J447),
_xlpm.テスト内容数_空なら1, IF(_xlpm.テスト内容数=0,1,_xlpm.テスト内容数),
_xlpm.詳細項目数&amp;"-"&amp;_xlpm.観点数&amp;"-"&amp;_xlpm.テスト内容数_空なら1
)</f>
        <v>111-10-1</v>
      </c>
      <c r="B447" s="213"/>
      <c r="C447" s="210"/>
      <c r="D447" s="207"/>
      <c r="E447" s="207"/>
      <c r="F447" s="94" t="s">
        <v>475</v>
      </c>
      <c r="G447" s="95"/>
      <c r="H447" s="96"/>
      <c r="I447" s="96"/>
      <c r="J447" s="97" t="s">
        <v>892</v>
      </c>
      <c r="K447" s="97"/>
      <c r="L447" s="96"/>
      <c r="M447" s="96"/>
      <c r="N447" s="96"/>
      <c r="O447" s="126"/>
      <c r="P447" s="97"/>
      <c r="Q447" s="97"/>
    </row>
    <row r="448" spans="1:17" ht="22.5">
      <c r="A448" s="43" t="str" cm="1">
        <f t="array" aca="1" ref="A448" ca="1">_xlfn.LET(
_xlpm.詳細項目数, COUNTA($E$11:E448),
_xlpm.直近で詳細項目が空でないセルの行番号, MAX(INDEX((LEN($E$11:E448)&gt;0)*ROW($E$11:E448),0)),
_xlpm.観点数, COUNTA(INDIRECT("F"&amp;_xlpm.直近で詳細項目が空でないセルの行番号):F448),
_xlpm.直近で観点が空でないセルの行番号, MAX(INDEX((LEN($F$11:F448)&gt;0)*ROW($F$11:F448),0)),
_xlpm.テスト内容数, COUNTA(INDIRECT("J"&amp;_xlpm.直近で観点が空でないセルの行番号):J448),
_xlpm.テスト内容数_空なら1, IF(_xlpm.テスト内容数=0,1,_xlpm.テスト内容数),
_xlpm.詳細項目数&amp;"-"&amp;_xlpm.観点数&amp;"-"&amp;_xlpm.テスト内容数_空なら1
)</f>
        <v>111-11-1</v>
      </c>
      <c r="B448" s="213"/>
      <c r="C448" s="210"/>
      <c r="D448" s="207"/>
      <c r="E448" s="207"/>
      <c r="F448" s="94" t="s">
        <v>476</v>
      </c>
      <c r="G448" s="95"/>
      <c r="H448" s="96"/>
      <c r="I448" s="96"/>
      <c r="J448" s="97" t="s">
        <v>892</v>
      </c>
      <c r="K448" s="97"/>
      <c r="L448" s="96"/>
      <c r="M448" s="96"/>
      <c r="N448" s="96"/>
      <c r="O448" s="126"/>
      <c r="P448" s="97"/>
      <c r="Q448" s="97"/>
    </row>
    <row r="449" spans="1:17" ht="22.5">
      <c r="A449" s="43" t="str" cm="1">
        <f t="array" aca="1" ref="A449" ca="1">_xlfn.LET(
_xlpm.詳細項目数, COUNTA($E$11:E449),
_xlpm.直近で詳細項目が空でないセルの行番号, MAX(INDEX((LEN($E$11:E449)&gt;0)*ROW($E$11:E449),0)),
_xlpm.観点数, COUNTA(INDIRECT("F"&amp;_xlpm.直近で詳細項目が空でないセルの行番号):F449),
_xlpm.直近で観点が空でないセルの行番号, MAX(INDEX((LEN($F$11:F449)&gt;0)*ROW($F$11:F449),0)),
_xlpm.テスト内容数, COUNTA(INDIRECT("J"&amp;_xlpm.直近で観点が空でないセルの行番号):J449),
_xlpm.テスト内容数_空なら1, IF(_xlpm.テスト内容数=0,1,_xlpm.テスト内容数),
_xlpm.詳細項目数&amp;"-"&amp;_xlpm.観点数&amp;"-"&amp;_xlpm.テスト内容数_空なら1
)</f>
        <v>111-12-1</v>
      </c>
      <c r="B449" s="213"/>
      <c r="C449" s="210"/>
      <c r="D449" s="207"/>
      <c r="E449" s="207"/>
      <c r="F449" s="60" t="s">
        <v>477</v>
      </c>
      <c r="G449" s="71"/>
      <c r="H449" s="116" t="s">
        <v>648</v>
      </c>
      <c r="I449" s="116" t="s">
        <v>761</v>
      </c>
      <c r="J449" s="78" t="s">
        <v>971</v>
      </c>
      <c r="K449" s="78" t="s">
        <v>880</v>
      </c>
      <c r="L449" s="116"/>
      <c r="M449" s="116"/>
      <c r="N449" s="54"/>
      <c r="O449" s="130"/>
      <c r="P449" s="78"/>
      <c r="Q449" s="78"/>
    </row>
    <row r="450" spans="1:17" ht="22.5">
      <c r="A450" s="43" t="str" cm="1">
        <f t="array" aca="1" ref="A450" ca="1">_xlfn.LET(
_xlpm.詳細項目数, COUNTA($E$11:E450),
_xlpm.直近で詳細項目が空でないセルの行番号, MAX(INDEX((LEN($E$11:E450)&gt;0)*ROW($E$11:E450),0)),
_xlpm.観点数, COUNTA(INDIRECT("F"&amp;_xlpm.直近で詳細項目が空でないセルの行番号):F450),
_xlpm.直近で観点が空でないセルの行番号, MAX(INDEX((LEN($F$11:F450)&gt;0)*ROW($F$11:F450),0)),
_xlpm.テスト内容数, COUNTA(INDIRECT("J"&amp;_xlpm.直近で観点が空でないセルの行番号):J450),
_xlpm.テスト内容数_空なら1, IF(_xlpm.テスト内容数=0,1,_xlpm.テスト内容数),
_xlpm.詳細項目数&amp;"-"&amp;_xlpm.観点数&amp;"-"&amp;_xlpm.テスト内容数_空なら1
)</f>
        <v>111-12-2</v>
      </c>
      <c r="B450" s="213"/>
      <c r="C450" s="210"/>
      <c r="D450" s="207"/>
      <c r="E450" s="207"/>
      <c r="F450" s="244"/>
      <c r="G450" s="71"/>
      <c r="H450" s="116" t="s">
        <v>648</v>
      </c>
      <c r="I450" s="116" t="s">
        <v>761</v>
      </c>
      <c r="J450" s="78" t="s">
        <v>971</v>
      </c>
      <c r="K450" s="78" t="s">
        <v>881</v>
      </c>
      <c r="L450" s="116"/>
      <c r="M450" s="116"/>
      <c r="N450" s="54"/>
      <c r="O450" s="130"/>
      <c r="P450" s="78"/>
      <c r="Q450" s="78"/>
    </row>
    <row r="451" spans="1:17" ht="22.5">
      <c r="A451" s="43" t="str" cm="1">
        <f t="array" aca="1" ref="A451" ca="1">_xlfn.LET(
_xlpm.詳細項目数, COUNTA($E$11:E451),
_xlpm.直近で詳細項目が空でないセルの行番号, MAX(INDEX((LEN($E$11:E451)&gt;0)*ROW($E$11:E451),0)),
_xlpm.観点数, COUNTA(INDIRECT("F"&amp;_xlpm.直近で詳細項目が空でないセルの行番号):F451),
_xlpm.直近で観点が空でないセルの行番号, MAX(INDEX((LEN($F$11:F451)&gt;0)*ROW($F$11:F451),0)),
_xlpm.テスト内容数, COUNTA(INDIRECT("J"&amp;_xlpm.直近で観点が空でないセルの行番号):J451),
_xlpm.テスト内容数_空なら1, IF(_xlpm.テスト内容数=0,1,_xlpm.テスト内容数),
_xlpm.詳細項目数&amp;"-"&amp;_xlpm.観点数&amp;"-"&amp;_xlpm.テスト内容数_空なら1
)</f>
        <v>111-12-3</v>
      </c>
      <c r="B451" s="213"/>
      <c r="C451" s="210"/>
      <c r="D451" s="207"/>
      <c r="E451" s="207"/>
      <c r="F451" s="244"/>
      <c r="G451" s="71"/>
      <c r="H451" s="116" t="s">
        <v>648</v>
      </c>
      <c r="I451" s="116" t="s">
        <v>761</v>
      </c>
      <c r="J451" s="78" t="s">
        <v>971</v>
      </c>
      <c r="K451" s="78" t="s">
        <v>893</v>
      </c>
      <c r="L451" s="116"/>
      <c r="M451" s="116"/>
      <c r="N451" s="54"/>
      <c r="O451" s="130"/>
      <c r="P451" s="78"/>
      <c r="Q451" s="78"/>
    </row>
    <row r="452" spans="1:17" ht="22.5">
      <c r="A452" s="43" t="str" cm="1">
        <f t="array" aca="1" ref="A452" ca="1">_xlfn.LET(
_xlpm.詳細項目数, COUNTA($E$11:E452),
_xlpm.直近で詳細項目が空でないセルの行番号, MAX(INDEX((LEN($E$11:E452)&gt;0)*ROW($E$11:E452),0)),
_xlpm.観点数, COUNTA(INDIRECT("F"&amp;_xlpm.直近で詳細項目が空でないセルの行番号):F452),
_xlpm.直近で観点が空でないセルの行番号, MAX(INDEX((LEN($F$11:F452)&gt;0)*ROW($F$11:F452),0)),
_xlpm.テスト内容数, COUNTA(INDIRECT("J"&amp;_xlpm.直近で観点が空でないセルの行番号):J452),
_xlpm.テスト内容数_空なら1, IF(_xlpm.テスト内容数=0,1,_xlpm.テスト内容数),
_xlpm.詳細項目数&amp;"-"&amp;_xlpm.観点数&amp;"-"&amp;_xlpm.テスト内容数_空なら1
)</f>
        <v>111-12-4</v>
      </c>
      <c r="B452" s="213"/>
      <c r="C452" s="210"/>
      <c r="D452" s="207"/>
      <c r="E452" s="207"/>
      <c r="F452" s="244"/>
      <c r="G452" s="71"/>
      <c r="H452" s="116" t="s">
        <v>648</v>
      </c>
      <c r="I452" s="116" t="s">
        <v>761</v>
      </c>
      <c r="J452" s="78" t="s">
        <v>971</v>
      </c>
      <c r="K452" s="78" t="s">
        <v>883</v>
      </c>
      <c r="L452" s="116"/>
      <c r="M452" s="116"/>
      <c r="N452" s="54"/>
      <c r="O452" s="130"/>
      <c r="P452" s="78"/>
      <c r="Q452" s="78"/>
    </row>
    <row r="453" spans="1:17" ht="22.5">
      <c r="A453" s="43" t="str" cm="1">
        <f t="array" aca="1" ref="A453" ca="1">_xlfn.LET(
_xlpm.詳細項目数, COUNTA($E$11:E453),
_xlpm.直近で詳細項目が空でないセルの行番号, MAX(INDEX((LEN($E$11:E453)&gt;0)*ROW($E$11:E453),0)),
_xlpm.観点数, COUNTA(INDIRECT("F"&amp;_xlpm.直近で詳細項目が空でないセルの行番号):F453),
_xlpm.直近で観点が空でないセルの行番号, MAX(INDEX((LEN($F$11:F453)&gt;0)*ROW($F$11:F453),0)),
_xlpm.テスト内容数, COUNTA(INDIRECT("J"&amp;_xlpm.直近で観点が空でないセルの行番号):J453),
_xlpm.テスト内容数_空なら1, IF(_xlpm.テスト内容数=0,1,_xlpm.テスト内容数),
_xlpm.詳細項目数&amp;"-"&amp;_xlpm.観点数&amp;"-"&amp;_xlpm.テスト内容数_空なら1
)</f>
        <v>111-12-5</v>
      </c>
      <c r="B453" s="213"/>
      <c r="C453" s="210"/>
      <c r="D453" s="207"/>
      <c r="E453" s="207"/>
      <c r="F453" s="244"/>
      <c r="G453" s="71"/>
      <c r="H453" s="116" t="s">
        <v>648</v>
      </c>
      <c r="I453" s="116" t="s">
        <v>761</v>
      </c>
      <c r="J453" s="78" t="s">
        <v>971</v>
      </c>
      <c r="K453" s="78" t="s">
        <v>884</v>
      </c>
      <c r="L453" s="116"/>
      <c r="M453" s="116"/>
      <c r="N453" s="54"/>
      <c r="O453" s="130"/>
      <c r="P453" s="78"/>
      <c r="Q453" s="78"/>
    </row>
    <row r="454" spans="1:17" ht="33.75">
      <c r="A454" s="43" t="str" cm="1">
        <f t="array" aca="1" ref="A454" ca="1">_xlfn.LET(
_xlpm.詳細項目数, COUNTA($E$11:E454),
_xlpm.直近で詳細項目が空でないセルの行番号, MAX(INDEX((LEN($E$11:E454)&gt;0)*ROW($E$11:E454),0)),
_xlpm.観点数, COUNTA(INDIRECT("F"&amp;_xlpm.直近で詳細項目が空でないセルの行番号):F454),
_xlpm.直近で観点が空でないセルの行番号, MAX(INDEX((LEN($F$11:F454)&gt;0)*ROW($F$11:F454),0)),
_xlpm.テスト内容数, COUNTA(INDIRECT("J"&amp;_xlpm.直近で観点が空でないセルの行番号):J454),
_xlpm.テスト内容数_空なら1, IF(_xlpm.テスト内容数=0,1,_xlpm.テスト内容数),
_xlpm.詳細項目数&amp;"-"&amp;_xlpm.観点数&amp;"-"&amp;_xlpm.テスト内容数_空なら1
)</f>
        <v>111-12-6</v>
      </c>
      <c r="B454" s="213"/>
      <c r="C454" s="210"/>
      <c r="D454" s="207"/>
      <c r="E454" s="207"/>
      <c r="F454" s="244"/>
      <c r="G454" s="71"/>
      <c r="H454" s="116" t="s">
        <v>648</v>
      </c>
      <c r="I454" s="116" t="s">
        <v>761</v>
      </c>
      <c r="J454" s="78" t="s">
        <v>971</v>
      </c>
      <c r="K454" s="78" t="s">
        <v>894</v>
      </c>
      <c r="L454" s="116"/>
      <c r="M454" s="116"/>
      <c r="N454" s="54"/>
      <c r="O454" s="130"/>
      <c r="P454" s="78"/>
      <c r="Q454" s="78"/>
    </row>
    <row r="455" spans="1:17" ht="22.5">
      <c r="A455" s="43" t="str" cm="1">
        <f t="array" aca="1" ref="A455" ca="1">_xlfn.LET(
_xlpm.詳細項目数, COUNTA($E$11:E455),
_xlpm.直近で詳細項目が空でないセルの行番号, MAX(INDEX((LEN($E$11:E455)&gt;0)*ROW($E$11:E455),0)),
_xlpm.観点数, COUNTA(INDIRECT("F"&amp;_xlpm.直近で詳細項目が空でないセルの行番号):F455),
_xlpm.直近で観点が空でないセルの行番号, MAX(INDEX((LEN($F$11:F455)&gt;0)*ROW($F$11:F455),0)),
_xlpm.テスト内容数, COUNTA(INDIRECT("J"&amp;_xlpm.直近で観点が空でないセルの行番号):J455),
_xlpm.テスト内容数_空なら1, IF(_xlpm.テスト内容数=0,1,_xlpm.テスト内容数),
_xlpm.詳細項目数&amp;"-"&amp;_xlpm.観点数&amp;"-"&amp;_xlpm.テスト内容数_空なら1
)</f>
        <v>111-12-7</v>
      </c>
      <c r="B455" s="213"/>
      <c r="C455" s="210"/>
      <c r="D455" s="207"/>
      <c r="E455" s="207"/>
      <c r="F455" s="244"/>
      <c r="G455" s="71"/>
      <c r="H455" s="116" t="s">
        <v>648</v>
      </c>
      <c r="I455" s="116" t="s">
        <v>761</v>
      </c>
      <c r="J455" s="78" t="s">
        <v>971</v>
      </c>
      <c r="K455" s="78" t="s">
        <v>886</v>
      </c>
      <c r="L455" s="116"/>
      <c r="M455" s="116"/>
      <c r="N455" s="54"/>
      <c r="O455" s="130"/>
      <c r="P455" s="78"/>
      <c r="Q455" s="78"/>
    </row>
    <row r="456" spans="1:17" ht="22.5">
      <c r="A456" s="43" t="str" cm="1">
        <f t="array" aca="1" ref="A456" ca="1">_xlfn.LET(
_xlpm.詳細項目数, COUNTA($E$11:E456),
_xlpm.直近で詳細項目が空でないセルの行番号, MAX(INDEX((LEN($E$11:E456)&gt;0)*ROW($E$11:E456),0)),
_xlpm.観点数, COUNTA(INDIRECT("F"&amp;_xlpm.直近で詳細項目が空でないセルの行番号):F456),
_xlpm.直近で観点が空でないセルの行番号, MAX(INDEX((LEN($F$11:F456)&gt;0)*ROW($F$11:F456),0)),
_xlpm.テスト内容数, COUNTA(INDIRECT("J"&amp;_xlpm.直近で観点が空でないセルの行番号):J456),
_xlpm.テスト内容数_空なら1, IF(_xlpm.テスト内容数=0,1,_xlpm.テスト内容数),
_xlpm.詳細項目数&amp;"-"&amp;_xlpm.観点数&amp;"-"&amp;_xlpm.テスト内容数_空なら1
)</f>
        <v>111-12-8</v>
      </c>
      <c r="B456" s="213"/>
      <c r="C456" s="210"/>
      <c r="D456" s="207"/>
      <c r="E456" s="207"/>
      <c r="F456" s="244"/>
      <c r="G456" s="71"/>
      <c r="H456" s="116" t="s">
        <v>648</v>
      </c>
      <c r="I456" s="116" t="s">
        <v>761</v>
      </c>
      <c r="J456" s="78" t="s">
        <v>971</v>
      </c>
      <c r="K456" s="78" t="s">
        <v>895</v>
      </c>
      <c r="L456" s="116"/>
      <c r="M456" s="116"/>
      <c r="N456" s="54"/>
      <c r="O456" s="130"/>
      <c r="P456" s="78"/>
      <c r="Q456" s="78"/>
    </row>
    <row r="457" spans="1:17" ht="22.5">
      <c r="A457" s="43" t="str" cm="1">
        <f t="array" aca="1" ref="A457" ca="1">_xlfn.LET(
_xlpm.詳細項目数, COUNTA($E$11:E457),
_xlpm.直近で詳細項目が空でないセルの行番号, MAX(INDEX((LEN($E$11:E457)&gt;0)*ROW($E$11:E457),0)),
_xlpm.観点数, COUNTA(INDIRECT("F"&amp;_xlpm.直近で詳細項目が空でないセルの行番号):F457),
_xlpm.直近で観点が空でないセルの行番号, MAX(INDEX((LEN($F$11:F457)&gt;0)*ROW($F$11:F457),0)),
_xlpm.テスト内容数, COUNTA(INDIRECT("J"&amp;_xlpm.直近で観点が空でないセルの行番号):J457),
_xlpm.テスト内容数_空なら1, IF(_xlpm.テスト内容数=0,1,_xlpm.テスト内容数),
_xlpm.詳細項目数&amp;"-"&amp;_xlpm.観点数&amp;"-"&amp;_xlpm.テスト内容数_空なら1
)</f>
        <v>111-12-9</v>
      </c>
      <c r="B457" s="213"/>
      <c r="C457" s="210"/>
      <c r="D457" s="207"/>
      <c r="E457" s="207"/>
      <c r="F457" s="244"/>
      <c r="G457" s="71"/>
      <c r="H457" s="116" t="s">
        <v>648</v>
      </c>
      <c r="I457" s="116" t="s">
        <v>761</v>
      </c>
      <c r="J457" s="78" t="s">
        <v>971</v>
      </c>
      <c r="K457" s="78" t="s">
        <v>896</v>
      </c>
      <c r="L457" s="116"/>
      <c r="M457" s="116"/>
      <c r="N457" s="54"/>
      <c r="O457" s="130"/>
      <c r="P457" s="78"/>
      <c r="Q457" s="78"/>
    </row>
    <row r="458" spans="1:17" ht="22.5">
      <c r="A458" s="43" t="str" cm="1">
        <f t="array" aca="1" ref="A458" ca="1">_xlfn.LET(
_xlpm.詳細項目数, COUNTA($E$11:E458),
_xlpm.直近で詳細項目が空でないセルの行番号, MAX(INDEX((LEN($E$11:E458)&gt;0)*ROW($E$11:E458),0)),
_xlpm.観点数, COUNTA(INDIRECT("F"&amp;_xlpm.直近で詳細項目が空でないセルの行番号):F458),
_xlpm.直近で観点が空でないセルの行番号, MAX(INDEX((LEN($F$11:F458)&gt;0)*ROW($F$11:F458),0)),
_xlpm.テスト内容数, COUNTA(INDIRECT("J"&amp;_xlpm.直近で観点が空でないセルの行番号):J458),
_xlpm.テスト内容数_空なら1, IF(_xlpm.テスト内容数=0,1,_xlpm.テスト内容数),
_xlpm.詳細項目数&amp;"-"&amp;_xlpm.観点数&amp;"-"&amp;_xlpm.テスト内容数_空なら1
)</f>
        <v>111-12-10</v>
      </c>
      <c r="B458" s="213"/>
      <c r="C458" s="210"/>
      <c r="D458" s="207"/>
      <c r="E458" s="207"/>
      <c r="F458" s="244"/>
      <c r="G458" s="71"/>
      <c r="H458" s="116" t="s">
        <v>648</v>
      </c>
      <c r="I458" s="116" t="s">
        <v>761</v>
      </c>
      <c r="J458" s="78" t="s">
        <v>971</v>
      </c>
      <c r="K458" s="78" t="s">
        <v>897</v>
      </c>
      <c r="L458" s="116"/>
      <c r="M458" s="116"/>
      <c r="N458" s="54"/>
      <c r="O458" s="130"/>
      <c r="P458" s="78"/>
      <c r="Q458" s="78"/>
    </row>
    <row r="459" spans="1:17" ht="22.5">
      <c r="A459" s="43" t="str" cm="1">
        <f t="array" aca="1" ref="A459" ca="1">_xlfn.LET(
_xlpm.詳細項目数, COUNTA($E$11:E459),
_xlpm.直近で詳細項目が空でないセルの行番号, MAX(INDEX((LEN($E$11:E459)&gt;0)*ROW($E$11:E459),0)),
_xlpm.観点数, COUNTA(INDIRECT("F"&amp;_xlpm.直近で詳細項目が空でないセルの行番号):F459),
_xlpm.直近で観点が空でないセルの行番号, MAX(INDEX((LEN($F$11:F459)&gt;0)*ROW($F$11:F459),0)),
_xlpm.テスト内容数, COUNTA(INDIRECT("J"&amp;_xlpm.直近で観点が空でないセルの行番号):J459),
_xlpm.テスト内容数_空なら1, IF(_xlpm.テスト内容数=0,1,_xlpm.テスト内容数),
_xlpm.詳細項目数&amp;"-"&amp;_xlpm.観点数&amp;"-"&amp;_xlpm.テスト内容数_空なら1
)</f>
        <v>111-12-11</v>
      </c>
      <c r="B459" s="213"/>
      <c r="C459" s="210"/>
      <c r="D459" s="207"/>
      <c r="E459" s="207"/>
      <c r="F459" s="244"/>
      <c r="G459" s="71"/>
      <c r="H459" s="116" t="s">
        <v>648</v>
      </c>
      <c r="I459" s="116" t="s">
        <v>761</v>
      </c>
      <c r="J459" s="78" t="s">
        <v>971</v>
      </c>
      <c r="K459" s="78" t="s">
        <v>898</v>
      </c>
      <c r="L459" s="116"/>
      <c r="M459" s="116"/>
      <c r="N459" s="54"/>
      <c r="O459" s="130"/>
      <c r="P459" s="78"/>
      <c r="Q459" s="78"/>
    </row>
    <row r="460" spans="1:17" ht="22.5">
      <c r="A460" s="43" t="str" cm="1">
        <f t="array" aca="1" ref="A460" ca="1">_xlfn.LET(
_xlpm.詳細項目数, COUNTA($E$11:E460),
_xlpm.直近で詳細項目が空でないセルの行番号, MAX(INDEX((LEN($E$11:E460)&gt;0)*ROW($E$11:E460),0)),
_xlpm.観点数, COUNTA(INDIRECT("F"&amp;_xlpm.直近で詳細項目が空でないセルの行番号):F460),
_xlpm.直近で観点が空でないセルの行番号, MAX(INDEX((LEN($F$11:F460)&gt;0)*ROW($F$11:F460),0)),
_xlpm.テスト内容数, COUNTA(INDIRECT("J"&amp;_xlpm.直近で観点が空でないセルの行番号):J460),
_xlpm.テスト内容数_空なら1, IF(_xlpm.テスト内容数=0,1,_xlpm.テスト内容数),
_xlpm.詳細項目数&amp;"-"&amp;_xlpm.観点数&amp;"-"&amp;_xlpm.テスト内容数_空なら1
)</f>
        <v>111-12-12</v>
      </c>
      <c r="B460" s="213"/>
      <c r="C460" s="210"/>
      <c r="D460" s="207"/>
      <c r="E460" s="207"/>
      <c r="F460" s="239"/>
      <c r="G460" s="71"/>
      <c r="H460" s="116" t="s">
        <v>648</v>
      </c>
      <c r="I460" s="116" t="s">
        <v>761</v>
      </c>
      <c r="J460" s="78" t="s">
        <v>971</v>
      </c>
      <c r="K460" s="78" t="s">
        <v>899</v>
      </c>
      <c r="L460" s="116"/>
      <c r="M460" s="116"/>
      <c r="N460" s="54"/>
      <c r="O460" s="130"/>
      <c r="P460" s="78"/>
      <c r="Q460" s="78"/>
    </row>
    <row r="461" spans="1:17" ht="22.5">
      <c r="A461" s="43" t="str" cm="1">
        <f t="array" aca="1" ref="A461" ca="1">_xlfn.LET(
_xlpm.詳細項目数, COUNTA($E$11:E461),
_xlpm.直近で詳細項目が空でないセルの行番号, MAX(INDEX((LEN($E$11:E461)&gt;0)*ROW($E$11:E461),0)),
_xlpm.観点数, COUNTA(INDIRECT("F"&amp;_xlpm.直近で詳細項目が空でないセルの行番号):F461),
_xlpm.直近で観点が空でないセルの行番号, MAX(INDEX((LEN($F$11:F461)&gt;0)*ROW($F$11:F461),0)),
_xlpm.テスト内容数, COUNTA(INDIRECT("J"&amp;_xlpm.直近で観点が空でないセルの行番号):J461),
_xlpm.テスト内容数_空なら1, IF(_xlpm.テスト内容数=0,1,_xlpm.テスト内容数),
_xlpm.詳細項目数&amp;"-"&amp;_xlpm.観点数&amp;"-"&amp;_xlpm.テスト内容数_空なら1
)</f>
        <v>111-13-1</v>
      </c>
      <c r="B461" s="213"/>
      <c r="C461" s="210"/>
      <c r="D461" s="207"/>
      <c r="E461" s="207"/>
      <c r="F461" s="94" t="s">
        <v>478</v>
      </c>
      <c r="G461" s="95"/>
      <c r="H461" s="96"/>
      <c r="I461" s="96"/>
      <c r="J461" s="97" t="s">
        <v>778</v>
      </c>
      <c r="K461" s="97"/>
      <c r="L461" s="96"/>
      <c r="M461" s="96"/>
      <c r="N461" s="96"/>
      <c r="O461" s="126"/>
      <c r="P461" s="97"/>
      <c r="Q461" s="97"/>
    </row>
    <row r="462" spans="1:17" ht="33.75">
      <c r="A462" s="43" t="str" cm="1">
        <f t="array" aca="1" ref="A462" ca="1">_xlfn.LET(
_xlpm.詳細項目数, COUNTA($E$11:E462),
_xlpm.直近で詳細項目が空でないセルの行番号, MAX(INDEX((LEN($E$11:E462)&gt;0)*ROW($E$11:E462),0)),
_xlpm.観点数, COUNTA(INDIRECT("F"&amp;_xlpm.直近で詳細項目が空でないセルの行番号):F462),
_xlpm.直近で観点が空でないセルの行番号, MAX(INDEX((LEN($F$11:F462)&gt;0)*ROW($F$11:F462),0)),
_xlpm.テスト内容数, COUNTA(INDIRECT("J"&amp;_xlpm.直近で観点が空でないセルの行番号):J462),
_xlpm.テスト内容数_空なら1, IF(_xlpm.テスト内容数=0,1,_xlpm.テスト内容数),
_xlpm.詳細項目数&amp;"-"&amp;_xlpm.観点数&amp;"-"&amp;_xlpm.テスト内容数_空なら1
)</f>
        <v>111-14-1</v>
      </c>
      <c r="B462" s="213"/>
      <c r="C462" s="210"/>
      <c r="D462" s="207"/>
      <c r="E462" s="211"/>
      <c r="F462" s="61" t="s">
        <v>479</v>
      </c>
      <c r="G462" s="71"/>
      <c r="H462" s="116" t="s">
        <v>648</v>
      </c>
      <c r="I462" s="116" t="s">
        <v>761</v>
      </c>
      <c r="J462" s="78" t="s">
        <v>987</v>
      </c>
      <c r="K462" s="78" t="s">
        <v>900</v>
      </c>
      <c r="L462" s="116"/>
      <c r="M462" s="116"/>
      <c r="N462" s="54"/>
      <c r="O462" s="130"/>
      <c r="P462" s="78"/>
      <c r="Q462" s="78"/>
    </row>
    <row r="463" spans="1:17" ht="22.5">
      <c r="A463" s="43" t="str" cm="1">
        <f t="array" aca="1" ref="A463" ca="1">_xlfn.LET(
_xlpm.詳細項目数, COUNTA($E$11:E463),
_xlpm.直近で詳細項目が空でないセルの行番号, MAX(INDEX((LEN($E$11:E463)&gt;0)*ROW($E$11:E463),0)),
_xlpm.観点数, COUNTA(INDIRECT("F"&amp;_xlpm.直近で詳細項目が空でないセルの行番号):F463),
_xlpm.直近で観点が空でないセルの行番号, MAX(INDEX((LEN($F$11:F463)&gt;0)*ROW($F$11:F463),0)),
_xlpm.テスト内容数, COUNTA(INDIRECT("J"&amp;_xlpm.直近で観点が空でないセルの行番号):J463),
_xlpm.テスト内容数_空なら1, IF(_xlpm.テスト内容数=0,1,_xlpm.テスト内容数),
_xlpm.詳細項目数&amp;"-"&amp;_xlpm.観点数&amp;"-"&amp;_xlpm.テスト内容数_空なら1
)</f>
        <v>112-1-1</v>
      </c>
      <c r="B463" s="213"/>
      <c r="C463" s="210"/>
      <c r="D463" s="207"/>
      <c r="E463" s="207" t="s">
        <v>127</v>
      </c>
      <c r="F463" s="60" t="s">
        <v>480</v>
      </c>
      <c r="G463" s="71"/>
      <c r="H463" s="116" t="s">
        <v>648</v>
      </c>
      <c r="I463" s="116" t="s">
        <v>805</v>
      </c>
      <c r="J463" s="78" t="s">
        <v>971</v>
      </c>
      <c r="K463" s="78" t="s">
        <v>880</v>
      </c>
      <c r="L463" s="116"/>
      <c r="M463" s="116"/>
      <c r="N463" s="54"/>
      <c r="O463" s="130"/>
      <c r="P463" s="78"/>
      <c r="Q463" s="78"/>
    </row>
    <row r="464" spans="1:17" ht="22.5">
      <c r="A464" s="43" t="str" cm="1">
        <f t="array" aca="1" ref="A464" ca="1">_xlfn.LET(
_xlpm.詳細項目数, COUNTA($E$11:E464),
_xlpm.直近で詳細項目が空でないセルの行番号, MAX(INDEX((LEN($E$11:E464)&gt;0)*ROW($E$11:E464),0)),
_xlpm.観点数, COUNTA(INDIRECT("F"&amp;_xlpm.直近で詳細項目が空でないセルの行番号):F464),
_xlpm.直近で観点が空でないセルの行番号, MAX(INDEX((LEN($F$11:F464)&gt;0)*ROW($F$11:F464),0)),
_xlpm.テスト内容数, COUNTA(INDIRECT("J"&amp;_xlpm.直近で観点が空でないセルの行番号):J464),
_xlpm.テスト内容数_空なら1, IF(_xlpm.テスト内容数=0,1,_xlpm.テスト内容数),
_xlpm.詳細項目数&amp;"-"&amp;_xlpm.観点数&amp;"-"&amp;_xlpm.テスト内容数_空なら1
)</f>
        <v>112-1-2</v>
      </c>
      <c r="B464" s="213"/>
      <c r="C464" s="210"/>
      <c r="D464" s="207"/>
      <c r="E464" s="207"/>
      <c r="F464" s="244"/>
      <c r="G464" s="71"/>
      <c r="H464" s="116" t="s">
        <v>648</v>
      </c>
      <c r="I464" s="116" t="s">
        <v>805</v>
      </c>
      <c r="J464" s="78" t="s">
        <v>971</v>
      </c>
      <c r="K464" s="78" t="s">
        <v>881</v>
      </c>
      <c r="L464" s="116"/>
      <c r="M464" s="116"/>
      <c r="N464" s="54"/>
      <c r="O464" s="130"/>
      <c r="P464" s="78"/>
      <c r="Q464" s="78"/>
    </row>
    <row r="465" spans="1:17" ht="22.5">
      <c r="A465" s="43" t="str" cm="1">
        <f t="array" aca="1" ref="A465" ca="1">_xlfn.LET(
_xlpm.詳細項目数, COUNTA($E$11:E465),
_xlpm.直近で詳細項目が空でないセルの行番号, MAX(INDEX((LEN($E$11:E465)&gt;0)*ROW($E$11:E465),0)),
_xlpm.観点数, COUNTA(INDIRECT("F"&amp;_xlpm.直近で詳細項目が空でないセルの行番号):F465),
_xlpm.直近で観点が空でないセルの行番号, MAX(INDEX((LEN($F$11:F465)&gt;0)*ROW($F$11:F465),0)),
_xlpm.テスト内容数, COUNTA(INDIRECT("J"&amp;_xlpm.直近で観点が空でないセルの行番号):J465),
_xlpm.テスト内容数_空なら1, IF(_xlpm.テスト内容数=0,1,_xlpm.テスト内容数),
_xlpm.詳細項目数&amp;"-"&amp;_xlpm.観点数&amp;"-"&amp;_xlpm.テスト内容数_空なら1
)</f>
        <v>112-1-3</v>
      </c>
      <c r="B465" s="213"/>
      <c r="C465" s="210"/>
      <c r="D465" s="207"/>
      <c r="E465" s="207"/>
      <c r="F465" s="244"/>
      <c r="G465" s="71"/>
      <c r="H465" s="116" t="s">
        <v>648</v>
      </c>
      <c r="I465" s="116" t="s">
        <v>805</v>
      </c>
      <c r="J465" s="78" t="s">
        <v>971</v>
      </c>
      <c r="K465" s="78" t="s">
        <v>883</v>
      </c>
      <c r="L465" s="116"/>
      <c r="M465" s="116"/>
      <c r="N465" s="54"/>
      <c r="O465" s="130"/>
      <c r="P465" s="78"/>
      <c r="Q465" s="78"/>
    </row>
    <row r="466" spans="1:17" ht="22.5">
      <c r="A466" s="43" t="str" cm="1">
        <f t="array" aca="1" ref="A466" ca="1">_xlfn.LET(
_xlpm.詳細項目数, COUNTA($E$11:E466),
_xlpm.直近で詳細項目が空でないセルの行番号, MAX(INDEX((LEN($E$11:E466)&gt;0)*ROW($E$11:E466),0)),
_xlpm.観点数, COUNTA(INDIRECT("F"&amp;_xlpm.直近で詳細項目が空でないセルの行番号):F466),
_xlpm.直近で観点が空でないセルの行番号, MAX(INDEX((LEN($F$11:F466)&gt;0)*ROW($F$11:F466),0)),
_xlpm.テスト内容数, COUNTA(INDIRECT("J"&amp;_xlpm.直近で観点が空でないセルの行番号):J466),
_xlpm.テスト内容数_空なら1, IF(_xlpm.テスト内容数=0,1,_xlpm.テスト内容数),
_xlpm.詳細項目数&amp;"-"&amp;_xlpm.観点数&amp;"-"&amp;_xlpm.テスト内容数_空なら1
)</f>
        <v>112-1-4</v>
      </c>
      <c r="B466" s="213"/>
      <c r="C466" s="210"/>
      <c r="D466" s="207"/>
      <c r="E466" s="207"/>
      <c r="F466" s="244"/>
      <c r="G466" s="71"/>
      <c r="H466" s="116" t="s">
        <v>648</v>
      </c>
      <c r="I466" s="116" t="s">
        <v>805</v>
      </c>
      <c r="J466" s="78" t="s">
        <v>971</v>
      </c>
      <c r="K466" s="78" t="s">
        <v>884</v>
      </c>
      <c r="L466" s="116"/>
      <c r="M466" s="116"/>
      <c r="N466" s="54"/>
      <c r="O466" s="130"/>
      <c r="P466" s="78"/>
      <c r="Q466" s="78"/>
    </row>
    <row r="467" spans="1:17" ht="22.5">
      <c r="A467" s="43" t="str" cm="1">
        <f t="array" aca="1" ref="A467" ca="1">_xlfn.LET(
_xlpm.詳細項目数, COUNTA($E$11:E467),
_xlpm.直近で詳細項目が空でないセルの行番号, MAX(INDEX((LEN($E$11:E467)&gt;0)*ROW($E$11:E467),0)),
_xlpm.観点数, COUNTA(INDIRECT("F"&amp;_xlpm.直近で詳細項目が空でないセルの行番号):F467),
_xlpm.直近で観点が空でないセルの行番号, MAX(INDEX((LEN($F$11:F467)&gt;0)*ROW($F$11:F467),0)),
_xlpm.テスト内容数, COUNTA(INDIRECT("J"&amp;_xlpm.直近で観点が空でないセルの行番号):J467),
_xlpm.テスト内容数_空なら1, IF(_xlpm.テスト内容数=0,1,_xlpm.テスト内容数),
_xlpm.詳細項目数&amp;"-"&amp;_xlpm.観点数&amp;"-"&amp;_xlpm.テスト内容数_空なら1
)</f>
        <v>112-1-5</v>
      </c>
      <c r="B467" s="213"/>
      <c r="C467" s="210"/>
      <c r="D467" s="207"/>
      <c r="E467" s="207"/>
      <c r="F467" s="239"/>
      <c r="G467" s="71"/>
      <c r="H467" s="116" t="s">
        <v>648</v>
      </c>
      <c r="I467" s="116" t="s">
        <v>805</v>
      </c>
      <c r="J467" s="78" t="s">
        <v>994</v>
      </c>
      <c r="K467" s="78" t="s">
        <v>886</v>
      </c>
      <c r="L467" s="116"/>
      <c r="M467" s="116"/>
      <c r="N467" s="54"/>
      <c r="O467" s="130"/>
      <c r="P467" s="78"/>
      <c r="Q467" s="78"/>
    </row>
    <row r="468" spans="1:17" ht="33.75">
      <c r="A468" s="43" t="str" cm="1">
        <f t="array" aca="1" ref="A468" ca="1">_xlfn.LET(
_xlpm.詳細項目数, COUNTA($E$11:E468),
_xlpm.直近で詳細項目が空でないセルの行番号, MAX(INDEX((LEN($E$11:E468)&gt;0)*ROW($E$11:E468),0)),
_xlpm.観点数, COUNTA(INDIRECT("F"&amp;_xlpm.直近で詳細項目が空でないセルの行番号):F468),
_xlpm.直近で観点が空でないセルの行番号, MAX(INDEX((LEN($F$11:F468)&gt;0)*ROW($F$11:F468),0)),
_xlpm.テスト内容数, COUNTA(INDIRECT("J"&amp;_xlpm.直近で観点が空でないセルの行番号):J468),
_xlpm.テスト内容数_空なら1, IF(_xlpm.テスト内容数=0,1,_xlpm.テスト内容数),
_xlpm.詳細項目数&amp;"-"&amp;_xlpm.観点数&amp;"-"&amp;_xlpm.テスト内容数_空なら1
)</f>
        <v>112-2-1</v>
      </c>
      <c r="B468" s="213"/>
      <c r="C468" s="210"/>
      <c r="D468" s="207"/>
      <c r="E468" s="207"/>
      <c r="F468" s="94" t="s">
        <v>481</v>
      </c>
      <c r="G468" s="95"/>
      <c r="H468" s="96"/>
      <c r="I468" s="96"/>
      <c r="J468" s="97" t="s">
        <v>806</v>
      </c>
      <c r="K468" s="97"/>
      <c r="L468" s="96"/>
      <c r="M468" s="96"/>
      <c r="N468" s="96"/>
      <c r="O468" s="126"/>
      <c r="P468" s="97"/>
      <c r="Q468" s="97"/>
    </row>
    <row r="469" spans="1:17" ht="33.75">
      <c r="A469" s="43" t="str" cm="1">
        <f t="array" aca="1" ref="A469" ca="1">_xlfn.LET(
_xlpm.詳細項目数, COUNTA($E$11:E469),
_xlpm.直近で詳細項目が空でないセルの行番号, MAX(INDEX((LEN($E$11:E469)&gt;0)*ROW($E$11:E469),0)),
_xlpm.観点数, COUNTA(INDIRECT("F"&amp;_xlpm.直近で詳細項目が空でないセルの行番号):F469),
_xlpm.直近で観点が空でないセルの行番号, MAX(INDEX((LEN($F$11:F469)&gt;0)*ROW($F$11:F469),0)),
_xlpm.テスト内容数, COUNTA(INDIRECT("J"&amp;_xlpm.直近で観点が空でないセルの行番号):J469),
_xlpm.テスト内容数_空なら1, IF(_xlpm.テスト内容数=0,1,_xlpm.テスト内容数),
_xlpm.詳細項目数&amp;"-"&amp;_xlpm.観点数&amp;"-"&amp;_xlpm.テスト内容数_空なら1
)</f>
        <v>112-3-1</v>
      </c>
      <c r="B469" s="213"/>
      <c r="C469" s="210"/>
      <c r="D469" s="207"/>
      <c r="E469" s="207"/>
      <c r="F469" s="94" t="s">
        <v>501</v>
      </c>
      <c r="G469" s="95"/>
      <c r="H469" s="96"/>
      <c r="I469" s="96"/>
      <c r="J469" s="97" t="s">
        <v>778</v>
      </c>
      <c r="K469" s="97"/>
      <c r="L469" s="96"/>
      <c r="M469" s="96"/>
      <c r="N469" s="96"/>
      <c r="O469" s="126"/>
      <c r="P469" s="97"/>
      <c r="Q469" s="97"/>
    </row>
    <row r="470" spans="1:17" ht="33.75">
      <c r="A470" s="43" t="str" cm="1">
        <f t="array" aca="1" ref="A470" ca="1">_xlfn.LET(
_xlpm.詳細項目数, COUNTA($E$11:E470),
_xlpm.直近で詳細項目が空でないセルの行番号, MAX(INDEX((LEN($E$11:E470)&gt;0)*ROW($E$11:E470),0)),
_xlpm.観点数, COUNTA(INDIRECT("F"&amp;_xlpm.直近で詳細項目が空でないセルの行番号):F470),
_xlpm.直近で観点が空でないセルの行番号, MAX(INDEX((LEN($F$11:F470)&gt;0)*ROW($F$11:F470),0)),
_xlpm.テスト内容数, COUNTA(INDIRECT("J"&amp;_xlpm.直近で観点が空でないセルの行番号):J470),
_xlpm.テスト内容数_空なら1, IF(_xlpm.テスト内容数=0,1,_xlpm.テスト内容数),
_xlpm.詳細項目数&amp;"-"&amp;_xlpm.観点数&amp;"-"&amp;_xlpm.テスト内容数_空なら1
)</f>
        <v>112-4-1</v>
      </c>
      <c r="B470" s="213"/>
      <c r="C470" s="210"/>
      <c r="D470" s="207"/>
      <c r="E470" s="207"/>
      <c r="F470" s="94" t="s">
        <v>482</v>
      </c>
      <c r="G470" s="95"/>
      <c r="H470" s="96"/>
      <c r="I470" s="96"/>
      <c r="J470" s="97" t="s">
        <v>807</v>
      </c>
      <c r="K470" s="97"/>
      <c r="L470" s="96"/>
      <c r="M470" s="96"/>
      <c r="N470" s="96"/>
      <c r="O470" s="126"/>
      <c r="P470" s="97"/>
      <c r="Q470" s="97"/>
    </row>
    <row r="471" spans="1:17" ht="22.5">
      <c r="A471" s="43" t="str" cm="1">
        <f t="array" aca="1" ref="A471" ca="1">_xlfn.LET(
_xlpm.詳細項目数, COUNTA($E$11:E471),
_xlpm.直近で詳細項目が空でないセルの行番号, MAX(INDEX((LEN($E$11:E471)&gt;0)*ROW($E$11:E471),0)),
_xlpm.観点数, COUNTA(INDIRECT("F"&amp;_xlpm.直近で詳細項目が空でないセルの行番号):F471),
_xlpm.直近で観点が空でないセルの行番号, MAX(INDEX((LEN($F$11:F471)&gt;0)*ROW($F$11:F471),0)),
_xlpm.テスト内容数, COUNTA(INDIRECT("J"&amp;_xlpm.直近で観点が空でないセルの行番号):J471),
_xlpm.テスト内容数_空なら1, IF(_xlpm.テスト内容数=0,1,_xlpm.テスト内容数),
_xlpm.詳細項目数&amp;"-"&amp;_xlpm.観点数&amp;"-"&amp;_xlpm.テスト内容数_空なら1
)</f>
        <v>112-5-1</v>
      </c>
      <c r="B471" s="213"/>
      <c r="C471" s="210"/>
      <c r="D471" s="207"/>
      <c r="E471" s="207"/>
      <c r="F471" s="94" t="s">
        <v>483</v>
      </c>
      <c r="G471" s="95"/>
      <c r="H471" s="96"/>
      <c r="I471" s="96"/>
      <c r="J471" s="97" t="s">
        <v>808</v>
      </c>
      <c r="K471" s="97"/>
      <c r="L471" s="96"/>
      <c r="M471" s="96"/>
      <c r="N471" s="96"/>
      <c r="O471" s="126"/>
      <c r="P471" s="97"/>
      <c r="Q471" s="97"/>
    </row>
    <row r="472" spans="1:17" ht="22.5">
      <c r="A472" s="43" t="str" cm="1">
        <f t="array" aca="1" ref="A472" ca="1">_xlfn.LET(
_xlpm.詳細項目数, COUNTA($E$11:E472),
_xlpm.直近で詳細項目が空でないセルの行番号, MAX(INDEX((LEN($E$11:E472)&gt;0)*ROW($E$11:E472),0)),
_xlpm.観点数, COUNTA(INDIRECT("F"&amp;_xlpm.直近で詳細項目が空でないセルの行番号):F472),
_xlpm.直近で観点が空でないセルの行番号, MAX(INDEX((LEN($F$11:F472)&gt;0)*ROW($F$11:F472),0)),
_xlpm.テスト内容数, COUNTA(INDIRECT("J"&amp;_xlpm.直近で観点が空でないセルの行番号):J472),
_xlpm.テスト内容数_空なら1, IF(_xlpm.テスト内容数=0,1,_xlpm.テスト内容数),
_xlpm.詳細項目数&amp;"-"&amp;_xlpm.観点数&amp;"-"&amp;_xlpm.テスト内容数_空なら1
)</f>
        <v>112-6-1</v>
      </c>
      <c r="B472" s="213"/>
      <c r="C472" s="210"/>
      <c r="D472" s="207"/>
      <c r="E472" s="207"/>
      <c r="F472" s="94" t="s">
        <v>484</v>
      </c>
      <c r="G472" s="95"/>
      <c r="H472" s="96"/>
      <c r="I472" s="96"/>
      <c r="J472" s="97" t="s">
        <v>809</v>
      </c>
      <c r="K472" s="97"/>
      <c r="L472" s="96"/>
      <c r="M472" s="96"/>
      <c r="N472" s="96"/>
      <c r="O472" s="126"/>
      <c r="P472" s="97"/>
      <c r="Q472" s="97"/>
    </row>
    <row r="473" spans="1:17" ht="22.5">
      <c r="A473" s="43" t="str" cm="1">
        <f t="array" aca="1" ref="A473" ca="1">_xlfn.LET(
_xlpm.詳細項目数, COUNTA($E$11:E473),
_xlpm.直近で詳細項目が空でないセルの行番号, MAX(INDEX((LEN($E$11:E473)&gt;0)*ROW($E$11:E473),0)),
_xlpm.観点数, COUNTA(INDIRECT("F"&amp;_xlpm.直近で詳細項目が空でないセルの行番号):F473),
_xlpm.直近で観点が空でないセルの行番号, MAX(INDEX((LEN($F$11:F473)&gt;0)*ROW($F$11:F473),0)),
_xlpm.テスト内容数, COUNTA(INDIRECT("J"&amp;_xlpm.直近で観点が空でないセルの行番号):J473),
_xlpm.テスト内容数_空なら1, IF(_xlpm.テスト内容数=0,1,_xlpm.テスト内容数),
_xlpm.詳細項目数&amp;"-"&amp;_xlpm.観点数&amp;"-"&amp;_xlpm.テスト内容数_空なら1
)</f>
        <v>112-7-1</v>
      </c>
      <c r="B473" s="224"/>
      <c r="C473" s="215"/>
      <c r="D473" s="211"/>
      <c r="E473" s="211"/>
      <c r="F473" s="94" t="s">
        <v>485</v>
      </c>
      <c r="G473" s="95"/>
      <c r="H473" s="96"/>
      <c r="I473" s="96"/>
      <c r="J473" s="97" t="s">
        <v>810</v>
      </c>
      <c r="K473" s="97"/>
      <c r="L473" s="96"/>
      <c r="M473" s="96"/>
      <c r="N473" s="96"/>
      <c r="O473" s="126"/>
      <c r="P473" s="97"/>
      <c r="Q473" s="97"/>
    </row>
    <row r="474" spans="1:17" s="30" customFormat="1" ht="22.5">
      <c r="A474" s="43" t="str" cm="1">
        <f t="array" aca="1" ref="A474" ca="1">_xlfn.LET(
_xlpm.詳細項目数, COUNTA($E$11:E474),
_xlpm.直近で詳細項目が空でないセルの行番号, MAX(INDEX((LEN($E$11:E474)&gt;0)*ROW($E$11:E474),0)),
_xlpm.観点数, COUNTA(INDIRECT("F"&amp;_xlpm.直近で詳細項目が空でないセルの行番号):F474),
_xlpm.直近で観点が空でないセルの行番号, MAX(INDEX((LEN($F$11:F474)&gt;0)*ROW($F$11:F474),0)),
_xlpm.テスト内容数, COUNTA(INDIRECT("J"&amp;_xlpm.直近で観点が空でないセルの行番号):J474),
_xlpm.テスト内容数_空なら1, IF(_xlpm.テスト内容数=0,1,_xlpm.テスト内容数),
_xlpm.詳細項目数&amp;"-"&amp;_xlpm.観点数&amp;"-"&amp;_xlpm.テスト内容数_空なら1
)</f>
        <v>113-1-1</v>
      </c>
      <c r="B474" s="56" t="s">
        <v>503</v>
      </c>
      <c r="C474" s="212" t="s">
        <v>486</v>
      </c>
      <c r="D474" s="195" t="s">
        <v>499</v>
      </c>
      <c r="E474" s="195" t="s">
        <v>499</v>
      </c>
      <c r="F474" s="236" t="s">
        <v>504</v>
      </c>
      <c r="G474" s="236"/>
      <c r="H474" s="84"/>
      <c r="I474" s="84"/>
      <c r="J474" s="96" t="s">
        <v>811</v>
      </c>
      <c r="K474" s="246"/>
      <c r="L474" s="247"/>
      <c r="M474" s="248"/>
      <c r="N474" s="248"/>
      <c r="O474" s="248"/>
      <c r="P474" s="248"/>
      <c r="Q474" s="248"/>
    </row>
    <row r="475" spans="1:17" s="30" customFormat="1" ht="22.5">
      <c r="A475" s="43" t="str" cm="1">
        <f t="array" aca="1" ref="A475" ca="1">_xlfn.LET(
_xlpm.詳細項目数, COUNTA($E$11:E475),
_xlpm.直近で詳細項目が空でないセルの行番号, MAX(INDEX((LEN($E$11:E475)&gt;0)*ROW($E$11:E475),0)),
_xlpm.観点数, COUNTA(INDIRECT("F"&amp;_xlpm.直近で詳細項目が空でないセルの行番号):F475),
_xlpm.直近で観点が空でないセルの行番号, MAX(INDEX((LEN($F$11:F475)&gt;0)*ROW($F$11:F475),0)),
_xlpm.テスト内容数, COUNTA(INDIRECT("J"&amp;_xlpm.直近で観点が空でないセルの行番号):J475),
_xlpm.テスト内容数_空なら1, IF(_xlpm.テスト内容数=0,1,_xlpm.テスト内容数),
_xlpm.詳細項目数&amp;"-"&amp;_xlpm.観点数&amp;"-"&amp;_xlpm.テスト内容数_空なら1
)</f>
        <v>113-2-1</v>
      </c>
      <c r="B475" s="93"/>
      <c r="C475" s="207"/>
      <c r="D475" s="196"/>
      <c r="E475" s="197"/>
      <c r="F475" s="249" t="s">
        <v>505</v>
      </c>
      <c r="G475" s="249"/>
      <c r="H475" s="84"/>
      <c r="I475" s="84"/>
      <c r="J475" s="96" t="s">
        <v>778</v>
      </c>
      <c r="K475" s="235"/>
      <c r="L475" s="250"/>
      <c r="M475" s="251"/>
      <c r="N475" s="251"/>
      <c r="O475" s="251"/>
      <c r="P475" s="251"/>
      <c r="Q475" s="251"/>
    </row>
    <row r="476" spans="1:17" s="30" customFormat="1" ht="33.75">
      <c r="A476" s="43" t="str" cm="1">
        <f t="array" aca="1" ref="A476" ca="1">_xlfn.LET(
_xlpm.詳細項目数, COUNTA($E$11:E476),
_xlpm.直近で詳細項目が空でないセルの行番号, MAX(INDEX((LEN($E$11:E476)&gt;0)*ROW($E$11:E476),0)),
_xlpm.観点数, COUNTA(INDIRECT("F"&amp;_xlpm.直近で詳細項目が空でないセルの行番号):F476),
_xlpm.直近で観点が空でないセルの行番号, MAX(INDEX((LEN($F$11:F476)&gt;0)*ROW($F$11:F476),0)),
_xlpm.テスト内容数, COUNTA(INDIRECT("J"&amp;_xlpm.直近で観点が空でないセルの行番号):J476),
_xlpm.テスト内容数_空なら1, IF(_xlpm.テスト内容数=0,1,_xlpm.テスト内容数),
_xlpm.詳細項目数&amp;"-"&amp;_xlpm.観点数&amp;"-"&amp;_xlpm.テスト内容数_空なら1
)</f>
        <v>113-3-1</v>
      </c>
      <c r="B476" s="93"/>
      <c r="C476" s="207"/>
      <c r="D476" s="196"/>
      <c r="E476" s="197"/>
      <c r="F476" s="249" t="s">
        <v>506</v>
      </c>
      <c r="G476" s="249"/>
      <c r="H476" s="84"/>
      <c r="I476" s="84"/>
      <c r="J476" s="96" t="s">
        <v>814</v>
      </c>
      <c r="K476" s="235"/>
      <c r="L476" s="250"/>
      <c r="M476" s="251"/>
      <c r="N476" s="251"/>
      <c r="O476" s="251"/>
      <c r="P476" s="251"/>
      <c r="Q476" s="251"/>
    </row>
    <row r="477" spans="1:17" s="30" customFormat="1" ht="33.75">
      <c r="A477" s="43" t="str" cm="1">
        <f t="array" aca="1" ref="A477" ca="1">_xlfn.LET(
_xlpm.詳細項目数, COUNTA($E$11:E477),
_xlpm.直近で詳細項目が空でないセルの行番号, MAX(INDEX((LEN($E$11:E477)&gt;0)*ROW($E$11:E477),0)),
_xlpm.観点数, COUNTA(INDIRECT("F"&amp;_xlpm.直近で詳細項目が空でないセルの行番号):F477),
_xlpm.直近で観点が空でないセルの行番号, MAX(INDEX((LEN($F$11:F477)&gt;0)*ROW($F$11:F477),0)),
_xlpm.テスト内容数, COUNTA(INDIRECT("J"&amp;_xlpm.直近で観点が空でないセルの行番号):J477),
_xlpm.テスト内容数_空なら1, IF(_xlpm.テスト内容数=0,1,_xlpm.テスト内容数),
_xlpm.詳細項目数&amp;"-"&amp;_xlpm.観点数&amp;"-"&amp;_xlpm.テスト内容数_空なら1
)</f>
        <v>113-4-1</v>
      </c>
      <c r="B477" s="93"/>
      <c r="C477" s="207"/>
      <c r="D477" s="196"/>
      <c r="E477" s="197"/>
      <c r="F477" s="249" t="s">
        <v>507</v>
      </c>
      <c r="G477" s="249"/>
      <c r="H477" s="84"/>
      <c r="I477" s="84"/>
      <c r="J477" s="96" t="s">
        <v>814</v>
      </c>
      <c r="K477" s="235"/>
      <c r="L477" s="250"/>
      <c r="M477" s="251"/>
      <c r="N477" s="251"/>
      <c r="O477" s="251"/>
      <c r="P477" s="251"/>
      <c r="Q477" s="251"/>
    </row>
    <row r="478" spans="1:17" s="30" customFormat="1" ht="22.5">
      <c r="A478" s="43" t="str" cm="1">
        <f t="array" aca="1" ref="A478" ca="1">_xlfn.LET(
_xlpm.詳細項目数, COUNTA($E$11:E478),
_xlpm.直近で詳細項目が空でないセルの行番号, MAX(INDEX((LEN($E$11:E478)&gt;0)*ROW($E$11:E478),0)),
_xlpm.観点数, COUNTA(INDIRECT("F"&amp;_xlpm.直近で詳細項目が空でないセルの行番号):F478),
_xlpm.直近で観点が空でないセルの行番号, MAX(INDEX((LEN($F$11:F478)&gt;0)*ROW($F$11:F478),0)),
_xlpm.テスト内容数, COUNTA(INDIRECT("J"&amp;_xlpm.直近で観点が空でないセルの行番号):J478),
_xlpm.テスト内容数_空なら1, IF(_xlpm.テスト内容数=0,1,_xlpm.テスト内容数),
_xlpm.詳細項目数&amp;"-"&amp;_xlpm.観点数&amp;"-"&amp;_xlpm.テスト内容数_空なら1
)</f>
        <v>113-5-1</v>
      </c>
      <c r="B478" s="93"/>
      <c r="C478" s="207"/>
      <c r="D478" s="196"/>
      <c r="E478" s="197"/>
      <c r="F478" s="249" t="s">
        <v>508</v>
      </c>
      <c r="G478" s="249" t="s">
        <v>903</v>
      </c>
      <c r="H478" s="84"/>
      <c r="I478" s="84"/>
      <c r="J478" s="96"/>
      <c r="K478" s="235"/>
      <c r="L478" s="250"/>
      <c r="M478" s="251"/>
      <c r="N478" s="251"/>
      <c r="O478" s="251"/>
      <c r="P478" s="251"/>
      <c r="Q478" s="251"/>
    </row>
    <row r="479" spans="1:17" s="30" customFormat="1" ht="33.75">
      <c r="A479" s="43" t="str" cm="1">
        <f t="array" aca="1" ref="A479" ca="1">_xlfn.LET(
_xlpm.詳細項目数, COUNTA($E$11:E479),
_xlpm.直近で詳細項目が空でないセルの行番号, MAX(INDEX((LEN($E$11:E479)&gt;0)*ROW($E$11:E479),0)),
_xlpm.観点数, COUNTA(INDIRECT("F"&amp;_xlpm.直近で詳細項目が空でないセルの行番号):F479),
_xlpm.直近で観点が空でないセルの行番号, MAX(INDEX((LEN($F$11:F479)&gt;0)*ROW($F$11:F479),0)),
_xlpm.テスト内容数, COUNTA(INDIRECT("J"&amp;_xlpm.直近で観点が空でないセルの行番号):J479),
_xlpm.テスト内容数_空なら1, IF(_xlpm.テスト内容数=0,1,_xlpm.テスト内容数),
_xlpm.詳細項目数&amp;"-"&amp;_xlpm.観点数&amp;"-"&amp;_xlpm.テスト内容数_空なら1
)</f>
        <v>114-1-1</v>
      </c>
      <c r="B479" s="93"/>
      <c r="C479" s="210"/>
      <c r="D479" s="212" t="s">
        <v>509</v>
      </c>
      <c r="E479" s="225" t="s">
        <v>495</v>
      </c>
      <c r="F479" s="118" t="s">
        <v>511</v>
      </c>
      <c r="G479" s="118"/>
      <c r="H479" s="122" t="s">
        <v>904</v>
      </c>
      <c r="I479" s="122" t="s">
        <v>905</v>
      </c>
      <c r="J479" s="56" t="s">
        <v>989</v>
      </c>
      <c r="K479" s="117" t="s">
        <v>906</v>
      </c>
      <c r="L479" s="133"/>
      <c r="M479" s="116"/>
      <c r="N479" s="54"/>
      <c r="O479" s="130"/>
      <c r="P479" s="134"/>
      <c r="Q479" s="134"/>
    </row>
    <row r="480" spans="1:17" s="30" customFormat="1" ht="22.5">
      <c r="A480" s="43" t="str" cm="1">
        <f t="array" aca="1" ref="A480" ca="1">_xlfn.LET(
_xlpm.詳細項目数, COUNTA($E$11:E480),
_xlpm.直近で詳細項目が空でないセルの行番号, MAX(INDEX((LEN($E$11:E480)&gt;0)*ROW($E$11:E480),0)),
_xlpm.観点数, COUNTA(INDIRECT("F"&amp;_xlpm.直近で詳細項目が空でないセルの行番号):F480),
_xlpm.直近で観点が空でないセルの行番号, MAX(INDEX((LEN($F$11:F480)&gt;0)*ROW($F$11:F480),0)),
_xlpm.テスト内容数, COUNTA(INDIRECT("J"&amp;_xlpm.直近で観点が空でないセルの行番号):J480),
_xlpm.テスト内容数_空なら1, IF(_xlpm.テスト内容数=0,1,_xlpm.テスト内容数),
_xlpm.詳細項目数&amp;"-"&amp;_xlpm.観点数&amp;"-"&amp;_xlpm.テスト内容数_空なら1
)</f>
        <v>114-2-1</v>
      </c>
      <c r="B480" s="93"/>
      <c r="C480" s="207"/>
      <c r="D480" s="207"/>
      <c r="E480" s="213"/>
      <c r="F480" s="249" t="s">
        <v>512</v>
      </c>
      <c r="G480" s="249"/>
      <c r="H480" s="84"/>
      <c r="I480" s="84"/>
      <c r="J480" s="127" t="s">
        <v>901</v>
      </c>
      <c r="K480" s="235"/>
      <c r="L480" s="250"/>
      <c r="M480" s="251"/>
      <c r="N480" s="251"/>
      <c r="O480" s="251"/>
      <c r="P480" s="251"/>
      <c r="Q480" s="251"/>
    </row>
    <row r="481" spans="1:17" s="30" customFormat="1" ht="33.75">
      <c r="A481" s="43" t="str" cm="1">
        <f t="array" aca="1" ref="A481" ca="1">_xlfn.LET(
_xlpm.詳細項目数, COUNTA($E$11:E481),
_xlpm.直近で詳細項目が空でないセルの行番号, MAX(INDEX((LEN($E$11:E481)&gt;0)*ROW($E$11:E481),0)),
_xlpm.観点数, COUNTA(INDIRECT("F"&amp;_xlpm.直近で詳細項目が空でないセルの行番号):F481),
_xlpm.直近で観点が空でないセルの行番号, MAX(INDEX((LEN($F$11:F481)&gt;0)*ROW($F$11:F481),0)),
_xlpm.テスト内容数, COUNTA(INDIRECT("J"&amp;_xlpm.直近で観点が空でないセルの行番号):J481),
_xlpm.テスト内容数_空なら1, IF(_xlpm.テスト内容数=0,1,_xlpm.テスト内容数),
_xlpm.詳細項目数&amp;"-"&amp;_xlpm.観点数&amp;"-"&amp;_xlpm.テスト内容数_空なら1
)</f>
        <v>114-3-1</v>
      </c>
      <c r="B481" s="93"/>
      <c r="C481" s="207"/>
      <c r="D481" s="207"/>
      <c r="E481" s="213"/>
      <c r="F481" s="249" t="s">
        <v>513</v>
      </c>
      <c r="G481" s="249" t="s">
        <v>816</v>
      </c>
      <c r="H481" s="84"/>
      <c r="I481" s="84"/>
      <c r="J481" s="96"/>
      <c r="K481" s="235"/>
      <c r="L481" s="250"/>
      <c r="M481" s="251"/>
      <c r="N481" s="251"/>
      <c r="O481" s="251"/>
      <c r="P481" s="251"/>
      <c r="Q481" s="251"/>
    </row>
    <row r="482" spans="1:17" s="30" customFormat="1" ht="22.5">
      <c r="A482" s="43" t="str" cm="1">
        <f t="array" aca="1" ref="A482" ca="1">_xlfn.LET(
_xlpm.詳細項目数, COUNTA($E$11:E482),
_xlpm.直近で詳細項目が空でないセルの行番号, MAX(INDEX((LEN($E$11:E482)&gt;0)*ROW($E$11:E482),0)),
_xlpm.観点数, COUNTA(INDIRECT("F"&amp;_xlpm.直近で詳細項目が空でないセルの行番号):F482),
_xlpm.直近で観点が空でないセルの行番号, MAX(INDEX((LEN($F$11:F482)&gt;0)*ROW($F$11:F482),0)),
_xlpm.テスト内容数, COUNTA(INDIRECT("J"&amp;_xlpm.直近で観点が空でないセルの行番号):J482),
_xlpm.テスト内容数_空なら1, IF(_xlpm.テスト内容数=0,1,_xlpm.テスト内容数),
_xlpm.詳細項目数&amp;"-"&amp;_xlpm.観点数&amp;"-"&amp;_xlpm.テスト内容数_空なら1
)</f>
        <v>114-4-1</v>
      </c>
      <c r="B482" s="93"/>
      <c r="C482" s="207"/>
      <c r="D482" s="207"/>
      <c r="E482" s="213"/>
      <c r="F482" s="249" t="s">
        <v>514</v>
      </c>
      <c r="G482" s="249"/>
      <c r="H482" s="127"/>
      <c r="I482" s="127"/>
      <c r="J482" s="127" t="s">
        <v>902</v>
      </c>
      <c r="K482" s="96"/>
      <c r="L482" s="250"/>
      <c r="M482" s="251"/>
      <c r="N482" s="251"/>
      <c r="O482" s="251"/>
      <c r="P482" s="251"/>
      <c r="Q482" s="251"/>
    </row>
    <row r="483" spans="1:17" s="30" customFormat="1">
      <c r="A483" s="43" t="str" cm="1">
        <f t="array" aca="1" ref="A483" ca="1">_xlfn.LET(
_xlpm.詳細項目数, COUNTA($E$11:E483),
_xlpm.直近で詳細項目が空でないセルの行番号, MAX(INDEX((LEN($E$11:E483)&gt;0)*ROW($E$11:E483),0)),
_xlpm.観点数, COUNTA(INDIRECT("F"&amp;_xlpm.直近で詳細項目が空でないセルの行番号):F483),
_xlpm.直近で観点が空でないセルの行番号, MAX(INDEX((LEN($F$11:F483)&gt;0)*ROW($F$11:F483),0)),
_xlpm.テスト内容数, COUNTA(INDIRECT("J"&amp;_xlpm.直近で観点が空でないセルの行番号):J483),
_xlpm.テスト内容数_空なら1, IF(_xlpm.テスト内容数=0,1,_xlpm.テスト内容数),
_xlpm.詳細項目数&amp;"-"&amp;_xlpm.観点数&amp;"-"&amp;_xlpm.テスト内容数_空なら1
)</f>
        <v>114-5-1</v>
      </c>
      <c r="B483" s="93"/>
      <c r="C483" s="211"/>
      <c r="D483" s="211"/>
      <c r="E483" s="224"/>
      <c r="F483" s="253" t="s">
        <v>515</v>
      </c>
      <c r="G483" s="249"/>
      <c r="H483" s="84"/>
      <c r="I483" s="84"/>
      <c r="J483" s="235" t="s">
        <v>778</v>
      </c>
      <c r="K483" s="235"/>
      <c r="L483" s="250"/>
      <c r="M483" s="251"/>
      <c r="N483" s="251"/>
      <c r="O483" s="251"/>
      <c r="P483" s="251"/>
      <c r="Q483" s="251"/>
    </row>
    <row r="484" spans="1:17" s="30" customFormat="1" ht="22.5">
      <c r="A484" s="43" t="str" cm="1">
        <f t="array" aca="1" ref="A484" ca="1">_xlfn.LET(
_xlpm.詳細項目数, COUNTA($E$11:E484),
_xlpm.直近で詳細項目が空でないセルの行番号, MAX(INDEX((LEN($E$11:E484)&gt;0)*ROW($E$11:E484),0)),
_xlpm.観点数, COUNTA(INDIRECT("F"&amp;_xlpm.直近で詳細項目が空でないセルの行番号):F484),
_xlpm.直近で観点が空でないセルの行番号, MAX(INDEX((LEN($F$11:F484)&gt;0)*ROW($F$11:F484),0)),
_xlpm.テスト内容数, COUNTA(INDIRECT("J"&amp;_xlpm.直近で観点が空でないセルの行番号):J484),
_xlpm.テスト内容数_空なら1, IF(_xlpm.テスト内容数=0,1,_xlpm.テスト内容数),
_xlpm.詳細項目数&amp;"-"&amp;_xlpm.観点数&amp;"-"&amp;_xlpm.テスト内容数_空なら1
)</f>
        <v>115-1-1</v>
      </c>
      <c r="B484" s="93"/>
      <c r="C484" s="56" t="s">
        <v>516</v>
      </c>
      <c r="D484" s="217" t="s">
        <v>487</v>
      </c>
      <c r="E484" s="212" t="s">
        <v>495</v>
      </c>
      <c r="F484" s="56" t="s">
        <v>619</v>
      </c>
      <c r="G484" s="99"/>
      <c r="H484" s="122" t="s">
        <v>818</v>
      </c>
      <c r="I484" s="122" t="s">
        <v>819</v>
      </c>
      <c r="J484" s="122" t="s">
        <v>988</v>
      </c>
      <c r="K484" s="53" t="s">
        <v>908</v>
      </c>
      <c r="L484" s="135"/>
      <c r="M484" s="116"/>
      <c r="N484" s="54"/>
      <c r="O484" s="130"/>
      <c r="P484" s="136"/>
      <c r="Q484" s="136"/>
    </row>
    <row r="485" spans="1:17" s="30" customFormat="1" ht="22.5">
      <c r="A485" s="43" t="str" cm="1">
        <f t="array" aca="1" ref="A485" ca="1">_xlfn.LET(
_xlpm.詳細項目数, COUNTA($E$11:E485),
_xlpm.直近で詳細項目が空でないセルの行番号, MAX(INDEX((LEN($E$11:E485)&gt;0)*ROW($E$11:E485),0)),
_xlpm.観点数, COUNTA(INDIRECT("F"&amp;_xlpm.直近で詳細項目が空でないセルの行番号):F485),
_xlpm.直近で観点が空でないセルの行番号, MAX(INDEX((LEN($F$11:F485)&gt;0)*ROW($F$11:F485),0)),
_xlpm.テスト内容数, COUNTA(INDIRECT("J"&amp;_xlpm.直近で観点が空でないセルの行番号):J485),
_xlpm.テスト内容数_空なら1, IF(_xlpm.テスト内容数=0,1,_xlpm.テスト内容数),
_xlpm.詳細項目数&amp;"-"&amp;_xlpm.観点数&amp;"-"&amp;_xlpm.テスト内容数_空なら1
)</f>
        <v>115-1-2</v>
      </c>
      <c r="B485" s="93"/>
      <c r="C485" s="93"/>
      <c r="D485" s="210"/>
      <c r="E485" s="207"/>
      <c r="F485" s="194"/>
      <c r="G485" s="99"/>
      <c r="H485" s="122" t="s">
        <v>818</v>
      </c>
      <c r="I485" s="122" t="s">
        <v>819</v>
      </c>
      <c r="J485" s="122" t="s">
        <v>991</v>
      </c>
      <c r="K485" s="53" t="s">
        <v>821</v>
      </c>
      <c r="L485" s="135"/>
      <c r="M485" s="116"/>
      <c r="N485" s="54"/>
      <c r="O485" s="130"/>
      <c r="P485" s="136"/>
      <c r="Q485" s="136"/>
    </row>
    <row r="486" spans="1:17" s="30" customFormat="1" ht="22.5">
      <c r="A486" s="43" t="str" cm="1">
        <f t="array" aca="1" ref="A486" ca="1">_xlfn.LET(
_xlpm.詳細項目数, COUNTA($E$11:E486),
_xlpm.直近で詳細項目が空でないセルの行番号, MAX(INDEX((LEN($E$11:E486)&gt;0)*ROW($E$11:E486),0)),
_xlpm.観点数, COUNTA(INDIRECT("F"&amp;_xlpm.直近で詳細項目が空でないセルの行番号):F486),
_xlpm.直近で観点が空でないセルの行番号, MAX(INDEX((LEN($F$11:F486)&gt;0)*ROW($F$11:F486),0)),
_xlpm.テスト内容数, COUNTA(INDIRECT("J"&amp;_xlpm.直近で観点が空でないセルの行番号):J486),
_xlpm.テスト内容数_空なら1, IF(_xlpm.テスト内容数=0,1,_xlpm.テスト内容数),
_xlpm.詳細項目数&amp;"-"&amp;_xlpm.観点数&amp;"-"&amp;_xlpm.テスト内容数_空なら1
)</f>
        <v>115-2-1</v>
      </c>
      <c r="B486" s="93"/>
      <c r="C486" s="93"/>
      <c r="D486" s="210"/>
      <c r="E486" s="207"/>
      <c r="F486" s="179" t="s">
        <v>518</v>
      </c>
      <c r="G486" s="179"/>
      <c r="H486" s="127"/>
      <c r="I486" s="127"/>
      <c r="J486" s="127" t="s">
        <v>920</v>
      </c>
      <c r="K486" s="128"/>
      <c r="L486" s="181"/>
      <c r="M486" s="182"/>
      <c r="N486" s="182"/>
      <c r="O486" s="182"/>
      <c r="P486" s="182"/>
      <c r="Q486" s="182"/>
    </row>
    <row r="487" spans="1:17" s="30" customFormat="1" ht="22.5">
      <c r="A487" s="43" t="str" cm="1">
        <f t="array" aca="1" ref="A487" ca="1">_xlfn.LET(
_xlpm.詳細項目数, COUNTA($E$11:E487),
_xlpm.直近で詳細項目が空でないセルの行番号, MAX(INDEX((LEN($E$11:E487)&gt;0)*ROW($E$11:E487),0)),
_xlpm.観点数, COUNTA(INDIRECT("F"&amp;_xlpm.直近で詳細項目が空でないセルの行番号):F487),
_xlpm.直近で観点が空でないセルの行番号, MAX(INDEX((LEN($F$11:F487)&gt;0)*ROW($F$11:F487),0)),
_xlpm.テスト内容数, COUNTA(INDIRECT("J"&amp;_xlpm.直近で観点が空でないセルの行番号):J487),
_xlpm.テスト内容数_空なら1, IF(_xlpm.テスト内容数=0,1,_xlpm.テスト内容数),
_xlpm.詳細項目数&amp;"-"&amp;_xlpm.観点数&amp;"-"&amp;_xlpm.テスト内容数_空なら1
)</f>
        <v>115-3-1</v>
      </c>
      <c r="B487" s="93"/>
      <c r="C487" s="93"/>
      <c r="D487" s="210"/>
      <c r="E487" s="207"/>
      <c r="F487" s="99" t="s">
        <v>519</v>
      </c>
      <c r="G487" s="99"/>
      <c r="H487" s="122" t="s">
        <v>818</v>
      </c>
      <c r="I487" s="122" t="s">
        <v>819</v>
      </c>
      <c r="J487" s="122" t="s">
        <v>1004</v>
      </c>
      <c r="K487" s="116" t="s">
        <v>822</v>
      </c>
      <c r="L487" s="135"/>
      <c r="M487" s="116"/>
      <c r="N487" s="54"/>
      <c r="O487" s="130"/>
      <c r="P487" s="136"/>
      <c r="Q487" s="136"/>
    </row>
    <row r="488" spans="1:17" s="30" customFormat="1" ht="22.5">
      <c r="A488" s="43" t="str" cm="1">
        <f t="array" aca="1" ref="A488" ca="1">_xlfn.LET(
_xlpm.詳細項目数, COUNTA($E$11:E488),
_xlpm.直近で詳細項目が空でないセルの行番号, MAX(INDEX((LEN($E$11:E488)&gt;0)*ROW($E$11:E488),0)),
_xlpm.観点数, COUNTA(INDIRECT("F"&amp;_xlpm.直近で詳細項目が空でないセルの行番号):F488),
_xlpm.直近で観点が空でないセルの行番号, MAX(INDEX((LEN($F$11:F488)&gt;0)*ROW($F$11:F488),0)),
_xlpm.テスト内容数, COUNTA(INDIRECT("J"&amp;_xlpm.直近で観点が空でないセルの行番号):J488),
_xlpm.テスト内容数_空なら1, IF(_xlpm.テスト内容数=0,1,_xlpm.テスト内容数),
_xlpm.詳細項目数&amp;"-"&amp;_xlpm.観点数&amp;"-"&amp;_xlpm.テスト内容数_空なら1
)</f>
        <v>115-4-1</v>
      </c>
      <c r="B488" s="93"/>
      <c r="C488" s="93"/>
      <c r="D488" s="210"/>
      <c r="E488" s="207"/>
      <c r="F488" s="179" t="s">
        <v>520</v>
      </c>
      <c r="G488" s="179"/>
      <c r="H488" s="84"/>
      <c r="I488" s="84"/>
      <c r="J488" s="127" t="s">
        <v>909</v>
      </c>
      <c r="K488" s="180"/>
      <c r="L488" s="181"/>
      <c r="M488" s="182"/>
      <c r="N488" s="182"/>
      <c r="O488" s="182"/>
      <c r="P488" s="182"/>
      <c r="Q488" s="182"/>
    </row>
    <row r="489" spans="1:17" s="30" customFormat="1" ht="22.5">
      <c r="A489" s="43" t="str" cm="1">
        <f t="array" aca="1" ref="A489" ca="1">_xlfn.LET(
_xlpm.詳細項目数, COUNTA($E$11:E489),
_xlpm.直近で詳細項目が空でないセルの行番号, MAX(INDEX((LEN($E$11:E489)&gt;0)*ROW($E$11:E489),0)),
_xlpm.観点数, COUNTA(INDIRECT("F"&amp;_xlpm.直近で詳細項目が空でないセルの行番号):F489),
_xlpm.直近で観点が空でないセルの行番号, MAX(INDEX((LEN($F$11:F489)&gt;0)*ROW($F$11:F489),0)),
_xlpm.テスト内容数, COUNTA(INDIRECT("J"&amp;_xlpm.直近で観点が空でないセルの行番号):J489),
_xlpm.テスト内容数_空なら1, IF(_xlpm.テスト内容数=0,1,_xlpm.テスト内容数),
_xlpm.詳細項目数&amp;"-"&amp;_xlpm.観点数&amp;"-"&amp;_xlpm.テスト内容数_空なら1
)</f>
        <v>115-5-1</v>
      </c>
      <c r="B489" s="93"/>
      <c r="C489" s="93"/>
      <c r="D489" s="210"/>
      <c r="E489" s="207"/>
      <c r="F489" s="179" t="s">
        <v>521</v>
      </c>
      <c r="G489" s="179" t="s">
        <v>623</v>
      </c>
      <c r="H489" s="84"/>
      <c r="I489" s="84"/>
      <c r="J489" s="128"/>
      <c r="K489" s="180"/>
      <c r="L489" s="181"/>
      <c r="M489" s="182"/>
      <c r="N489" s="182"/>
      <c r="O489" s="182"/>
      <c r="P489" s="182"/>
      <c r="Q489" s="182"/>
    </row>
    <row r="490" spans="1:17" s="30" customFormat="1" ht="33.75">
      <c r="A490" s="43" t="str" cm="1">
        <f t="array" aca="1" ref="A490" ca="1">_xlfn.LET(
_xlpm.詳細項目数, COUNTA($E$11:E490),
_xlpm.直近で詳細項目が空でないセルの行番号, MAX(INDEX((LEN($E$11:E490)&gt;0)*ROW($E$11:E490),0)),
_xlpm.観点数, COUNTA(INDIRECT("F"&amp;_xlpm.直近で詳細項目が空でないセルの行番号):F490),
_xlpm.直近で観点が空でないセルの行番号, MAX(INDEX((LEN($F$11:F490)&gt;0)*ROW($F$11:F490),0)),
_xlpm.テスト内容数, COUNTA(INDIRECT("J"&amp;_xlpm.直近で観点が空でないセルの行番号):J490),
_xlpm.テスト内容数_空なら1, IF(_xlpm.テスト内容数=0,1,_xlpm.テスト内容数),
_xlpm.詳細項目数&amp;"-"&amp;_xlpm.観点数&amp;"-"&amp;_xlpm.テスト内容数_空なら1
)</f>
        <v>115-6-1</v>
      </c>
      <c r="B490" s="93"/>
      <c r="C490" s="93"/>
      <c r="D490" s="215"/>
      <c r="E490" s="211"/>
      <c r="F490" s="99" t="s">
        <v>522</v>
      </c>
      <c r="G490" s="99"/>
      <c r="H490" s="122" t="s">
        <v>648</v>
      </c>
      <c r="I490" s="122" t="s">
        <v>824</v>
      </c>
      <c r="J490" s="122" t="s">
        <v>1005</v>
      </c>
      <c r="K490" s="53" t="s">
        <v>908</v>
      </c>
      <c r="L490" s="135"/>
      <c r="M490" s="116"/>
      <c r="N490" s="54"/>
      <c r="O490" s="130"/>
      <c r="P490" s="136"/>
      <c r="Q490" s="136"/>
    </row>
    <row r="491" spans="1:17" s="30" customFormat="1" ht="78.75">
      <c r="A491" s="43" t="str" cm="1">
        <f t="array" aca="1" ref="A491" ca="1">_xlfn.LET(
_xlpm.詳細項目数, COUNTA($E$11:E491),
_xlpm.直近で詳細項目が空でないセルの行番号, MAX(INDEX((LEN($E$11:E491)&gt;0)*ROW($E$11:E491),0)),
_xlpm.観点数, COUNTA(INDIRECT("F"&amp;_xlpm.直近で詳細項目が空でないセルの行番号):F491),
_xlpm.直近で観点が空でないセルの行番号, MAX(INDEX((LEN($F$11:F491)&gt;0)*ROW($F$11:F491),0)),
_xlpm.テスト内容数, COUNTA(INDIRECT("J"&amp;_xlpm.直近で観点が空でないセルの行番号):J491),
_xlpm.テスト内容数_空なら1, IF(_xlpm.テスト内容数=0,1,_xlpm.テスト内容数),
_xlpm.詳細項目数&amp;"-"&amp;_xlpm.観点数&amp;"-"&amp;_xlpm.テスト内容数_空なら1
)</f>
        <v>116-1-1</v>
      </c>
      <c r="B491" s="93"/>
      <c r="C491" s="93"/>
      <c r="D491" s="130" t="s">
        <v>523</v>
      </c>
      <c r="E491" s="212" t="s">
        <v>495</v>
      </c>
      <c r="F491" s="99" t="s">
        <v>526</v>
      </c>
      <c r="G491" s="99"/>
      <c r="H491" s="56" t="s">
        <v>1022</v>
      </c>
      <c r="I491" s="56" t="s">
        <v>1023</v>
      </c>
      <c r="J491" s="53" t="s">
        <v>1029</v>
      </c>
      <c r="K491" s="119" t="s">
        <v>1024</v>
      </c>
      <c r="L491" s="135"/>
      <c r="M491" s="116"/>
      <c r="N491" s="54"/>
      <c r="O491" s="130"/>
      <c r="P491" s="136"/>
      <c r="Q491" s="136"/>
    </row>
    <row r="492" spans="1:17" s="30" customFormat="1" ht="45">
      <c r="A492" s="43" t="str" cm="1">
        <f t="array" aca="1" ref="A492" ca="1">_xlfn.LET(
_xlpm.詳細項目数, COUNTA($E$11:E492),
_xlpm.直近で詳細項目が空でないセルの行番号, MAX(INDEX((LEN($E$11:E492)&gt;0)*ROW($E$11:E492),0)),
_xlpm.観点数, COUNTA(INDIRECT("F"&amp;_xlpm.直近で詳細項目が空でないセルの行番号):F492),
_xlpm.直近で観点が空でないセルの行番号, MAX(INDEX((LEN($F$11:F492)&gt;0)*ROW($F$11:F492),0)),
_xlpm.テスト内容数, COUNTA(INDIRECT("J"&amp;_xlpm.直近で観点が空でないセルの行番号):J492),
_xlpm.テスト内容数_空なら1, IF(_xlpm.テスト内容数=0,1,_xlpm.テスト内容数),
_xlpm.詳細項目数&amp;"-"&amp;_xlpm.観点数&amp;"-"&amp;_xlpm.テスト内容数_空なら1
)</f>
        <v>117-1-1</v>
      </c>
      <c r="B492" s="93"/>
      <c r="C492" s="93"/>
      <c r="D492" s="212" t="s">
        <v>524</v>
      </c>
      <c r="E492" s="212" t="s">
        <v>495</v>
      </c>
      <c r="F492" s="56" t="s">
        <v>527</v>
      </c>
      <c r="G492" s="99"/>
      <c r="H492" s="122" t="s">
        <v>826</v>
      </c>
      <c r="I492" s="122" t="s">
        <v>827</v>
      </c>
      <c r="J492" s="122" t="s">
        <v>971</v>
      </c>
      <c r="K492" s="116" t="s">
        <v>828</v>
      </c>
      <c r="L492" s="135"/>
      <c r="M492" s="116"/>
      <c r="N492" s="54"/>
      <c r="O492" s="130"/>
      <c r="P492" s="136"/>
      <c r="Q492" s="136"/>
    </row>
    <row r="493" spans="1:17" s="30" customFormat="1" ht="45">
      <c r="A493" s="43" t="str" cm="1">
        <f t="array" aca="1" ref="A493" ca="1">_xlfn.LET(
_xlpm.詳細項目数, COUNTA($E$11:E493),
_xlpm.直近で詳細項目が空でないセルの行番号, MAX(INDEX((LEN($E$11:E493)&gt;0)*ROW($E$11:E493),0)),
_xlpm.観点数, COUNTA(INDIRECT("F"&amp;_xlpm.直近で詳細項目が空でないセルの行番号):F493),
_xlpm.直近で観点が空でないセルの行番号, MAX(INDEX((LEN($F$11:F493)&gt;0)*ROW($F$11:F493),0)),
_xlpm.テスト内容数, COUNTA(INDIRECT("J"&amp;_xlpm.直近で観点が空でないセルの行番号):J493),
_xlpm.テスト内容数_空なら1, IF(_xlpm.テスト内容数=0,1,_xlpm.テスト内容数),
_xlpm.詳細項目数&amp;"-"&amp;_xlpm.観点数&amp;"-"&amp;_xlpm.テスト内容数_空なら1
)</f>
        <v>117-1-2</v>
      </c>
      <c r="B493" s="93"/>
      <c r="C493" s="93"/>
      <c r="D493" s="207"/>
      <c r="E493" s="207"/>
      <c r="F493" s="93"/>
      <c r="G493" s="99"/>
      <c r="H493" s="131" t="s">
        <v>826</v>
      </c>
      <c r="I493" s="131" t="s">
        <v>827</v>
      </c>
      <c r="J493" s="122" t="s">
        <v>988</v>
      </c>
      <c r="K493" s="116" t="s">
        <v>828</v>
      </c>
      <c r="L493" s="137"/>
      <c r="M493" s="116"/>
      <c r="N493" s="54"/>
      <c r="O493" s="130"/>
      <c r="P493" s="138"/>
      <c r="Q493" s="138"/>
    </row>
    <row r="494" spans="1:17" s="30" customFormat="1" ht="45">
      <c r="A494" s="43" t="str" cm="1">
        <f t="array" aca="1" ref="A494" ca="1">_xlfn.LET(
_xlpm.詳細項目数, COUNTA($E$11:E494),
_xlpm.直近で詳細項目が空でないセルの行番号, MAX(INDEX((LEN($E$11:E494)&gt;0)*ROW($E$11:E494),0)),
_xlpm.観点数, COUNTA(INDIRECT("F"&amp;_xlpm.直近で詳細項目が空でないセルの行番号):F494),
_xlpm.直近で観点が空でないセルの行番号, MAX(INDEX((LEN($F$11:F494)&gt;0)*ROW($F$11:F494),0)),
_xlpm.テスト内容数, COUNTA(INDIRECT("J"&amp;_xlpm.直近で観点が空でないセルの行番号):J494),
_xlpm.テスト内容数_空なら1, IF(_xlpm.テスト内容数=0,1,_xlpm.テスト内容数),
_xlpm.詳細項目数&amp;"-"&amp;_xlpm.観点数&amp;"-"&amp;_xlpm.テスト内容数_空なら1
)</f>
        <v>117-1-3</v>
      </c>
      <c r="B494" s="93"/>
      <c r="C494" s="93"/>
      <c r="D494" s="211"/>
      <c r="E494" s="211"/>
      <c r="F494" s="194"/>
      <c r="G494" s="99"/>
      <c r="H494" s="131" t="s">
        <v>826</v>
      </c>
      <c r="I494" s="131" t="s">
        <v>827</v>
      </c>
      <c r="J494" s="122" t="s">
        <v>990</v>
      </c>
      <c r="K494" s="255" t="s">
        <v>828</v>
      </c>
      <c r="L494" s="137"/>
      <c r="M494" s="116"/>
      <c r="N494" s="54"/>
      <c r="O494" s="130"/>
      <c r="P494" s="138"/>
      <c r="Q494" s="138"/>
    </row>
    <row r="495" spans="1:17" s="30" customFormat="1" ht="56.25">
      <c r="A495" s="43" t="str" cm="1">
        <f t="array" aca="1" ref="A495" ca="1">_xlfn.LET(
_xlpm.詳細項目数, COUNTA($E$11:E495),
_xlpm.直近で詳細項目が空でないセルの行番号, MAX(INDEX((LEN($E$11:E495)&gt;0)*ROW($E$11:E495),0)),
_xlpm.観点数, COUNTA(INDIRECT("F"&amp;_xlpm.直近で詳細項目が空でないセルの行番号):F495),
_xlpm.直近で観点が空でないセルの行番号, MAX(INDEX((LEN($F$11:F495)&gt;0)*ROW($F$11:F495),0)),
_xlpm.テスト内容数, COUNTA(INDIRECT("J"&amp;_xlpm.直近で観点が空でないセルの行番号):J495),
_xlpm.テスト内容数_空なら1, IF(_xlpm.テスト内容数=0,1,_xlpm.テスト内容数),
_xlpm.詳細項目数&amp;"-"&amp;_xlpm.観点数&amp;"-"&amp;_xlpm.テスト内容数_空なら1
)</f>
        <v>118-1-1</v>
      </c>
      <c r="B495" s="194"/>
      <c r="C495" s="194"/>
      <c r="D495" s="130" t="s">
        <v>525</v>
      </c>
      <c r="E495" s="130" t="s">
        <v>495</v>
      </c>
      <c r="F495" s="82" t="s">
        <v>594</v>
      </c>
      <c r="G495" s="99"/>
      <c r="H495" s="56" t="s">
        <v>829</v>
      </c>
      <c r="I495" s="56" t="s">
        <v>830</v>
      </c>
      <c r="J495" s="53" t="s">
        <v>971</v>
      </c>
      <c r="K495" s="120" t="s">
        <v>831</v>
      </c>
      <c r="L495" s="137"/>
      <c r="M495" s="116"/>
      <c r="N495" s="54"/>
      <c r="O495" s="130"/>
      <c r="P495" s="138"/>
      <c r="Q495" s="138"/>
    </row>
    <row r="496" spans="1:17" ht="45">
      <c r="A496" s="43" t="str" cm="1">
        <f t="array" aca="1" ref="A496" ca="1">_xlfn.LET(
_xlpm.詳細項目数, COUNTA($E$11:E496),
_xlpm.直近で詳細項目が空でないセルの行番号, MAX(INDEX((LEN($E$11:E496)&gt;0)*ROW($E$11:E496),0)),
_xlpm.観点数, COUNTA(INDIRECT("F"&amp;_xlpm.直近で詳細項目が空でないセルの行番号):F496),
_xlpm.直近で観点が空でないセルの行番号, MAX(INDEX((LEN($F$11:F496)&gt;0)*ROW($F$11:F496),0)),
_xlpm.テスト内容数, COUNTA(INDIRECT("J"&amp;_xlpm.直近で観点が空でないセルの行番号):J496),
_xlpm.テスト内容数_空なら1, IF(_xlpm.テスト内容数=0,1,_xlpm.テスト内容数),
_xlpm.詳細項目数&amp;"-"&amp;_xlpm.観点数&amp;"-"&amp;_xlpm.テスト内容数_空なら1
)</f>
        <v>119-1-1</v>
      </c>
      <c r="B496" s="207" t="s">
        <v>502</v>
      </c>
      <c r="C496" s="207" t="s">
        <v>488</v>
      </c>
      <c r="D496" s="207" t="s">
        <v>489</v>
      </c>
      <c r="E496" s="207" t="s">
        <v>54</v>
      </c>
      <c r="F496" s="79" t="s">
        <v>490</v>
      </c>
      <c r="G496" s="71"/>
      <c r="H496" s="116" t="s">
        <v>660</v>
      </c>
      <c r="I496" s="116" t="s">
        <v>910</v>
      </c>
      <c r="J496" s="78" t="s">
        <v>992</v>
      </c>
      <c r="K496" s="78" t="s">
        <v>1006</v>
      </c>
      <c r="L496" s="116"/>
      <c r="M496" s="116"/>
      <c r="N496" s="54"/>
      <c r="O496" s="130"/>
      <c r="P496" s="78"/>
      <c r="Q496" s="78"/>
    </row>
    <row r="497" spans="1:17" ht="22.5">
      <c r="A497" s="43" t="str" cm="1">
        <f t="array" aca="1" ref="A497" ca="1">_xlfn.LET(
_xlpm.詳細項目数, COUNTA($E$11:E497),
_xlpm.直近で詳細項目が空でないセルの行番号, MAX(INDEX((LEN($E$11:E497)&gt;0)*ROW($E$11:E497),0)),
_xlpm.観点数, COUNTA(INDIRECT("F"&amp;_xlpm.直近で詳細項目が空でないセルの行番号):F497),
_xlpm.直近で観点が空でないセルの行番号, MAX(INDEX((LEN($F$11:F497)&gt;0)*ROW($F$11:F497),0)),
_xlpm.テスト内容数, COUNTA(INDIRECT("J"&amp;_xlpm.直近で観点が空でないセルの行番号):J497),
_xlpm.テスト内容数_空なら1, IF(_xlpm.テスト内容数=0,1,_xlpm.テスト内容数),
_xlpm.詳細項目数&amp;"-"&amp;_xlpm.観点数&amp;"-"&amp;_xlpm.テスト内容数_空なら1
)</f>
        <v>119-2-1</v>
      </c>
      <c r="B497" s="224"/>
      <c r="C497" s="211"/>
      <c r="D497" s="211"/>
      <c r="E497" s="211"/>
      <c r="F497" s="61" t="s">
        <v>491</v>
      </c>
      <c r="G497" s="71"/>
      <c r="H497" s="122" t="s">
        <v>660</v>
      </c>
      <c r="I497" s="122" t="s">
        <v>911</v>
      </c>
      <c r="J497" s="116" t="s">
        <v>993</v>
      </c>
      <c r="K497" s="116" t="s">
        <v>912</v>
      </c>
      <c r="L497" s="116"/>
      <c r="M497" s="116"/>
      <c r="N497" s="54"/>
      <c r="O497" s="130"/>
      <c r="P497" s="78"/>
      <c r="Q497" s="78"/>
    </row>
  </sheetData>
  <autoFilter ref="A10:Q497" xr:uid="{AD55C6D8-65E1-45D4-8413-F9F9FB8313B8}"/>
  <mergeCells count="2">
    <mergeCell ref="B134:B135"/>
    <mergeCell ref="B154:B155"/>
  </mergeCells>
  <phoneticPr fontId="2"/>
  <dataValidations count="1">
    <dataValidation type="list" allowBlank="1" showInputMessage="1" showErrorMessage="1" sqref="O11:O497" xr:uid="{A5E32781-15EE-4FE9-82B1-A5FB18F7DB5E}">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7" manualBreakCount="7">
    <brk id="49" max="18" man="1"/>
    <brk id="483" max="18" man="1"/>
    <brk id="392" max="18" man="1"/>
    <brk id="36" max="18" man="1"/>
    <brk id="125" max="18" man="1"/>
    <brk id="185" max="18" man="1"/>
    <brk id="291" max="18"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ABF10-744B-4A96-A754-BD17133565EA}">
  <sheetPr>
    <pageSetUpPr fitToPage="1"/>
  </sheetPr>
  <dimension ref="A1:Q384"/>
  <sheetViews>
    <sheetView showGridLines="0" view="pageBreakPreview" zoomScaleNormal="80" zoomScaleSheetLayoutView="100" workbookViewId="0">
      <pane ySplit="10" topLeftCell="A11" activePane="bottomLeft" state="frozen"/>
      <selection activeCell="F28" sqref="F28"/>
      <selection pane="bottomLeft"/>
    </sheetView>
  </sheetViews>
  <sheetFormatPr defaultColWidth="9" defaultRowHeight="11.25" outlineLevelCol="1"/>
  <cols>
    <col min="1" max="2" width="8.625" style="24" customWidth="1"/>
    <col min="3" max="5" width="8.625" style="25" customWidth="1"/>
    <col min="6" max="6" width="40.625" style="25" customWidth="1"/>
    <col min="7" max="7" width="40.625" style="62" hidden="1" customWidth="1" outlineLevel="1"/>
    <col min="8" max="8" width="15.625" style="68" customWidth="1" collapsed="1"/>
    <col min="9" max="9" width="15.625" style="68" customWidth="1"/>
    <col min="10" max="10" width="25.625" style="73" customWidth="1"/>
    <col min="11" max="11" width="25.625" style="74" customWidth="1"/>
    <col min="12" max="12" width="12.625" style="24" customWidth="1"/>
    <col min="13" max="17" width="8.625" style="24" customWidth="1"/>
    <col min="18" max="16384" width="9" style="24"/>
  </cols>
  <sheetData>
    <row r="1" spans="1:17">
      <c r="A1" s="24" t="s">
        <v>564</v>
      </c>
    </row>
    <row r="2" spans="1:17">
      <c r="A2" s="24" t="s">
        <v>592</v>
      </c>
    </row>
    <row r="4" spans="1:17">
      <c r="A4" s="24" t="s">
        <v>565</v>
      </c>
    </row>
    <row r="5" spans="1:17">
      <c r="A5" s="24" t="s">
        <v>631</v>
      </c>
    </row>
    <row r="6" spans="1:17">
      <c r="A6" s="24" t="s">
        <v>632</v>
      </c>
      <c r="J6" s="24"/>
      <c r="K6" s="24"/>
      <c r="M6" s="73"/>
      <c r="N6" s="73" t="s">
        <v>12</v>
      </c>
      <c r="O6" s="74"/>
      <c r="P6" s="74" t="s">
        <v>0</v>
      </c>
    </row>
    <row r="7" spans="1:17">
      <c r="A7" s="24" t="s">
        <v>1049</v>
      </c>
      <c r="J7" s="24"/>
      <c r="K7" s="24"/>
      <c r="M7" s="73"/>
      <c r="N7" s="73" t="s">
        <v>13</v>
      </c>
      <c r="O7" s="74"/>
      <c r="P7" s="74" t="s">
        <v>1</v>
      </c>
    </row>
    <row r="8" spans="1:17" ht="12" thickBot="1">
      <c r="A8" s="26" t="s">
        <v>1050</v>
      </c>
      <c r="B8" s="26"/>
      <c r="C8" s="27"/>
      <c r="D8" s="27"/>
      <c r="E8" s="27"/>
      <c r="F8" s="27"/>
      <c r="G8" s="63"/>
      <c r="H8" s="69"/>
      <c r="I8" s="69"/>
      <c r="J8" s="75"/>
      <c r="K8" s="76"/>
      <c r="L8" s="26"/>
      <c r="M8" s="26"/>
      <c r="N8" s="26"/>
      <c r="O8" s="26"/>
      <c r="P8" s="26"/>
      <c r="Q8" s="26"/>
    </row>
    <row r="9" spans="1:17" ht="12" thickTop="1"/>
    <row r="10" spans="1:17" s="30" customFormat="1">
      <c r="A10" s="28" t="s">
        <v>32</v>
      </c>
      <c r="B10" s="28" t="s">
        <v>38</v>
      </c>
      <c r="C10" s="28" t="s">
        <v>39</v>
      </c>
      <c r="D10" s="28" t="s">
        <v>40</v>
      </c>
      <c r="E10" s="28" t="s">
        <v>517</v>
      </c>
      <c r="F10" s="28" t="s">
        <v>42</v>
      </c>
      <c r="G10" s="31" t="s">
        <v>510</v>
      </c>
      <c r="H10" s="70" t="s">
        <v>9</v>
      </c>
      <c r="I10" s="70" t="s">
        <v>10</v>
      </c>
      <c r="J10" s="77" t="s">
        <v>2</v>
      </c>
      <c r="K10" s="72" t="s">
        <v>3</v>
      </c>
      <c r="L10" s="29" t="s">
        <v>45</v>
      </c>
      <c r="M10" s="29" t="s">
        <v>4</v>
      </c>
      <c r="N10" s="29" t="s">
        <v>14</v>
      </c>
      <c r="O10" s="29" t="s">
        <v>5</v>
      </c>
      <c r="P10" s="29" t="s">
        <v>6</v>
      </c>
      <c r="Q10" s="29"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95" t="s">
        <v>528</v>
      </c>
      <c r="C11" s="195" t="s">
        <v>47</v>
      </c>
      <c r="D11" s="196" t="s">
        <v>48</v>
      </c>
      <c r="E11" s="126" t="s">
        <v>49</v>
      </c>
      <c r="F11" s="94" t="s">
        <v>50</v>
      </c>
      <c r="G11" s="95" t="s">
        <v>560</v>
      </c>
      <c r="H11" s="96"/>
      <c r="I11" s="96"/>
      <c r="J11" s="97"/>
      <c r="K11" s="97"/>
      <c r="L11" s="96"/>
      <c r="M11" s="96"/>
      <c r="N11" s="96"/>
      <c r="O11" s="126"/>
      <c r="P11" s="97"/>
      <c r="Q11" s="97"/>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96"/>
      <c r="C12" s="197"/>
      <c r="D12" s="198"/>
      <c r="E12" s="198" t="s">
        <v>51</v>
      </c>
      <c r="F12" s="94" t="s">
        <v>52</v>
      </c>
      <c r="G12" s="95" t="s">
        <v>560</v>
      </c>
      <c r="H12" s="96"/>
      <c r="I12" s="96"/>
      <c r="J12" s="97"/>
      <c r="K12" s="97"/>
      <c r="L12" s="96"/>
      <c r="M12" s="96"/>
      <c r="N12" s="96"/>
      <c r="O12" s="126"/>
      <c r="P12" s="97"/>
      <c r="Q12" s="97"/>
    </row>
    <row r="13" spans="1:17"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96"/>
      <c r="C13" s="197"/>
      <c r="D13" s="196" t="s">
        <v>53</v>
      </c>
      <c r="E13" s="199" t="s">
        <v>495</v>
      </c>
      <c r="F13" s="94" t="s">
        <v>55</v>
      </c>
      <c r="G13" s="95" t="s">
        <v>560</v>
      </c>
      <c r="H13" s="96"/>
      <c r="I13" s="96"/>
      <c r="J13" s="97"/>
      <c r="K13" s="97"/>
      <c r="L13" s="96"/>
      <c r="M13" s="96"/>
      <c r="N13" s="96"/>
      <c r="O13" s="126"/>
      <c r="P13" s="97"/>
      <c r="Q13" s="97"/>
    </row>
    <row r="14" spans="1:17"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96"/>
      <c r="C14" s="197"/>
      <c r="D14" s="196"/>
      <c r="E14" s="199"/>
      <c r="F14" s="94" t="s">
        <v>56</v>
      </c>
      <c r="G14" s="95" t="s">
        <v>560</v>
      </c>
      <c r="H14" s="96"/>
      <c r="I14" s="96"/>
      <c r="J14" s="97"/>
      <c r="K14" s="97"/>
      <c r="L14" s="96"/>
      <c r="M14" s="96"/>
      <c r="N14" s="96"/>
      <c r="O14" s="126"/>
      <c r="P14" s="97"/>
      <c r="Q14" s="97"/>
    </row>
    <row r="15" spans="1:17"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96"/>
      <c r="C15" s="197"/>
      <c r="D15" s="196"/>
      <c r="E15" s="199"/>
      <c r="F15" s="94" t="s">
        <v>57</v>
      </c>
      <c r="G15" s="95" t="s">
        <v>560</v>
      </c>
      <c r="H15" s="96"/>
      <c r="I15" s="96"/>
      <c r="J15" s="97"/>
      <c r="K15" s="97"/>
      <c r="L15" s="96"/>
      <c r="M15" s="96"/>
      <c r="N15" s="96"/>
      <c r="O15" s="126"/>
      <c r="P15" s="97"/>
      <c r="Q15" s="97"/>
    </row>
    <row r="16" spans="1:17"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96"/>
      <c r="C16" s="197"/>
      <c r="D16" s="196"/>
      <c r="E16" s="199"/>
      <c r="F16" s="94" t="s">
        <v>58</v>
      </c>
      <c r="G16" s="95" t="s">
        <v>560</v>
      </c>
      <c r="H16" s="96"/>
      <c r="I16" s="96"/>
      <c r="J16" s="97"/>
      <c r="K16" s="97"/>
      <c r="L16" s="96"/>
      <c r="M16" s="96"/>
      <c r="N16" s="96"/>
      <c r="O16" s="126"/>
      <c r="P16" s="97"/>
      <c r="Q16" s="97"/>
    </row>
    <row r="17" spans="1:17"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96"/>
      <c r="C17" s="197"/>
      <c r="D17" s="200"/>
      <c r="E17" s="198"/>
      <c r="F17" s="94" t="s">
        <v>59</v>
      </c>
      <c r="G17" s="95" t="s">
        <v>560</v>
      </c>
      <c r="H17" s="96"/>
      <c r="I17" s="96"/>
      <c r="J17" s="97"/>
      <c r="K17" s="97"/>
      <c r="L17" s="96"/>
      <c r="M17" s="96"/>
      <c r="N17" s="96"/>
      <c r="O17" s="126"/>
      <c r="P17" s="97"/>
      <c r="Q17" s="97"/>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96"/>
      <c r="C18" s="197"/>
      <c r="D18" s="199" t="s">
        <v>60</v>
      </c>
      <c r="E18" s="199" t="s">
        <v>61</v>
      </c>
      <c r="F18" s="94" t="s">
        <v>62</v>
      </c>
      <c r="G18" s="95" t="s">
        <v>560</v>
      </c>
      <c r="H18" s="96"/>
      <c r="I18" s="96"/>
      <c r="J18" s="97"/>
      <c r="K18" s="97"/>
      <c r="L18" s="96"/>
      <c r="M18" s="96"/>
      <c r="N18" s="96"/>
      <c r="O18" s="126"/>
      <c r="P18" s="97"/>
      <c r="Q18" s="97"/>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96"/>
      <c r="C19" s="197"/>
      <c r="D19" s="199"/>
      <c r="E19" s="199"/>
      <c r="F19" s="94" t="s">
        <v>63</v>
      </c>
      <c r="G19" s="95" t="s">
        <v>560</v>
      </c>
      <c r="H19" s="96"/>
      <c r="I19" s="96"/>
      <c r="J19" s="97"/>
      <c r="K19" s="97"/>
      <c r="L19" s="96"/>
      <c r="M19" s="96"/>
      <c r="N19" s="96"/>
      <c r="O19" s="126"/>
      <c r="P19" s="97"/>
      <c r="Q19" s="97"/>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96"/>
      <c r="C20" s="197"/>
      <c r="D20" s="199"/>
      <c r="E20" s="198"/>
      <c r="F20" s="94" t="s">
        <v>64</v>
      </c>
      <c r="G20" s="95" t="s">
        <v>560</v>
      </c>
      <c r="H20" s="96"/>
      <c r="I20" s="96"/>
      <c r="J20" s="97"/>
      <c r="K20" s="97"/>
      <c r="L20" s="96"/>
      <c r="M20" s="96"/>
      <c r="N20" s="96"/>
      <c r="O20" s="126"/>
      <c r="P20" s="97"/>
      <c r="Q20" s="97"/>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96"/>
      <c r="C21" s="197"/>
      <c r="D21" s="199"/>
      <c r="E21" s="199" t="s">
        <v>65</v>
      </c>
      <c r="F21" s="94" t="s">
        <v>66</v>
      </c>
      <c r="G21" s="95" t="s">
        <v>560</v>
      </c>
      <c r="H21" s="96"/>
      <c r="I21" s="96"/>
      <c r="J21" s="97"/>
      <c r="K21" s="97"/>
      <c r="L21" s="96"/>
      <c r="M21" s="96"/>
      <c r="N21" s="96"/>
      <c r="O21" s="126"/>
      <c r="P21" s="97"/>
      <c r="Q21" s="97"/>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96"/>
      <c r="C22" s="197"/>
      <c r="D22" s="199"/>
      <c r="E22" s="199"/>
      <c r="F22" s="94" t="s">
        <v>67</v>
      </c>
      <c r="G22" s="95" t="s">
        <v>560</v>
      </c>
      <c r="H22" s="96"/>
      <c r="I22" s="96"/>
      <c r="J22" s="97"/>
      <c r="K22" s="97"/>
      <c r="L22" s="96"/>
      <c r="M22" s="96"/>
      <c r="N22" s="96"/>
      <c r="O22" s="126"/>
      <c r="P22" s="97"/>
      <c r="Q22" s="97"/>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96"/>
      <c r="C23" s="197"/>
      <c r="D23" s="199"/>
      <c r="E23" s="199"/>
      <c r="F23" s="94" t="s">
        <v>529</v>
      </c>
      <c r="G23" s="95" t="s">
        <v>560</v>
      </c>
      <c r="H23" s="96"/>
      <c r="I23" s="96"/>
      <c r="J23" s="97"/>
      <c r="K23" s="97"/>
      <c r="L23" s="96"/>
      <c r="M23" s="96"/>
      <c r="N23" s="96"/>
      <c r="O23" s="126"/>
      <c r="P23" s="97"/>
      <c r="Q23" s="97"/>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96"/>
      <c r="C24" s="197"/>
      <c r="D24" s="200"/>
      <c r="E24" s="198"/>
      <c r="F24" s="140" t="s">
        <v>69</v>
      </c>
      <c r="G24" s="95" t="s">
        <v>560</v>
      </c>
      <c r="H24" s="96"/>
      <c r="I24" s="96"/>
      <c r="J24" s="97"/>
      <c r="K24" s="97"/>
      <c r="L24" s="96"/>
      <c r="M24" s="96"/>
      <c r="N24" s="96"/>
      <c r="O24" s="126"/>
      <c r="P24" s="97"/>
      <c r="Q24" s="97"/>
    </row>
    <row r="25" spans="1:17"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96"/>
      <c r="C25" s="197"/>
      <c r="D25" s="199" t="s">
        <v>70</v>
      </c>
      <c r="E25" s="199" t="s">
        <v>495</v>
      </c>
      <c r="F25" s="94" t="s">
        <v>71</v>
      </c>
      <c r="G25" s="95" t="s">
        <v>560</v>
      </c>
      <c r="H25" s="96"/>
      <c r="I25" s="96"/>
      <c r="J25" s="97"/>
      <c r="K25" s="97"/>
      <c r="L25" s="96"/>
      <c r="M25" s="96"/>
      <c r="N25" s="96"/>
      <c r="O25" s="126"/>
      <c r="P25" s="97"/>
      <c r="Q25" s="97"/>
    </row>
    <row r="26" spans="1:17">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96"/>
      <c r="C26" s="197"/>
      <c r="D26" s="200"/>
      <c r="E26" s="198"/>
      <c r="F26" s="94" t="s">
        <v>72</v>
      </c>
      <c r="G26" s="95" t="s">
        <v>560</v>
      </c>
      <c r="H26" s="96"/>
      <c r="I26" s="96"/>
      <c r="J26" s="97"/>
      <c r="K26" s="97"/>
      <c r="L26" s="96"/>
      <c r="M26" s="96"/>
      <c r="N26" s="96"/>
      <c r="O26" s="126"/>
      <c r="P26" s="97"/>
      <c r="Q26" s="97"/>
    </row>
    <row r="27" spans="1:17"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96"/>
      <c r="C27" s="197"/>
      <c r="D27" s="199" t="s">
        <v>73</v>
      </c>
      <c r="E27" s="199" t="s">
        <v>74</v>
      </c>
      <c r="F27" s="94" t="s">
        <v>75</v>
      </c>
      <c r="G27" s="95" t="s">
        <v>560</v>
      </c>
      <c r="H27" s="96"/>
      <c r="I27" s="96"/>
      <c r="J27" s="97"/>
      <c r="K27" s="97"/>
      <c r="L27" s="96"/>
      <c r="M27" s="96"/>
      <c r="N27" s="96"/>
      <c r="O27" s="126"/>
      <c r="P27" s="97"/>
      <c r="Q27" s="97"/>
    </row>
    <row r="28" spans="1:17"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96"/>
      <c r="C28" s="197"/>
      <c r="D28" s="199"/>
      <c r="E28" s="198"/>
      <c r="F28" s="94" t="s">
        <v>76</v>
      </c>
      <c r="G28" s="95" t="s">
        <v>560</v>
      </c>
      <c r="H28" s="96"/>
      <c r="I28" s="96"/>
      <c r="J28" s="97"/>
      <c r="K28" s="97"/>
      <c r="L28" s="96"/>
      <c r="M28" s="96"/>
      <c r="N28" s="96"/>
      <c r="O28" s="126"/>
      <c r="P28" s="97"/>
      <c r="Q28" s="97"/>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96"/>
      <c r="C29" s="197"/>
      <c r="D29" s="196"/>
      <c r="E29" s="199" t="s">
        <v>77</v>
      </c>
      <c r="F29" s="94" t="s">
        <v>78</v>
      </c>
      <c r="G29" s="95" t="s">
        <v>560</v>
      </c>
      <c r="H29" s="96"/>
      <c r="I29" s="96"/>
      <c r="J29" s="97"/>
      <c r="K29" s="97"/>
      <c r="L29" s="96"/>
      <c r="M29" s="96"/>
      <c r="N29" s="96"/>
      <c r="O29" s="126"/>
      <c r="P29" s="97"/>
      <c r="Q29" s="97"/>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96"/>
      <c r="C30" s="197"/>
      <c r="D30" s="199"/>
      <c r="E30" s="199"/>
      <c r="F30" s="94" t="s">
        <v>79</v>
      </c>
      <c r="G30" s="95" t="s">
        <v>560</v>
      </c>
      <c r="H30" s="96"/>
      <c r="I30" s="96"/>
      <c r="J30" s="97"/>
      <c r="K30" s="97"/>
      <c r="L30" s="96"/>
      <c r="M30" s="96"/>
      <c r="N30" s="96"/>
      <c r="O30" s="126"/>
      <c r="P30" s="97"/>
      <c r="Q30" s="97"/>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96"/>
      <c r="C31" s="197"/>
      <c r="D31" s="199"/>
      <c r="E31" s="199"/>
      <c r="F31" s="94" t="s">
        <v>80</v>
      </c>
      <c r="G31" s="95" t="s">
        <v>560</v>
      </c>
      <c r="H31" s="96"/>
      <c r="I31" s="96"/>
      <c r="J31" s="97"/>
      <c r="K31" s="97"/>
      <c r="L31" s="96"/>
      <c r="M31" s="96"/>
      <c r="N31" s="96"/>
      <c r="O31" s="126"/>
      <c r="P31" s="97"/>
      <c r="Q31" s="97"/>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96"/>
      <c r="C32" s="197"/>
      <c r="D32" s="199"/>
      <c r="E32" s="198"/>
      <c r="F32" s="94" t="s">
        <v>81</v>
      </c>
      <c r="G32" s="95" t="s">
        <v>560</v>
      </c>
      <c r="H32" s="96"/>
      <c r="I32" s="96"/>
      <c r="J32" s="97"/>
      <c r="K32" s="97"/>
      <c r="L32" s="96"/>
      <c r="M32" s="96"/>
      <c r="N32" s="96"/>
      <c r="O32" s="126"/>
      <c r="P32" s="97"/>
      <c r="Q32" s="97"/>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96"/>
      <c r="C33" s="197"/>
      <c r="D33" s="199"/>
      <c r="E33" s="199" t="s">
        <v>530</v>
      </c>
      <c r="F33" s="94" t="s">
        <v>83</v>
      </c>
      <c r="G33" s="95" t="s">
        <v>560</v>
      </c>
      <c r="H33" s="96"/>
      <c r="I33" s="96"/>
      <c r="J33" s="97"/>
      <c r="K33" s="97"/>
      <c r="L33" s="96"/>
      <c r="M33" s="96"/>
      <c r="N33" s="96"/>
      <c r="O33" s="126"/>
      <c r="P33" s="97"/>
      <c r="Q33" s="97"/>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96"/>
      <c r="C34" s="197"/>
      <c r="D34" s="199"/>
      <c r="E34" s="198"/>
      <c r="F34" s="94" t="s">
        <v>84</v>
      </c>
      <c r="G34" s="95" t="s">
        <v>560</v>
      </c>
      <c r="H34" s="96"/>
      <c r="I34" s="96"/>
      <c r="J34" s="97"/>
      <c r="K34" s="97"/>
      <c r="L34" s="96"/>
      <c r="M34" s="96"/>
      <c r="N34" s="96"/>
      <c r="O34" s="126"/>
      <c r="P34" s="97"/>
      <c r="Q34" s="97"/>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96"/>
      <c r="C35" s="196"/>
      <c r="D35" s="199"/>
      <c r="E35" s="196" t="s">
        <v>85</v>
      </c>
      <c r="F35" s="94" t="s">
        <v>86</v>
      </c>
      <c r="G35" s="95" t="s">
        <v>559</v>
      </c>
      <c r="H35" s="127"/>
      <c r="I35" s="127"/>
      <c r="J35" s="128"/>
      <c r="K35" s="128"/>
      <c r="L35" s="96"/>
      <c r="M35" s="96"/>
      <c r="N35" s="96"/>
      <c r="O35" s="126"/>
      <c r="P35" s="97"/>
      <c r="Q35" s="97"/>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96"/>
      <c r="C36" s="201" t="s">
        <v>87</v>
      </c>
      <c r="D36" s="201" t="s">
        <v>499</v>
      </c>
      <c r="E36" s="202" t="s">
        <v>499</v>
      </c>
      <c r="F36" s="67" t="s">
        <v>88</v>
      </c>
      <c r="G36" s="64" t="s">
        <v>559</v>
      </c>
      <c r="H36" s="49"/>
      <c r="I36" s="49"/>
      <c r="J36" s="46"/>
      <c r="K36" s="46"/>
      <c r="L36" s="49"/>
      <c r="M36" s="49"/>
      <c r="N36" s="49"/>
      <c r="O36" s="129"/>
      <c r="P36" s="46"/>
      <c r="Q36" s="46"/>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96"/>
      <c r="C37" s="203"/>
      <c r="D37" s="204"/>
      <c r="E37" s="203"/>
      <c r="F37" s="66" t="s">
        <v>531</v>
      </c>
      <c r="G37" s="64" t="s">
        <v>559</v>
      </c>
      <c r="H37" s="49"/>
      <c r="I37" s="49"/>
      <c r="J37" s="46"/>
      <c r="K37" s="46"/>
      <c r="L37" s="49"/>
      <c r="M37" s="49"/>
      <c r="N37" s="49"/>
      <c r="O37" s="129"/>
      <c r="P37" s="46"/>
      <c r="Q37" s="46"/>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96"/>
      <c r="C38" s="203"/>
      <c r="D38" s="204"/>
      <c r="E38" s="203"/>
      <c r="F38" s="66" t="s">
        <v>90</v>
      </c>
      <c r="G38" s="64" t="s">
        <v>559</v>
      </c>
      <c r="H38" s="49"/>
      <c r="I38" s="49"/>
      <c r="J38" s="46"/>
      <c r="K38" s="46"/>
      <c r="L38" s="49"/>
      <c r="M38" s="49"/>
      <c r="N38" s="49"/>
      <c r="O38" s="129"/>
      <c r="P38" s="46"/>
      <c r="Q38" s="46"/>
    </row>
    <row r="39" spans="1:17"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96"/>
      <c r="C39" s="203"/>
      <c r="D39" s="205"/>
      <c r="E39" s="206"/>
      <c r="F39" s="66" t="s">
        <v>91</v>
      </c>
      <c r="G39" s="64" t="s">
        <v>559</v>
      </c>
      <c r="H39" s="49"/>
      <c r="I39" s="49"/>
      <c r="J39" s="46"/>
      <c r="K39" s="46"/>
      <c r="L39" s="49"/>
      <c r="M39" s="49"/>
      <c r="N39" s="49"/>
      <c r="O39" s="129"/>
      <c r="P39" s="46"/>
      <c r="Q39" s="46"/>
    </row>
    <row r="40" spans="1:17"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96"/>
      <c r="C40" s="203"/>
      <c r="D40" s="204" t="s">
        <v>92</v>
      </c>
      <c r="E40" s="203" t="s">
        <v>54</v>
      </c>
      <c r="F40" s="66" t="s">
        <v>532</v>
      </c>
      <c r="G40" s="64" t="s">
        <v>559</v>
      </c>
      <c r="H40" s="49"/>
      <c r="I40" s="49"/>
      <c r="J40" s="46"/>
      <c r="K40" s="46"/>
      <c r="L40" s="49"/>
      <c r="M40" s="49"/>
      <c r="N40" s="49"/>
      <c r="O40" s="129"/>
      <c r="P40" s="46"/>
      <c r="Q40" s="46"/>
    </row>
    <row r="41" spans="1:17">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98"/>
      <c r="C41" s="206"/>
      <c r="D41" s="205"/>
      <c r="E41" s="206"/>
      <c r="F41" s="66" t="s">
        <v>533</v>
      </c>
      <c r="G41" s="64" t="s">
        <v>559</v>
      </c>
      <c r="H41" s="49"/>
      <c r="I41" s="49"/>
      <c r="J41" s="46"/>
      <c r="K41" s="46"/>
      <c r="L41" s="49"/>
      <c r="M41" s="49"/>
      <c r="N41" s="49"/>
      <c r="O41" s="129"/>
      <c r="P41" s="46"/>
      <c r="Q41" s="46"/>
    </row>
    <row r="42" spans="1:17" ht="22.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96" t="s">
        <v>95</v>
      </c>
      <c r="C42" s="233" t="s">
        <v>96</v>
      </c>
      <c r="D42" s="233" t="s">
        <v>97</v>
      </c>
      <c r="E42" s="234" t="s">
        <v>98</v>
      </c>
      <c r="F42" s="94" t="s">
        <v>99</v>
      </c>
      <c r="G42" s="95"/>
      <c r="H42" s="127"/>
      <c r="I42" s="127"/>
      <c r="J42" s="80" t="s">
        <v>914</v>
      </c>
      <c r="K42" s="80"/>
      <c r="L42" s="96"/>
      <c r="M42" s="96"/>
      <c r="N42" s="96"/>
      <c r="O42" s="126"/>
      <c r="P42" s="97"/>
      <c r="Q42" s="97"/>
    </row>
    <row r="43" spans="1:17" ht="22.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96"/>
      <c r="C43" s="196"/>
      <c r="D43" s="196"/>
      <c r="E43" s="199"/>
      <c r="F43" s="94" t="s">
        <v>100</v>
      </c>
      <c r="G43" s="95"/>
      <c r="H43" s="140"/>
      <c r="I43" s="127"/>
      <c r="J43" s="80" t="s">
        <v>914</v>
      </c>
      <c r="K43" s="80"/>
      <c r="L43" s="96"/>
      <c r="M43" s="96"/>
      <c r="N43" s="96"/>
      <c r="O43" s="126"/>
      <c r="P43" s="97"/>
      <c r="Q43" s="97"/>
    </row>
    <row r="44" spans="1:17" ht="33.7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96"/>
      <c r="C44" s="196"/>
      <c r="D44" s="196"/>
      <c r="E44" s="198"/>
      <c r="F44" s="94" t="s">
        <v>101</v>
      </c>
      <c r="G44" s="95"/>
      <c r="H44" s="140"/>
      <c r="I44" s="127"/>
      <c r="J44" s="80" t="s">
        <v>914</v>
      </c>
      <c r="K44" s="80"/>
      <c r="L44" s="96"/>
      <c r="M44" s="96"/>
      <c r="N44" s="96"/>
      <c r="O44" s="126"/>
      <c r="P44" s="97"/>
      <c r="Q44" s="97"/>
    </row>
    <row r="45" spans="1:17" ht="22.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96"/>
      <c r="C45" s="196"/>
      <c r="D45" s="196"/>
      <c r="E45" s="199" t="s">
        <v>102</v>
      </c>
      <c r="F45" s="94" t="s">
        <v>103</v>
      </c>
      <c r="G45" s="95"/>
      <c r="H45" s="96"/>
      <c r="I45" s="96"/>
      <c r="J45" s="235" t="s">
        <v>914</v>
      </c>
      <c r="K45" s="97"/>
      <c r="L45" s="96"/>
      <c r="M45" s="96"/>
      <c r="N45" s="96"/>
      <c r="O45" s="126"/>
      <c r="P45" s="97"/>
      <c r="Q45" s="97"/>
    </row>
    <row r="46" spans="1:17" ht="22.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96"/>
      <c r="C46" s="196"/>
      <c r="D46" s="196"/>
      <c r="E46" s="199"/>
      <c r="F46" s="94" t="s">
        <v>104</v>
      </c>
      <c r="G46" s="95"/>
      <c r="H46" s="96"/>
      <c r="I46" s="96"/>
      <c r="J46" s="235" t="s">
        <v>914</v>
      </c>
      <c r="K46" s="97"/>
      <c r="L46" s="96"/>
      <c r="M46" s="96"/>
      <c r="N46" s="96"/>
      <c r="O46" s="126"/>
      <c r="P46" s="97"/>
      <c r="Q46" s="97"/>
    </row>
    <row r="47" spans="1:17" ht="33.7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96"/>
      <c r="C47" s="196"/>
      <c r="D47" s="196"/>
      <c r="E47" s="198"/>
      <c r="F47" s="94" t="s">
        <v>101</v>
      </c>
      <c r="G47" s="95"/>
      <c r="H47" s="96"/>
      <c r="I47" s="96"/>
      <c r="J47" s="235" t="s">
        <v>914</v>
      </c>
      <c r="K47" s="97"/>
      <c r="L47" s="96"/>
      <c r="M47" s="96"/>
      <c r="N47" s="96"/>
      <c r="O47" s="126"/>
      <c r="P47" s="97"/>
      <c r="Q47" s="97"/>
    </row>
    <row r="48" spans="1:17" ht="2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96"/>
      <c r="C48" s="196"/>
      <c r="D48" s="196"/>
      <c r="E48" s="199" t="s">
        <v>105</v>
      </c>
      <c r="F48" s="236" t="s">
        <v>106</v>
      </c>
      <c r="G48" s="95"/>
      <c r="H48" s="127"/>
      <c r="I48" s="127"/>
      <c r="J48" s="80" t="s">
        <v>914</v>
      </c>
      <c r="K48" s="80"/>
      <c r="L48" s="96"/>
      <c r="M48" s="96"/>
      <c r="N48" s="96"/>
      <c r="O48" s="126"/>
      <c r="P48" s="97"/>
      <c r="Q48" s="97"/>
    </row>
    <row r="49" spans="1:17"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96"/>
      <c r="C49" s="196"/>
      <c r="D49" s="196"/>
      <c r="E49" s="198"/>
      <c r="F49" s="236" t="s">
        <v>107</v>
      </c>
      <c r="G49" s="95"/>
      <c r="H49" s="127"/>
      <c r="I49" s="127"/>
      <c r="J49" s="80" t="s">
        <v>914</v>
      </c>
      <c r="K49" s="80"/>
      <c r="L49" s="96"/>
      <c r="M49" s="96"/>
      <c r="N49" s="96"/>
      <c r="O49" s="126"/>
      <c r="P49" s="97"/>
      <c r="Q49" s="97"/>
    </row>
    <row r="50" spans="1:17"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96"/>
      <c r="C50" s="196"/>
      <c r="D50" s="196"/>
      <c r="E50" s="199" t="s">
        <v>108</v>
      </c>
      <c r="F50" s="94" t="s">
        <v>109</v>
      </c>
      <c r="G50" s="95"/>
      <c r="H50" s="96"/>
      <c r="I50" s="96"/>
      <c r="J50" s="97" t="s">
        <v>914</v>
      </c>
      <c r="K50" s="97"/>
      <c r="L50" s="96"/>
      <c r="M50" s="96"/>
      <c r="N50" s="96"/>
      <c r="O50" s="126"/>
      <c r="P50" s="97"/>
      <c r="Q50" s="97"/>
    </row>
    <row r="51" spans="1:17"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96"/>
      <c r="C51" s="196"/>
      <c r="D51" s="196"/>
      <c r="E51" s="199"/>
      <c r="F51" s="94" t="s">
        <v>110</v>
      </c>
      <c r="G51" s="95"/>
      <c r="H51" s="96"/>
      <c r="I51" s="96"/>
      <c r="J51" s="97" t="s">
        <v>914</v>
      </c>
      <c r="K51" s="97"/>
      <c r="L51" s="96"/>
      <c r="M51" s="96"/>
      <c r="N51" s="96"/>
      <c r="O51" s="126"/>
      <c r="P51" s="97"/>
      <c r="Q51" s="97"/>
    </row>
    <row r="52" spans="1:17" ht="2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96"/>
      <c r="C52" s="196"/>
      <c r="D52" s="196"/>
      <c r="E52" s="199"/>
      <c r="F52" s="94" t="s">
        <v>111</v>
      </c>
      <c r="G52" s="95"/>
      <c r="H52" s="96"/>
      <c r="I52" s="96"/>
      <c r="J52" s="97" t="s">
        <v>914</v>
      </c>
      <c r="K52" s="97"/>
      <c r="L52" s="96"/>
      <c r="M52" s="96"/>
      <c r="N52" s="96"/>
      <c r="O52" s="126"/>
      <c r="P52" s="97"/>
      <c r="Q52" s="97"/>
    </row>
    <row r="53" spans="1:17"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96"/>
      <c r="C53" s="196"/>
      <c r="D53" s="196"/>
      <c r="E53" s="199"/>
      <c r="F53" s="94" t="s">
        <v>112</v>
      </c>
      <c r="G53" s="95"/>
      <c r="H53" s="96"/>
      <c r="I53" s="96"/>
      <c r="J53" s="97" t="s">
        <v>914</v>
      </c>
      <c r="K53" s="97"/>
      <c r="L53" s="96"/>
      <c r="M53" s="96"/>
      <c r="N53" s="96"/>
      <c r="O53" s="126"/>
      <c r="P53" s="97"/>
      <c r="Q53" s="97"/>
    </row>
    <row r="54" spans="1:17" ht="2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96"/>
      <c r="C54" s="196"/>
      <c r="D54" s="196"/>
      <c r="E54" s="199"/>
      <c r="F54" s="94" t="s">
        <v>113</v>
      </c>
      <c r="G54" s="95"/>
      <c r="H54" s="96"/>
      <c r="I54" s="96"/>
      <c r="J54" s="97" t="s">
        <v>914</v>
      </c>
      <c r="K54" s="97"/>
      <c r="L54" s="96"/>
      <c r="M54" s="96"/>
      <c r="N54" s="96"/>
      <c r="O54" s="126"/>
      <c r="P54" s="97"/>
      <c r="Q54" s="97"/>
    </row>
    <row r="55" spans="1:17"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96"/>
      <c r="C55" s="196"/>
      <c r="D55" s="196"/>
      <c r="E55" s="198"/>
      <c r="F55" s="94" t="s">
        <v>114</v>
      </c>
      <c r="G55" s="95"/>
      <c r="H55" s="96"/>
      <c r="I55" s="96"/>
      <c r="J55" s="97" t="s">
        <v>914</v>
      </c>
      <c r="K55" s="97"/>
      <c r="L55" s="96"/>
      <c r="M55" s="96"/>
      <c r="N55" s="96"/>
      <c r="O55" s="126"/>
      <c r="P55" s="97"/>
      <c r="Q55" s="97"/>
    </row>
    <row r="56" spans="1:17" ht="33.7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96"/>
      <c r="C56" s="196"/>
      <c r="D56" s="196"/>
      <c r="E56" s="195" t="s">
        <v>115</v>
      </c>
      <c r="F56" s="236" t="s">
        <v>116</v>
      </c>
      <c r="G56" s="95"/>
      <c r="H56" s="127"/>
      <c r="I56" s="127"/>
      <c r="J56" s="80" t="s">
        <v>914</v>
      </c>
      <c r="K56" s="80"/>
      <c r="L56" s="96"/>
      <c r="M56" s="96"/>
      <c r="N56" s="96"/>
      <c r="O56" s="126"/>
      <c r="P56" s="97"/>
      <c r="Q56" s="97"/>
    </row>
    <row r="57" spans="1:17"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96"/>
      <c r="C57" s="196"/>
      <c r="D57" s="196"/>
      <c r="E57" s="126" t="s">
        <v>534</v>
      </c>
      <c r="F57" s="94" t="s">
        <v>118</v>
      </c>
      <c r="G57" s="95"/>
      <c r="H57" s="96"/>
      <c r="I57" s="96"/>
      <c r="J57" s="97" t="s">
        <v>914</v>
      </c>
      <c r="K57" s="97"/>
      <c r="L57" s="96"/>
      <c r="M57" s="96"/>
      <c r="N57" s="96"/>
      <c r="O57" s="126"/>
      <c r="P57" s="97"/>
      <c r="Q57" s="97"/>
    </row>
    <row r="58" spans="1:17"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96"/>
      <c r="C58" s="196"/>
      <c r="D58" s="198"/>
      <c r="E58" s="126" t="s">
        <v>119</v>
      </c>
      <c r="F58" s="94" t="s">
        <v>120</v>
      </c>
      <c r="G58" s="95"/>
      <c r="H58" s="96"/>
      <c r="I58" s="96"/>
      <c r="J58" s="97" t="s">
        <v>914</v>
      </c>
      <c r="K58" s="97"/>
      <c r="L58" s="96"/>
      <c r="M58" s="96"/>
      <c r="N58" s="96"/>
      <c r="O58" s="126"/>
      <c r="P58" s="97"/>
      <c r="Q58" s="97"/>
    </row>
    <row r="59" spans="1:17"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96"/>
      <c r="C59" s="196"/>
      <c r="D59" s="196" t="s">
        <v>121</v>
      </c>
      <c r="E59" s="199" t="s">
        <v>499</v>
      </c>
      <c r="F59" s="94" t="s">
        <v>535</v>
      </c>
      <c r="G59" s="95"/>
      <c r="H59" s="96"/>
      <c r="I59" s="96"/>
      <c r="J59" s="97" t="s">
        <v>914</v>
      </c>
      <c r="K59" s="97"/>
      <c r="L59" s="96"/>
      <c r="M59" s="96"/>
      <c r="N59" s="96"/>
      <c r="O59" s="126"/>
      <c r="P59" s="97"/>
      <c r="Q59" s="97"/>
    </row>
    <row r="60" spans="1:17"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96"/>
      <c r="C60" s="197"/>
      <c r="D60" s="196"/>
      <c r="E60" s="199"/>
      <c r="F60" s="236" t="s">
        <v>536</v>
      </c>
      <c r="G60" s="95"/>
      <c r="H60" s="127"/>
      <c r="I60" s="127"/>
      <c r="J60" s="97" t="s">
        <v>914</v>
      </c>
      <c r="K60" s="80"/>
      <c r="L60" s="96"/>
      <c r="M60" s="96"/>
      <c r="N60" s="96"/>
      <c r="O60" s="126"/>
      <c r="P60" s="97"/>
      <c r="Q60" s="97"/>
    </row>
    <row r="61" spans="1:17"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96"/>
      <c r="C61" s="197"/>
      <c r="D61" s="196"/>
      <c r="E61" s="199"/>
      <c r="F61" s="94" t="s">
        <v>537</v>
      </c>
      <c r="G61" s="95"/>
      <c r="H61" s="96"/>
      <c r="I61" s="96"/>
      <c r="J61" s="97" t="s">
        <v>914</v>
      </c>
      <c r="K61" s="97"/>
      <c r="L61" s="96"/>
      <c r="M61" s="96"/>
      <c r="N61" s="96"/>
      <c r="O61" s="126"/>
      <c r="P61" s="97"/>
      <c r="Q61" s="97"/>
    </row>
    <row r="62" spans="1:17"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96"/>
      <c r="C62" s="197"/>
      <c r="D62" s="196"/>
      <c r="E62" s="199"/>
      <c r="F62" s="94" t="s">
        <v>538</v>
      </c>
      <c r="G62" s="95"/>
      <c r="H62" s="96"/>
      <c r="I62" s="96"/>
      <c r="J62" s="97" t="s">
        <v>914</v>
      </c>
      <c r="K62" s="97"/>
      <c r="L62" s="96"/>
      <c r="M62" s="96"/>
      <c r="N62" s="96"/>
      <c r="O62" s="126"/>
      <c r="P62" s="97"/>
      <c r="Q62" s="97"/>
    </row>
    <row r="63" spans="1:17"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96"/>
      <c r="C63" s="197"/>
      <c r="D63" s="196"/>
      <c r="E63" s="198"/>
      <c r="F63" s="94" t="s">
        <v>126</v>
      </c>
      <c r="G63" s="95"/>
      <c r="H63" s="96"/>
      <c r="I63" s="96"/>
      <c r="J63" s="97" t="s">
        <v>914</v>
      </c>
      <c r="K63" s="97"/>
      <c r="L63" s="96"/>
      <c r="M63" s="96"/>
      <c r="N63" s="96"/>
      <c r="O63" s="126"/>
      <c r="P63" s="97"/>
      <c r="Q63" s="97"/>
    </row>
    <row r="64" spans="1:17" ht="33.7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96"/>
      <c r="C64" s="197"/>
      <c r="D64" s="196"/>
      <c r="E64" s="199" t="s">
        <v>127</v>
      </c>
      <c r="F64" s="94" t="s">
        <v>128</v>
      </c>
      <c r="G64" s="95"/>
      <c r="H64" s="96"/>
      <c r="I64" s="96"/>
      <c r="J64" s="97" t="s">
        <v>914</v>
      </c>
      <c r="K64" s="97"/>
      <c r="L64" s="96"/>
      <c r="M64" s="96"/>
      <c r="N64" s="96"/>
      <c r="O64" s="126"/>
      <c r="P64" s="97"/>
      <c r="Q64" s="97"/>
    </row>
    <row r="65" spans="1:17" ht="33.7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96"/>
      <c r="C65" s="197"/>
      <c r="D65" s="196"/>
      <c r="E65" s="199"/>
      <c r="F65" s="94" t="s">
        <v>129</v>
      </c>
      <c r="G65" s="95"/>
      <c r="H65" s="96"/>
      <c r="I65" s="96"/>
      <c r="J65" s="97" t="s">
        <v>914</v>
      </c>
      <c r="K65" s="97"/>
      <c r="L65" s="96"/>
      <c r="M65" s="96"/>
      <c r="N65" s="96"/>
      <c r="O65" s="126"/>
      <c r="P65" s="97"/>
      <c r="Q65" s="97"/>
    </row>
    <row r="66" spans="1:17" ht="33.7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96"/>
      <c r="C66" s="197"/>
      <c r="D66" s="196"/>
      <c r="E66" s="199"/>
      <c r="F66" s="94" t="s">
        <v>130</v>
      </c>
      <c r="G66" s="95"/>
      <c r="H66" s="96"/>
      <c r="I66" s="96"/>
      <c r="J66" s="97" t="s">
        <v>914</v>
      </c>
      <c r="K66" s="97"/>
      <c r="L66" s="96"/>
      <c r="M66" s="96"/>
      <c r="N66" s="96"/>
      <c r="O66" s="126"/>
      <c r="P66" s="97"/>
      <c r="Q66" s="97"/>
    </row>
    <row r="67" spans="1:17" ht="33.7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96"/>
      <c r="C67" s="197"/>
      <c r="D67" s="196"/>
      <c r="E67" s="199"/>
      <c r="F67" s="94" t="s">
        <v>131</v>
      </c>
      <c r="G67" s="95"/>
      <c r="H67" s="96"/>
      <c r="I67" s="96"/>
      <c r="J67" s="97" t="s">
        <v>914</v>
      </c>
      <c r="K67" s="97"/>
      <c r="L67" s="96"/>
      <c r="M67" s="96"/>
      <c r="N67" s="96"/>
      <c r="O67" s="126"/>
      <c r="P67" s="97"/>
      <c r="Q67" s="97"/>
    </row>
    <row r="68" spans="1:17"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96"/>
      <c r="C68" s="197"/>
      <c r="D68" s="196"/>
      <c r="E68" s="199"/>
      <c r="F68" s="94" t="s">
        <v>132</v>
      </c>
      <c r="G68" s="95"/>
      <c r="H68" s="96"/>
      <c r="I68" s="96"/>
      <c r="J68" s="97" t="s">
        <v>914</v>
      </c>
      <c r="K68" s="97"/>
      <c r="L68" s="96"/>
      <c r="M68" s="96"/>
      <c r="N68" s="96"/>
      <c r="O68" s="126"/>
      <c r="P68" s="97"/>
      <c r="Q68" s="97"/>
    </row>
    <row r="69" spans="1:17" ht="22.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96"/>
      <c r="C69" s="197"/>
      <c r="D69" s="196"/>
      <c r="E69" s="199"/>
      <c r="F69" s="94" t="s">
        <v>133</v>
      </c>
      <c r="G69" s="95"/>
      <c r="H69" s="96"/>
      <c r="I69" s="96"/>
      <c r="J69" s="97" t="s">
        <v>914</v>
      </c>
      <c r="K69" s="97"/>
      <c r="L69" s="96"/>
      <c r="M69" s="96"/>
      <c r="N69" s="96"/>
      <c r="O69" s="126"/>
      <c r="P69" s="97"/>
      <c r="Q69" s="97"/>
    </row>
    <row r="70" spans="1:17"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96"/>
      <c r="C70" s="197"/>
      <c r="D70" s="196"/>
      <c r="E70" s="199"/>
      <c r="F70" s="94" t="s">
        <v>134</v>
      </c>
      <c r="G70" s="95"/>
      <c r="H70" s="96"/>
      <c r="I70" s="96"/>
      <c r="J70" s="97" t="s">
        <v>914</v>
      </c>
      <c r="K70" s="97"/>
      <c r="L70" s="96"/>
      <c r="M70" s="96"/>
      <c r="N70" s="96"/>
      <c r="O70" s="126"/>
      <c r="P70" s="97"/>
      <c r="Q70" s="97"/>
    </row>
    <row r="71" spans="1:17" ht="33.7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96"/>
      <c r="C71" s="197"/>
      <c r="D71" s="196"/>
      <c r="E71" s="198"/>
      <c r="F71" s="94" t="s">
        <v>135</v>
      </c>
      <c r="G71" s="95"/>
      <c r="H71" s="96"/>
      <c r="I71" s="96"/>
      <c r="J71" s="97" t="s">
        <v>914</v>
      </c>
      <c r="K71" s="97"/>
      <c r="L71" s="96"/>
      <c r="M71" s="96"/>
      <c r="N71" s="96"/>
      <c r="O71" s="126"/>
      <c r="P71" s="97"/>
      <c r="Q71" s="97"/>
    </row>
    <row r="72" spans="1:17" ht="22.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96"/>
      <c r="C72" s="197"/>
      <c r="D72" s="196"/>
      <c r="E72" s="127" t="s">
        <v>136</v>
      </c>
      <c r="F72" s="237" t="s">
        <v>137</v>
      </c>
      <c r="G72" s="91"/>
      <c r="H72" s="127"/>
      <c r="I72" s="127"/>
      <c r="J72" s="80" t="s">
        <v>914</v>
      </c>
      <c r="K72" s="80"/>
      <c r="L72" s="230"/>
      <c r="M72" s="229"/>
      <c r="N72" s="96"/>
      <c r="O72" s="126"/>
      <c r="P72" s="97"/>
      <c r="Q72" s="97"/>
    </row>
    <row r="73" spans="1:17">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96"/>
      <c r="C73" s="218"/>
      <c r="D73" s="196"/>
      <c r="E73" s="199" t="s">
        <v>138</v>
      </c>
      <c r="F73" s="94" t="s">
        <v>139</v>
      </c>
      <c r="G73" s="95"/>
      <c r="H73" s="96"/>
      <c r="I73" s="96"/>
      <c r="J73" s="80" t="s">
        <v>914</v>
      </c>
      <c r="K73" s="97"/>
      <c r="L73" s="96"/>
      <c r="M73" s="96"/>
      <c r="N73" s="96"/>
      <c r="O73" s="126"/>
      <c r="P73" s="97"/>
      <c r="Q73" s="97"/>
    </row>
    <row r="74" spans="1:17">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96"/>
      <c r="C74" s="218"/>
      <c r="D74" s="196"/>
      <c r="E74" s="199"/>
      <c r="F74" s="94" t="s">
        <v>140</v>
      </c>
      <c r="G74" s="95"/>
      <c r="H74" s="96"/>
      <c r="I74" s="96"/>
      <c r="J74" s="80" t="s">
        <v>914</v>
      </c>
      <c r="K74" s="97"/>
      <c r="L74" s="96"/>
      <c r="M74" s="96"/>
      <c r="N74" s="96"/>
      <c r="O74" s="126"/>
      <c r="P74" s="97"/>
      <c r="Q74" s="97"/>
    </row>
    <row r="75" spans="1:17">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96"/>
      <c r="C75" s="218"/>
      <c r="D75" s="196"/>
      <c r="E75" s="199"/>
      <c r="F75" s="94" t="s">
        <v>141</v>
      </c>
      <c r="G75" s="95"/>
      <c r="H75" s="96"/>
      <c r="I75" s="96"/>
      <c r="J75" s="80" t="s">
        <v>914</v>
      </c>
      <c r="K75" s="97"/>
      <c r="L75" s="96"/>
      <c r="M75" s="96"/>
      <c r="N75" s="96"/>
      <c r="O75" s="126"/>
      <c r="P75" s="97"/>
      <c r="Q75" s="97"/>
    </row>
    <row r="76" spans="1:17">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96"/>
      <c r="C76" s="218"/>
      <c r="D76" s="196"/>
      <c r="E76" s="199"/>
      <c r="F76" s="94" t="s">
        <v>142</v>
      </c>
      <c r="G76" s="95"/>
      <c r="H76" s="96"/>
      <c r="I76" s="96"/>
      <c r="J76" s="80" t="s">
        <v>914</v>
      </c>
      <c r="K76" s="97"/>
      <c r="L76" s="96"/>
      <c r="M76" s="96"/>
      <c r="N76" s="96"/>
      <c r="O76" s="126"/>
      <c r="P76" s="97"/>
      <c r="Q76" s="97"/>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96"/>
      <c r="C77" s="200"/>
      <c r="D77" s="198"/>
      <c r="E77" s="200"/>
      <c r="F77" s="94" t="s">
        <v>143</v>
      </c>
      <c r="G77" s="95" t="s">
        <v>627</v>
      </c>
      <c r="H77" s="96"/>
      <c r="I77" s="96"/>
      <c r="J77" s="80" t="s">
        <v>914</v>
      </c>
      <c r="K77" s="97"/>
      <c r="L77" s="96"/>
      <c r="M77" s="96"/>
      <c r="N77" s="96"/>
      <c r="O77" s="126"/>
      <c r="P77" s="97"/>
      <c r="Q77" s="97"/>
    </row>
    <row r="78" spans="1:17" ht="2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260"/>
      <c r="C78" s="242" t="s">
        <v>144</v>
      </c>
      <c r="D78" s="195" t="s">
        <v>15</v>
      </c>
      <c r="E78" s="242" t="s">
        <v>495</v>
      </c>
      <c r="F78" s="94" t="s">
        <v>145</v>
      </c>
      <c r="G78" s="95"/>
      <c r="H78" s="127"/>
      <c r="I78" s="127"/>
      <c r="J78" s="80" t="s">
        <v>914</v>
      </c>
      <c r="K78" s="80"/>
      <c r="L78" s="96"/>
      <c r="M78" s="96"/>
      <c r="N78" s="96"/>
      <c r="O78" s="126"/>
      <c r="P78" s="97"/>
      <c r="Q78" s="97"/>
    </row>
    <row r="79" spans="1:17" ht="33.7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96"/>
      <c r="C79" s="199"/>
      <c r="D79" s="196"/>
      <c r="E79" s="198"/>
      <c r="F79" s="94" t="s">
        <v>146</v>
      </c>
      <c r="G79" s="95"/>
      <c r="H79" s="127"/>
      <c r="I79" s="127"/>
      <c r="J79" s="127" t="s">
        <v>914</v>
      </c>
      <c r="K79" s="80"/>
      <c r="L79" s="96"/>
      <c r="M79" s="96"/>
      <c r="N79" s="96"/>
      <c r="O79" s="126"/>
      <c r="P79" s="97"/>
      <c r="Q79" s="97"/>
    </row>
    <row r="80" spans="1:17">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96"/>
      <c r="C80" s="199"/>
      <c r="D80" s="196"/>
      <c r="E80" s="126" t="s">
        <v>147</v>
      </c>
      <c r="F80" s="94" t="s">
        <v>148</v>
      </c>
      <c r="G80" s="95"/>
      <c r="H80" s="96"/>
      <c r="I80" s="96"/>
      <c r="J80" s="235" t="s">
        <v>914</v>
      </c>
      <c r="K80" s="97"/>
      <c r="L80" s="96"/>
      <c r="M80" s="96"/>
      <c r="N80" s="96"/>
      <c r="O80" s="126"/>
      <c r="P80" s="97"/>
      <c r="Q80" s="97"/>
    </row>
    <row r="81" spans="1:17" ht="33.7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96"/>
      <c r="C81" s="199"/>
      <c r="D81" s="196"/>
      <c r="E81" s="199" t="s">
        <v>149</v>
      </c>
      <c r="F81" s="94" t="s">
        <v>150</v>
      </c>
      <c r="G81" s="95"/>
      <c r="H81" s="96"/>
      <c r="I81" s="96"/>
      <c r="J81" s="97" t="s">
        <v>914</v>
      </c>
      <c r="K81" s="97"/>
      <c r="L81" s="96"/>
      <c r="M81" s="96"/>
      <c r="N81" s="96"/>
      <c r="O81" s="126"/>
      <c r="P81" s="97"/>
      <c r="Q81" s="97"/>
    </row>
    <row r="82" spans="1:17" ht="33.7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96"/>
      <c r="C82" s="199"/>
      <c r="D82" s="196"/>
      <c r="E82" s="198"/>
      <c r="F82" s="94" t="s">
        <v>151</v>
      </c>
      <c r="G82" s="95"/>
      <c r="H82" s="96"/>
      <c r="I82" s="96"/>
      <c r="J82" s="97" t="s">
        <v>914</v>
      </c>
      <c r="K82" s="97"/>
      <c r="L82" s="96"/>
      <c r="M82" s="96"/>
      <c r="N82" s="96"/>
      <c r="O82" s="126"/>
      <c r="P82" s="97"/>
      <c r="Q82" s="97"/>
    </row>
    <row r="83" spans="1:17" ht="22.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96"/>
      <c r="C83" s="199"/>
      <c r="D83" s="196"/>
      <c r="E83" s="126" t="s">
        <v>152</v>
      </c>
      <c r="F83" s="94" t="s">
        <v>153</v>
      </c>
      <c r="G83" s="95"/>
      <c r="H83" s="96"/>
      <c r="I83" s="96"/>
      <c r="J83" s="97" t="s">
        <v>914</v>
      </c>
      <c r="K83" s="97"/>
      <c r="L83" s="96"/>
      <c r="M83" s="96"/>
      <c r="N83" s="96"/>
      <c r="O83" s="126"/>
      <c r="P83" s="97"/>
      <c r="Q83" s="97"/>
    </row>
    <row r="84" spans="1:17" ht="2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96"/>
      <c r="C84" s="198"/>
      <c r="D84" s="198"/>
      <c r="E84" s="126" t="s">
        <v>154</v>
      </c>
      <c r="F84" s="94" t="s">
        <v>155</v>
      </c>
      <c r="G84" s="95"/>
      <c r="H84" s="96"/>
      <c r="I84" s="96"/>
      <c r="J84" s="97" t="s">
        <v>914</v>
      </c>
      <c r="K84" s="97"/>
      <c r="L84" s="96"/>
      <c r="M84" s="96"/>
      <c r="N84" s="96"/>
      <c r="O84" s="126"/>
      <c r="P84" s="97"/>
      <c r="Q84" s="97"/>
    </row>
    <row r="85" spans="1:17" ht="22.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96"/>
      <c r="C85" s="196" t="s">
        <v>156</v>
      </c>
      <c r="D85" s="196" t="s">
        <v>15</v>
      </c>
      <c r="E85" s="126" t="s">
        <v>499</v>
      </c>
      <c r="F85" s="94" t="s">
        <v>157</v>
      </c>
      <c r="G85" s="95"/>
      <c r="H85" s="96"/>
      <c r="I85" s="96"/>
      <c r="J85" s="97" t="s">
        <v>914</v>
      </c>
      <c r="K85" s="97"/>
      <c r="L85" s="96"/>
      <c r="M85" s="96"/>
      <c r="N85" s="96"/>
      <c r="O85" s="126"/>
      <c r="P85" s="97"/>
      <c r="Q85" s="97"/>
    </row>
    <row r="86" spans="1:17">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96"/>
      <c r="C86" s="199"/>
      <c r="D86" s="196"/>
      <c r="E86" s="126" t="s">
        <v>147</v>
      </c>
      <c r="F86" s="94" t="s">
        <v>158</v>
      </c>
      <c r="G86" s="95"/>
      <c r="H86" s="96"/>
      <c r="I86" s="96"/>
      <c r="J86" s="97" t="s">
        <v>914</v>
      </c>
      <c r="K86" s="97"/>
      <c r="L86" s="96"/>
      <c r="M86" s="96"/>
      <c r="N86" s="96"/>
      <c r="O86" s="126"/>
      <c r="P86" s="97"/>
      <c r="Q86" s="97"/>
    </row>
    <row r="87" spans="1:17" ht="33.7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96"/>
      <c r="C87" s="198"/>
      <c r="D87" s="198"/>
      <c r="E87" s="198" t="s">
        <v>496</v>
      </c>
      <c r="F87" s="94" t="s">
        <v>160</v>
      </c>
      <c r="G87" s="95"/>
      <c r="H87" s="96"/>
      <c r="I87" s="96"/>
      <c r="J87" s="97" t="s">
        <v>914</v>
      </c>
      <c r="K87" s="97"/>
      <c r="L87" s="96"/>
      <c r="M87" s="96"/>
      <c r="N87" s="96"/>
      <c r="O87" s="126"/>
      <c r="P87" s="97"/>
      <c r="Q87" s="97"/>
    </row>
    <row r="88" spans="1:17" ht="22.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96"/>
      <c r="C88" s="199" t="s">
        <v>161</v>
      </c>
      <c r="D88" s="196" t="s">
        <v>15</v>
      </c>
      <c r="E88" s="199" t="s">
        <v>499</v>
      </c>
      <c r="F88" s="236" t="s">
        <v>162</v>
      </c>
      <c r="G88" s="95"/>
      <c r="H88" s="127"/>
      <c r="I88" s="127"/>
      <c r="J88" s="80" t="s">
        <v>914</v>
      </c>
      <c r="K88" s="96"/>
      <c r="L88" s="96"/>
      <c r="M88" s="96"/>
      <c r="N88" s="96"/>
      <c r="O88" s="126"/>
      <c r="P88" s="97"/>
      <c r="Q88" s="97"/>
    </row>
    <row r="89" spans="1:17" ht="33.7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96"/>
      <c r="C89" s="199"/>
      <c r="D89" s="196"/>
      <c r="E89" s="198"/>
      <c r="F89" s="94" t="s">
        <v>163</v>
      </c>
      <c r="G89" s="95"/>
      <c r="H89" s="96"/>
      <c r="I89" s="96"/>
      <c r="J89" s="97" t="s">
        <v>914</v>
      </c>
      <c r="K89" s="97"/>
      <c r="L89" s="96"/>
      <c r="M89" s="96"/>
      <c r="N89" s="96"/>
      <c r="O89" s="126"/>
      <c r="P89" s="97"/>
      <c r="Q89" s="97"/>
    </row>
    <row r="90" spans="1:17">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96"/>
      <c r="C90" s="199"/>
      <c r="D90" s="196"/>
      <c r="E90" s="126" t="s">
        <v>147</v>
      </c>
      <c r="F90" s="94" t="s">
        <v>164</v>
      </c>
      <c r="G90" s="95"/>
      <c r="H90" s="96"/>
      <c r="I90" s="96"/>
      <c r="J90" s="97" t="s">
        <v>914</v>
      </c>
      <c r="K90" s="97"/>
      <c r="L90" s="96"/>
      <c r="M90" s="96"/>
      <c r="N90" s="96"/>
      <c r="O90" s="126"/>
      <c r="P90" s="97"/>
      <c r="Q90" s="97"/>
    </row>
    <row r="91" spans="1:17" ht="33.7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96"/>
      <c r="C91" s="199"/>
      <c r="D91" s="196"/>
      <c r="E91" s="199" t="s">
        <v>149</v>
      </c>
      <c r="F91" s="94" t="s">
        <v>165</v>
      </c>
      <c r="G91" s="95"/>
      <c r="H91" s="96"/>
      <c r="I91" s="96"/>
      <c r="J91" s="97" t="s">
        <v>914</v>
      </c>
      <c r="K91" s="97"/>
      <c r="L91" s="96"/>
      <c r="M91" s="96"/>
      <c r="N91" s="96"/>
      <c r="O91" s="126"/>
      <c r="P91" s="97"/>
      <c r="Q91" s="97"/>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96"/>
      <c r="C92" s="199"/>
      <c r="D92" s="196"/>
      <c r="E92" s="198"/>
      <c r="F92" s="94" t="s">
        <v>166</v>
      </c>
      <c r="G92" s="95"/>
      <c r="H92" s="96"/>
      <c r="I92" s="96"/>
      <c r="J92" s="97" t="s">
        <v>914</v>
      </c>
      <c r="K92" s="97"/>
      <c r="L92" s="96"/>
      <c r="M92" s="96"/>
      <c r="N92" s="96"/>
      <c r="O92" s="126"/>
      <c r="P92" s="97"/>
      <c r="Q92" s="97"/>
    </row>
    <row r="93" spans="1:17" ht="33.7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96"/>
      <c r="C93" s="198"/>
      <c r="D93" s="198"/>
      <c r="E93" s="198" t="s">
        <v>496</v>
      </c>
      <c r="F93" s="94" t="s">
        <v>167</v>
      </c>
      <c r="G93" s="95"/>
      <c r="H93" s="96"/>
      <c r="I93" s="96"/>
      <c r="J93" s="97" t="s">
        <v>914</v>
      </c>
      <c r="K93" s="97"/>
      <c r="L93" s="96"/>
      <c r="M93" s="96"/>
      <c r="N93" s="96"/>
      <c r="O93" s="126"/>
      <c r="P93" s="97"/>
      <c r="Q93" s="97"/>
    </row>
    <row r="94" spans="1:17" ht="22.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96"/>
      <c r="C94" s="195" t="s">
        <v>168</v>
      </c>
      <c r="D94" s="195" t="s">
        <v>15</v>
      </c>
      <c r="E94" s="199" t="s">
        <v>169</v>
      </c>
      <c r="F94" s="94" t="s">
        <v>170</v>
      </c>
      <c r="G94" s="95"/>
      <c r="H94" s="96"/>
      <c r="I94" s="96"/>
      <c r="J94" s="97" t="s">
        <v>914</v>
      </c>
      <c r="K94" s="97"/>
      <c r="L94" s="96"/>
      <c r="M94" s="96"/>
      <c r="N94" s="96"/>
      <c r="O94" s="126"/>
      <c r="P94" s="97"/>
      <c r="Q94" s="97"/>
    </row>
    <row r="95" spans="1:17" ht="33.7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96"/>
      <c r="C95" s="197"/>
      <c r="D95" s="196"/>
      <c r="E95" s="199"/>
      <c r="F95" s="94" t="s">
        <v>171</v>
      </c>
      <c r="G95" s="95"/>
      <c r="H95" s="96"/>
      <c r="I95" s="96"/>
      <c r="J95" s="97" t="s">
        <v>914</v>
      </c>
      <c r="K95" s="97"/>
      <c r="L95" s="96"/>
      <c r="M95" s="96"/>
      <c r="N95" s="96"/>
      <c r="O95" s="126"/>
      <c r="P95" s="97"/>
      <c r="Q95" s="97"/>
    </row>
    <row r="96" spans="1:17">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96"/>
      <c r="C96" s="197"/>
      <c r="D96" s="196"/>
      <c r="E96" s="199"/>
      <c r="F96" s="94" t="s">
        <v>172</v>
      </c>
      <c r="G96" s="95"/>
      <c r="H96" s="96"/>
      <c r="I96" s="96"/>
      <c r="J96" s="97" t="s">
        <v>914</v>
      </c>
      <c r="K96" s="97"/>
      <c r="L96" s="96"/>
      <c r="M96" s="96"/>
      <c r="N96" s="96"/>
      <c r="O96" s="126"/>
      <c r="P96" s="97"/>
      <c r="Q96" s="97"/>
    </row>
    <row r="97" spans="1:17" ht="33.7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96"/>
      <c r="C97" s="199"/>
      <c r="D97" s="196"/>
      <c r="E97" s="199"/>
      <c r="F97" s="94" t="s">
        <v>173</v>
      </c>
      <c r="G97" s="95"/>
      <c r="H97" s="96"/>
      <c r="I97" s="96"/>
      <c r="J97" s="97" t="s">
        <v>914</v>
      </c>
      <c r="K97" s="97"/>
      <c r="L97" s="96"/>
      <c r="M97" s="96"/>
      <c r="N97" s="96"/>
      <c r="O97" s="126"/>
      <c r="P97" s="97"/>
      <c r="Q97" s="97"/>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96"/>
      <c r="C98" s="199"/>
      <c r="D98" s="196"/>
      <c r="E98" s="198"/>
      <c r="F98" s="94" t="s">
        <v>174</v>
      </c>
      <c r="G98" s="95"/>
      <c r="H98" s="96"/>
      <c r="I98" s="96"/>
      <c r="J98" s="97" t="s">
        <v>914</v>
      </c>
      <c r="K98" s="97"/>
      <c r="L98" s="96"/>
      <c r="M98" s="96"/>
      <c r="N98" s="96"/>
      <c r="O98" s="126"/>
      <c r="P98" s="97"/>
      <c r="Q98" s="97"/>
    </row>
    <row r="99" spans="1:17" ht="22.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96"/>
      <c r="C99" s="197"/>
      <c r="D99" s="196"/>
      <c r="E99" s="199" t="s">
        <v>175</v>
      </c>
      <c r="F99" s="94" t="s">
        <v>176</v>
      </c>
      <c r="G99" s="95"/>
      <c r="H99" s="96"/>
      <c r="I99" s="96"/>
      <c r="J99" s="97" t="s">
        <v>914</v>
      </c>
      <c r="K99" s="97"/>
      <c r="L99" s="96"/>
      <c r="M99" s="96"/>
      <c r="N99" s="96"/>
      <c r="O99" s="126"/>
      <c r="P99" s="97"/>
      <c r="Q99" s="97"/>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96"/>
      <c r="C100" s="196"/>
      <c r="D100" s="196"/>
      <c r="E100" s="199"/>
      <c r="F100" s="94" t="s">
        <v>177</v>
      </c>
      <c r="G100" s="95"/>
      <c r="H100" s="96"/>
      <c r="I100" s="96"/>
      <c r="J100" s="97" t="s">
        <v>914</v>
      </c>
      <c r="K100" s="97"/>
      <c r="L100" s="96"/>
      <c r="M100" s="96"/>
      <c r="N100" s="96"/>
      <c r="O100" s="126"/>
      <c r="P100" s="97"/>
      <c r="Q100" s="97"/>
    </row>
    <row r="101" spans="1:17">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96"/>
      <c r="C101" s="196"/>
      <c r="D101" s="196"/>
      <c r="E101" s="199"/>
      <c r="F101" s="94" t="s">
        <v>178</v>
      </c>
      <c r="G101" s="95"/>
      <c r="H101" s="96"/>
      <c r="I101" s="96"/>
      <c r="J101" s="97" t="s">
        <v>914</v>
      </c>
      <c r="K101" s="97"/>
      <c r="L101" s="96"/>
      <c r="M101" s="96"/>
      <c r="N101" s="96"/>
      <c r="O101" s="126"/>
      <c r="P101" s="97"/>
      <c r="Q101" s="97"/>
    </row>
    <row r="102" spans="1:17" ht="33.7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96"/>
      <c r="C102" s="199"/>
      <c r="D102" s="196"/>
      <c r="E102" s="199"/>
      <c r="F102" s="94" t="s">
        <v>179</v>
      </c>
      <c r="G102" s="95"/>
      <c r="H102" s="96"/>
      <c r="I102" s="96"/>
      <c r="J102" s="97" t="s">
        <v>914</v>
      </c>
      <c r="K102" s="97"/>
      <c r="L102" s="96"/>
      <c r="M102" s="96"/>
      <c r="N102" s="96"/>
      <c r="O102" s="126"/>
      <c r="P102" s="97"/>
      <c r="Q102" s="97"/>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96"/>
      <c r="C103" s="199"/>
      <c r="D103" s="196"/>
      <c r="E103" s="198"/>
      <c r="F103" s="94" t="s">
        <v>180</v>
      </c>
      <c r="G103" s="95"/>
      <c r="H103" s="96"/>
      <c r="I103" s="96"/>
      <c r="J103" s="97" t="s">
        <v>914</v>
      </c>
      <c r="K103" s="97"/>
      <c r="L103" s="96"/>
      <c r="M103" s="96"/>
      <c r="N103" s="96"/>
      <c r="O103" s="126"/>
      <c r="P103" s="97"/>
      <c r="Q103" s="97"/>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96"/>
      <c r="C104" s="198"/>
      <c r="D104" s="196"/>
      <c r="E104" s="200" t="s">
        <v>496</v>
      </c>
      <c r="F104" s="94" t="s">
        <v>181</v>
      </c>
      <c r="G104" s="95"/>
      <c r="H104" s="96"/>
      <c r="I104" s="96"/>
      <c r="J104" s="97" t="s">
        <v>914</v>
      </c>
      <c r="K104" s="97"/>
      <c r="L104" s="96"/>
      <c r="M104" s="96"/>
      <c r="N104" s="96"/>
      <c r="O104" s="126"/>
      <c r="P104" s="97"/>
      <c r="Q104" s="97"/>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95" t="s">
        <v>182</v>
      </c>
      <c r="C105" s="126" t="s">
        <v>183</v>
      </c>
      <c r="D105" s="126" t="s">
        <v>54</v>
      </c>
      <c r="E105" s="126" t="s">
        <v>54</v>
      </c>
      <c r="F105" s="94" t="s">
        <v>184</v>
      </c>
      <c r="G105" s="95"/>
      <c r="H105" s="96"/>
      <c r="I105" s="96"/>
      <c r="J105" s="97" t="s">
        <v>914</v>
      </c>
      <c r="K105" s="97"/>
      <c r="L105" s="96"/>
      <c r="M105" s="96"/>
      <c r="N105" s="96"/>
      <c r="O105" s="126"/>
      <c r="P105" s="97"/>
      <c r="Q105" s="97"/>
    </row>
    <row r="106" spans="1:17">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96"/>
      <c r="C106" s="195" t="s">
        <v>185</v>
      </c>
      <c r="D106" s="195" t="s">
        <v>54</v>
      </c>
      <c r="E106" s="195" t="s">
        <v>54</v>
      </c>
      <c r="F106" s="94" t="s">
        <v>186</v>
      </c>
      <c r="G106" s="95"/>
      <c r="H106" s="96"/>
      <c r="I106" s="96"/>
      <c r="J106" s="97" t="s">
        <v>914</v>
      </c>
      <c r="K106" s="97"/>
      <c r="L106" s="96"/>
      <c r="M106" s="96"/>
      <c r="N106" s="96"/>
      <c r="O106" s="126"/>
      <c r="P106" s="97"/>
      <c r="Q106" s="97"/>
    </row>
    <row r="107" spans="1:17">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96"/>
      <c r="C107" s="198"/>
      <c r="D107" s="198"/>
      <c r="E107" s="198"/>
      <c r="F107" s="94" t="s">
        <v>187</v>
      </c>
      <c r="G107" s="95"/>
      <c r="H107" s="96"/>
      <c r="I107" s="96"/>
      <c r="J107" s="97" t="s">
        <v>914</v>
      </c>
      <c r="K107" s="97"/>
      <c r="L107" s="96"/>
      <c r="M107" s="96"/>
      <c r="N107" s="96"/>
      <c r="O107" s="126"/>
      <c r="P107" s="97"/>
      <c r="Q107" s="97"/>
    </row>
    <row r="108" spans="1:17" ht="22.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96"/>
      <c r="C108" s="126" t="s">
        <v>539</v>
      </c>
      <c r="D108" s="126" t="s">
        <v>54</v>
      </c>
      <c r="E108" s="126" t="s">
        <v>54</v>
      </c>
      <c r="F108" s="94" t="s">
        <v>189</v>
      </c>
      <c r="G108" s="95"/>
      <c r="H108" s="96"/>
      <c r="I108" s="96"/>
      <c r="J108" s="97" t="s">
        <v>914</v>
      </c>
      <c r="K108" s="97"/>
      <c r="L108" s="96"/>
      <c r="M108" s="96"/>
      <c r="N108" s="96"/>
      <c r="O108" s="126"/>
      <c r="P108" s="97"/>
      <c r="Q108" s="97"/>
    </row>
    <row r="109" spans="1:17" ht="22.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96"/>
      <c r="C109" s="196" t="s">
        <v>540</v>
      </c>
      <c r="D109" s="196" t="s">
        <v>54</v>
      </c>
      <c r="E109" s="199" t="s">
        <v>54</v>
      </c>
      <c r="F109" s="94" t="s">
        <v>191</v>
      </c>
      <c r="G109" s="95"/>
      <c r="H109" s="96"/>
      <c r="I109" s="96"/>
      <c r="J109" s="97" t="s">
        <v>914</v>
      </c>
      <c r="K109" s="97"/>
      <c r="L109" s="96"/>
      <c r="M109" s="96"/>
      <c r="N109" s="96"/>
      <c r="O109" s="126"/>
      <c r="P109" s="97"/>
      <c r="Q109" s="97"/>
    </row>
    <row r="110" spans="1:17">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98"/>
      <c r="C110" s="198"/>
      <c r="D110" s="198"/>
      <c r="E110" s="200"/>
      <c r="F110" s="94" t="s">
        <v>192</v>
      </c>
      <c r="G110" s="95"/>
      <c r="H110" s="96"/>
      <c r="I110" s="96"/>
      <c r="J110" s="97" t="s">
        <v>914</v>
      </c>
      <c r="K110" s="97"/>
      <c r="L110" s="96"/>
      <c r="M110" s="96"/>
      <c r="N110" s="96"/>
      <c r="O110" s="126"/>
      <c r="P110" s="97"/>
      <c r="Q110" s="97"/>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95" t="s">
        <v>193</v>
      </c>
      <c r="C111" s="195" t="s">
        <v>194</v>
      </c>
      <c r="D111" s="195" t="s">
        <v>499</v>
      </c>
      <c r="E111" s="241" t="s">
        <v>499</v>
      </c>
      <c r="F111" s="94" t="s">
        <v>195</v>
      </c>
      <c r="G111" s="95"/>
      <c r="H111" s="96"/>
      <c r="I111" s="96"/>
      <c r="J111" s="97" t="s">
        <v>832</v>
      </c>
      <c r="K111" s="97"/>
      <c r="L111" s="96"/>
      <c r="M111" s="96"/>
      <c r="N111" s="96"/>
      <c r="O111" s="126"/>
      <c r="P111" s="97"/>
      <c r="Q111" s="97"/>
    </row>
    <row r="112" spans="1:17" ht="22.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333" t="s">
        <v>541</v>
      </c>
      <c r="C112" s="199"/>
      <c r="D112" s="196"/>
      <c r="E112" s="218"/>
      <c r="F112" s="94" t="s">
        <v>197</v>
      </c>
      <c r="G112" s="95"/>
      <c r="H112" s="96"/>
      <c r="I112" s="96"/>
      <c r="J112" s="97" t="s">
        <v>832</v>
      </c>
      <c r="K112" s="97"/>
      <c r="L112" s="96"/>
      <c r="M112" s="96"/>
      <c r="N112" s="96"/>
      <c r="O112" s="126"/>
      <c r="P112" s="97"/>
      <c r="Q112" s="97"/>
    </row>
    <row r="113" spans="1:17" ht="22.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333"/>
      <c r="C113" s="199"/>
      <c r="D113" s="196"/>
      <c r="E113" s="218"/>
      <c r="F113" s="94" t="s">
        <v>198</v>
      </c>
      <c r="G113" s="95"/>
      <c r="H113" s="96"/>
      <c r="I113" s="96"/>
      <c r="J113" s="97" t="s">
        <v>832</v>
      </c>
      <c r="K113" s="97"/>
      <c r="L113" s="96"/>
      <c r="M113" s="96"/>
      <c r="N113" s="96"/>
      <c r="O113" s="126"/>
      <c r="P113" s="97"/>
      <c r="Q113" s="97"/>
    </row>
    <row r="114" spans="1:17" ht="22.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96"/>
      <c r="C114" s="199"/>
      <c r="D114" s="196"/>
      <c r="E114" s="198"/>
      <c r="F114" s="94" t="s">
        <v>199</v>
      </c>
      <c r="G114" s="95"/>
      <c r="H114" s="96"/>
      <c r="I114" s="96"/>
      <c r="J114" s="97" t="s">
        <v>832</v>
      </c>
      <c r="K114" s="97"/>
      <c r="L114" s="96"/>
      <c r="M114" s="96"/>
      <c r="N114" s="96"/>
      <c r="O114" s="126"/>
      <c r="P114" s="97"/>
      <c r="Q114" s="97"/>
    </row>
    <row r="115" spans="1:17" ht="22.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96"/>
      <c r="C115" s="199"/>
      <c r="D115" s="196"/>
      <c r="E115" s="199" t="s">
        <v>138</v>
      </c>
      <c r="F115" s="94" t="s">
        <v>200</v>
      </c>
      <c r="G115" s="95" t="s">
        <v>620</v>
      </c>
      <c r="H115" s="96"/>
      <c r="I115" s="96"/>
      <c r="J115" s="97"/>
      <c r="K115" s="97"/>
      <c r="L115" s="96"/>
      <c r="M115" s="96"/>
      <c r="N115" s="96"/>
      <c r="O115" s="126"/>
      <c r="P115" s="97"/>
      <c r="Q115" s="97"/>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96"/>
      <c r="C116" s="199"/>
      <c r="D116" s="196"/>
      <c r="E116" s="199"/>
      <c r="F116" s="94" t="s">
        <v>201</v>
      </c>
      <c r="G116" s="95" t="s">
        <v>620</v>
      </c>
      <c r="H116" s="96"/>
      <c r="I116" s="96"/>
      <c r="J116" s="97"/>
      <c r="K116" s="97"/>
      <c r="L116" s="96"/>
      <c r="M116" s="96"/>
      <c r="N116" s="96"/>
      <c r="O116" s="126"/>
      <c r="P116" s="97"/>
      <c r="Q116" s="97"/>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96"/>
      <c r="C117" s="199"/>
      <c r="D117" s="196"/>
      <c r="E117" s="199"/>
      <c r="F117" s="94" t="s">
        <v>202</v>
      </c>
      <c r="G117" s="95" t="s">
        <v>620</v>
      </c>
      <c r="H117" s="96"/>
      <c r="I117" s="96"/>
      <c r="J117" s="97"/>
      <c r="K117" s="97"/>
      <c r="L117" s="96"/>
      <c r="M117" s="96"/>
      <c r="N117" s="96"/>
      <c r="O117" s="126"/>
      <c r="P117" s="97"/>
      <c r="Q117" s="97"/>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96"/>
      <c r="C118" s="199"/>
      <c r="D118" s="196"/>
      <c r="E118" s="199"/>
      <c r="F118" s="94" t="s">
        <v>203</v>
      </c>
      <c r="G118" s="95" t="s">
        <v>620</v>
      </c>
      <c r="H118" s="96"/>
      <c r="I118" s="96"/>
      <c r="J118" s="97"/>
      <c r="K118" s="97"/>
      <c r="L118" s="96"/>
      <c r="M118" s="96"/>
      <c r="N118" s="96"/>
      <c r="O118" s="126"/>
      <c r="P118" s="97"/>
      <c r="Q118" s="97"/>
    </row>
    <row r="119" spans="1:17" ht="33.7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96"/>
      <c r="C119" s="199"/>
      <c r="D119" s="196"/>
      <c r="E119" s="198"/>
      <c r="F119" s="94" t="s">
        <v>204</v>
      </c>
      <c r="G119" s="95" t="s">
        <v>620</v>
      </c>
      <c r="H119" s="96"/>
      <c r="I119" s="96"/>
      <c r="J119" s="97"/>
      <c r="K119" s="97"/>
      <c r="L119" s="96"/>
      <c r="M119" s="96"/>
      <c r="N119" s="96"/>
      <c r="O119" s="126"/>
      <c r="P119" s="97"/>
      <c r="Q119" s="97"/>
    </row>
    <row r="120" spans="1:17" ht="33.7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96"/>
      <c r="C120" s="199"/>
      <c r="D120" s="196"/>
      <c r="E120" s="199" t="s">
        <v>205</v>
      </c>
      <c r="F120" s="94" t="s">
        <v>206</v>
      </c>
      <c r="G120" s="95" t="s">
        <v>620</v>
      </c>
      <c r="H120" s="96"/>
      <c r="I120" s="96"/>
      <c r="J120" s="97"/>
      <c r="K120" s="97"/>
      <c r="L120" s="96"/>
      <c r="M120" s="96"/>
      <c r="N120" s="96"/>
      <c r="O120" s="126"/>
      <c r="P120" s="97"/>
      <c r="Q120" s="97"/>
    </row>
    <row r="121" spans="1:17" ht="33.7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96"/>
      <c r="C121" s="199"/>
      <c r="D121" s="196"/>
      <c r="E121" s="199"/>
      <c r="F121" s="94" t="s">
        <v>207</v>
      </c>
      <c r="G121" s="95" t="s">
        <v>620</v>
      </c>
      <c r="H121" s="96"/>
      <c r="I121" s="96"/>
      <c r="J121" s="97"/>
      <c r="K121" s="97"/>
      <c r="L121" s="96"/>
      <c r="M121" s="96"/>
      <c r="N121" s="96"/>
      <c r="O121" s="126"/>
      <c r="P121" s="97"/>
      <c r="Q121" s="97"/>
    </row>
    <row r="122" spans="1:17" ht="4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96"/>
      <c r="C122" s="199"/>
      <c r="D122" s="196"/>
      <c r="E122" s="199"/>
      <c r="F122" s="94" t="s">
        <v>208</v>
      </c>
      <c r="G122" s="91" t="s">
        <v>599</v>
      </c>
      <c r="H122" s="96"/>
      <c r="I122" s="96"/>
      <c r="J122" s="97"/>
      <c r="K122" s="97"/>
      <c r="L122" s="96"/>
      <c r="M122" s="96"/>
      <c r="N122" s="96"/>
      <c r="O122" s="126"/>
      <c r="P122" s="97"/>
      <c r="Q122" s="97"/>
    </row>
    <row r="123" spans="1:17" ht="4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96"/>
      <c r="C123" s="199"/>
      <c r="D123" s="196"/>
      <c r="E123" s="199"/>
      <c r="F123" s="94" t="s">
        <v>209</v>
      </c>
      <c r="G123" s="91" t="s">
        <v>599</v>
      </c>
      <c r="H123" s="96"/>
      <c r="I123" s="96"/>
      <c r="J123" s="97"/>
      <c r="K123" s="97"/>
      <c r="L123" s="96"/>
      <c r="M123" s="96"/>
      <c r="N123" s="96"/>
      <c r="O123" s="126"/>
      <c r="P123" s="97"/>
      <c r="Q123" s="97"/>
    </row>
    <row r="124" spans="1:17" ht="33.7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96"/>
      <c r="C124" s="199"/>
      <c r="D124" s="196"/>
      <c r="E124" s="198"/>
      <c r="F124" s="94" t="s">
        <v>210</v>
      </c>
      <c r="G124" s="91" t="s">
        <v>599</v>
      </c>
      <c r="H124" s="96"/>
      <c r="I124" s="96"/>
      <c r="J124" s="97"/>
      <c r="K124" s="97"/>
      <c r="L124" s="96"/>
      <c r="M124" s="96"/>
      <c r="N124" s="96"/>
      <c r="O124" s="126"/>
      <c r="P124" s="97"/>
      <c r="Q124" s="97"/>
    </row>
    <row r="125" spans="1:17" ht="33.7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96"/>
      <c r="C125" s="199"/>
      <c r="D125" s="198"/>
      <c r="E125" s="198" t="s">
        <v>542</v>
      </c>
      <c r="F125" s="94" t="s">
        <v>212</v>
      </c>
      <c r="G125" s="95" t="s">
        <v>620</v>
      </c>
      <c r="H125" s="96"/>
      <c r="I125" s="96"/>
      <c r="J125" s="97"/>
      <c r="K125" s="97"/>
      <c r="L125" s="96"/>
      <c r="M125" s="96"/>
      <c r="N125" s="96"/>
      <c r="O125" s="126"/>
      <c r="P125" s="97"/>
      <c r="Q125" s="97"/>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96"/>
      <c r="C126" s="200"/>
      <c r="D126" s="198" t="s">
        <v>496</v>
      </c>
      <c r="E126" s="198" t="s">
        <v>499</v>
      </c>
      <c r="F126" s="94" t="s">
        <v>213</v>
      </c>
      <c r="G126" s="95"/>
      <c r="H126" s="96"/>
      <c r="I126" s="96"/>
      <c r="J126" s="97" t="s">
        <v>832</v>
      </c>
      <c r="K126" s="97"/>
      <c r="L126" s="96"/>
      <c r="M126" s="96"/>
      <c r="N126" s="96"/>
      <c r="O126" s="126"/>
      <c r="P126" s="97"/>
      <c r="Q126" s="97"/>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96"/>
      <c r="C127" s="196" t="s">
        <v>528</v>
      </c>
      <c r="D127" s="196" t="s">
        <v>214</v>
      </c>
      <c r="E127" s="126" t="s">
        <v>215</v>
      </c>
      <c r="F127" s="94" t="s">
        <v>216</v>
      </c>
      <c r="G127" s="91" t="s">
        <v>599</v>
      </c>
      <c r="H127" s="96"/>
      <c r="I127" s="96"/>
      <c r="J127" s="97"/>
      <c r="K127" s="97"/>
      <c r="L127" s="96"/>
      <c r="M127" s="96"/>
      <c r="N127" s="96"/>
      <c r="O127" s="126"/>
      <c r="P127" s="97"/>
      <c r="Q127" s="97"/>
    </row>
    <row r="128" spans="1:17" ht="22.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96"/>
      <c r="C128" s="196"/>
      <c r="D128" s="196"/>
      <c r="E128" s="199" t="s">
        <v>543</v>
      </c>
      <c r="F128" s="94" t="s">
        <v>218</v>
      </c>
      <c r="G128" s="95" t="s">
        <v>620</v>
      </c>
      <c r="H128" s="96"/>
      <c r="I128" s="96"/>
      <c r="J128" s="97"/>
      <c r="K128" s="97"/>
      <c r="L128" s="96"/>
      <c r="M128" s="96"/>
      <c r="N128" s="96"/>
      <c r="O128" s="126"/>
      <c r="P128" s="97"/>
      <c r="Q128" s="97"/>
    </row>
    <row r="129" spans="1:17" ht="22.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96"/>
      <c r="C129" s="196"/>
      <c r="D129" s="196"/>
      <c r="E129" s="199"/>
      <c r="F129" s="94" t="s">
        <v>219</v>
      </c>
      <c r="G129" s="95" t="s">
        <v>620</v>
      </c>
      <c r="H129" s="96"/>
      <c r="I129" s="96"/>
      <c r="J129" s="97"/>
      <c r="K129" s="97"/>
      <c r="L129" s="96"/>
      <c r="M129" s="96"/>
      <c r="N129" s="96"/>
      <c r="O129" s="126"/>
      <c r="P129" s="97"/>
      <c r="Q129" s="97"/>
    </row>
    <row r="130" spans="1:17" ht="4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98"/>
      <c r="C130" s="198"/>
      <c r="D130" s="198"/>
      <c r="E130" s="200"/>
      <c r="F130" s="94" t="s">
        <v>220</v>
      </c>
      <c r="G130" s="95" t="s">
        <v>620</v>
      </c>
      <c r="H130" s="96"/>
      <c r="I130" s="96"/>
      <c r="J130" s="97"/>
      <c r="K130" s="97"/>
      <c r="L130" s="96"/>
      <c r="M130" s="96"/>
      <c r="N130" s="96"/>
      <c r="O130" s="126"/>
      <c r="P130" s="97"/>
      <c r="Q130" s="97"/>
    </row>
    <row r="131" spans="1:17" ht="22.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95" t="s">
        <v>221</v>
      </c>
      <c r="C131" s="195" t="s">
        <v>194</v>
      </c>
      <c r="D131" s="195" t="s">
        <v>499</v>
      </c>
      <c r="E131" s="241" t="s">
        <v>499</v>
      </c>
      <c r="F131" s="94" t="s">
        <v>222</v>
      </c>
      <c r="G131" s="91"/>
      <c r="H131" s="96"/>
      <c r="I131" s="96"/>
      <c r="J131" s="97" t="s">
        <v>833</v>
      </c>
      <c r="K131" s="97"/>
      <c r="L131" s="96"/>
      <c r="M131" s="96"/>
      <c r="N131" s="96"/>
      <c r="O131" s="126"/>
      <c r="P131" s="97"/>
      <c r="Q131" s="97"/>
    </row>
    <row r="132" spans="1:17" ht="22.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333" t="s">
        <v>223</v>
      </c>
      <c r="C132" s="199"/>
      <c r="D132" s="196"/>
      <c r="E132" s="199"/>
      <c r="F132" s="94" t="s">
        <v>224</v>
      </c>
      <c r="G132" s="91" t="s">
        <v>600</v>
      </c>
      <c r="H132" s="96"/>
      <c r="I132" s="96"/>
      <c r="J132" s="97"/>
      <c r="K132" s="97"/>
      <c r="L132" s="96"/>
      <c r="M132" s="96"/>
      <c r="N132" s="96"/>
      <c r="O132" s="126"/>
      <c r="P132" s="97"/>
      <c r="Q132" s="97"/>
    </row>
    <row r="133" spans="1:17" ht="22.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333"/>
      <c r="C133" s="199"/>
      <c r="D133" s="196"/>
      <c r="E133" s="199"/>
      <c r="F133" s="94" t="s">
        <v>225</v>
      </c>
      <c r="G133" s="91" t="s">
        <v>600</v>
      </c>
      <c r="H133" s="96"/>
      <c r="I133" s="96"/>
      <c r="J133" s="97"/>
      <c r="K133" s="97"/>
      <c r="L133" s="96"/>
      <c r="M133" s="96"/>
      <c r="N133" s="96"/>
      <c r="O133" s="126"/>
      <c r="P133" s="97"/>
      <c r="Q133" s="97"/>
    </row>
    <row r="134" spans="1:17" ht="22.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96"/>
      <c r="C134" s="199"/>
      <c r="D134" s="196"/>
      <c r="E134" s="198"/>
      <c r="F134" s="94" t="s">
        <v>226</v>
      </c>
      <c r="G134" s="91" t="s">
        <v>600</v>
      </c>
      <c r="H134" s="96"/>
      <c r="I134" s="96"/>
      <c r="J134" s="97"/>
      <c r="K134" s="97"/>
      <c r="L134" s="96"/>
      <c r="M134" s="96"/>
      <c r="N134" s="96"/>
      <c r="O134" s="126"/>
      <c r="P134" s="97"/>
      <c r="Q134" s="97"/>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96"/>
      <c r="C135" s="199"/>
      <c r="D135" s="196"/>
      <c r="E135" s="199" t="s">
        <v>227</v>
      </c>
      <c r="F135" s="94" t="s">
        <v>228</v>
      </c>
      <c r="G135" s="91"/>
      <c r="H135" s="96"/>
      <c r="I135" s="96"/>
      <c r="J135" s="97" t="s">
        <v>833</v>
      </c>
      <c r="K135" s="97"/>
      <c r="L135" s="96"/>
      <c r="M135" s="96"/>
      <c r="N135" s="96"/>
      <c r="O135" s="126"/>
      <c r="P135" s="97"/>
      <c r="Q135" s="97"/>
    </row>
    <row r="136" spans="1:17" ht="33.7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96"/>
      <c r="C136" s="199"/>
      <c r="D136" s="198"/>
      <c r="E136" s="198"/>
      <c r="F136" s="94" t="s">
        <v>229</v>
      </c>
      <c r="G136" s="91"/>
      <c r="H136" s="96"/>
      <c r="I136" s="96"/>
      <c r="J136" s="97" t="s">
        <v>833</v>
      </c>
      <c r="K136" s="97"/>
      <c r="L136" s="96"/>
      <c r="M136" s="96"/>
      <c r="N136" s="96"/>
      <c r="O136" s="126"/>
      <c r="P136" s="97"/>
      <c r="Q136" s="97"/>
    </row>
    <row r="137" spans="1:17" ht="33.7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96"/>
      <c r="C137" s="200"/>
      <c r="D137" s="198" t="s">
        <v>496</v>
      </c>
      <c r="E137" s="198" t="s">
        <v>499</v>
      </c>
      <c r="F137" s="94" t="s">
        <v>230</v>
      </c>
      <c r="G137" s="95"/>
      <c r="H137" s="96"/>
      <c r="I137" s="96"/>
      <c r="J137" s="97" t="s">
        <v>833</v>
      </c>
      <c r="K137" s="97"/>
      <c r="L137" s="96"/>
      <c r="M137" s="96"/>
      <c r="N137" s="96"/>
      <c r="O137" s="126"/>
      <c r="P137" s="97"/>
      <c r="Q137" s="97"/>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96"/>
      <c r="C138" s="199" t="s">
        <v>231</v>
      </c>
      <c r="D138" s="196" t="s">
        <v>214</v>
      </c>
      <c r="E138" s="126" t="s">
        <v>232</v>
      </c>
      <c r="F138" s="94" t="s">
        <v>233</v>
      </c>
      <c r="G138" s="95" t="s">
        <v>620</v>
      </c>
      <c r="H138" s="96"/>
      <c r="I138" s="96"/>
      <c r="J138" s="97"/>
      <c r="K138" s="97"/>
      <c r="L138" s="96"/>
      <c r="M138" s="96"/>
      <c r="N138" s="96"/>
      <c r="O138" s="126"/>
      <c r="P138" s="97"/>
      <c r="Q138" s="97"/>
    </row>
    <row r="139" spans="1:17" ht="33.7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96"/>
      <c r="C139" s="199"/>
      <c r="D139" s="196"/>
      <c r="E139" s="126" t="s">
        <v>234</v>
      </c>
      <c r="F139" s="94" t="s">
        <v>235</v>
      </c>
      <c r="G139" s="95" t="s">
        <v>620</v>
      </c>
      <c r="H139" s="96"/>
      <c r="I139" s="96"/>
      <c r="J139" s="97"/>
      <c r="K139" s="97"/>
      <c r="L139" s="96"/>
      <c r="M139" s="96"/>
      <c r="N139" s="96"/>
      <c r="O139" s="126"/>
      <c r="P139" s="97"/>
      <c r="Q139" s="97"/>
    </row>
    <row r="140" spans="1:17" ht="33.7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96"/>
      <c r="C140" s="199"/>
      <c r="D140" s="196"/>
      <c r="E140" s="126" t="s">
        <v>236</v>
      </c>
      <c r="F140" s="94" t="s">
        <v>237</v>
      </c>
      <c r="G140" s="95" t="s">
        <v>620</v>
      </c>
      <c r="H140" s="96"/>
      <c r="I140" s="96"/>
      <c r="J140" s="97"/>
      <c r="K140" s="97"/>
      <c r="L140" s="96"/>
      <c r="M140" s="96"/>
      <c r="N140" s="96"/>
      <c r="O140" s="126"/>
      <c r="P140" s="97"/>
      <c r="Q140" s="97"/>
    </row>
    <row r="141" spans="1:17" ht="33.7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96"/>
      <c r="C141" s="199"/>
      <c r="D141" s="196"/>
      <c r="E141" s="126" t="s">
        <v>215</v>
      </c>
      <c r="F141" s="94" t="s">
        <v>238</v>
      </c>
      <c r="G141" s="91" t="s">
        <v>602</v>
      </c>
      <c r="H141" s="96"/>
      <c r="I141" s="96"/>
      <c r="J141" s="97"/>
      <c r="K141" s="97"/>
      <c r="L141" s="96"/>
      <c r="M141" s="96"/>
      <c r="N141" s="96"/>
      <c r="O141" s="126"/>
      <c r="P141" s="97"/>
      <c r="Q141" s="97"/>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96"/>
      <c r="C142" s="199"/>
      <c r="D142" s="196"/>
      <c r="E142" s="126" t="s">
        <v>544</v>
      </c>
      <c r="F142" s="94" t="s">
        <v>240</v>
      </c>
      <c r="G142" s="95" t="s">
        <v>620</v>
      </c>
      <c r="H142" s="96"/>
      <c r="I142" s="96"/>
      <c r="J142" s="97"/>
      <c r="K142" s="97"/>
      <c r="L142" s="96"/>
      <c r="M142" s="96"/>
      <c r="N142" s="96"/>
      <c r="O142" s="126"/>
      <c r="P142" s="97"/>
      <c r="Q142" s="97"/>
    </row>
    <row r="143" spans="1:17" ht="22.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96"/>
      <c r="C143" s="199"/>
      <c r="D143" s="196"/>
      <c r="E143" s="218" t="s">
        <v>545</v>
      </c>
      <c r="F143" s="94" t="s">
        <v>242</v>
      </c>
      <c r="G143" s="91" t="s">
        <v>603</v>
      </c>
      <c r="H143" s="96"/>
      <c r="I143" s="96"/>
      <c r="J143" s="97"/>
      <c r="K143" s="97"/>
      <c r="L143" s="96"/>
      <c r="M143" s="96"/>
      <c r="N143" s="96"/>
      <c r="O143" s="126"/>
      <c r="P143" s="97"/>
      <c r="Q143" s="97"/>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96"/>
      <c r="C144" s="199"/>
      <c r="D144" s="196"/>
      <c r="E144" s="218"/>
      <c r="F144" s="94" t="s">
        <v>243</v>
      </c>
      <c r="G144" s="91" t="s">
        <v>603</v>
      </c>
      <c r="H144" s="96"/>
      <c r="I144" s="96"/>
      <c r="J144" s="97"/>
      <c r="K144" s="97"/>
      <c r="L144" s="96"/>
      <c r="M144" s="96"/>
      <c r="N144" s="96"/>
      <c r="O144" s="126"/>
      <c r="P144" s="97"/>
      <c r="Q144" s="97"/>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96"/>
      <c r="C145" s="199"/>
      <c r="D145" s="196"/>
      <c r="E145" s="218"/>
      <c r="F145" s="94" t="s">
        <v>244</v>
      </c>
      <c r="G145" s="91" t="s">
        <v>603</v>
      </c>
      <c r="H145" s="96"/>
      <c r="I145" s="96"/>
      <c r="J145" s="97"/>
      <c r="K145" s="97"/>
      <c r="L145" s="96"/>
      <c r="M145" s="96"/>
      <c r="N145" s="96"/>
      <c r="O145" s="126"/>
      <c r="P145" s="97"/>
      <c r="Q145" s="97"/>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96"/>
      <c r="C146" s="199"/>
      <c r="D146" s="196"/>
      <c r="E146" s="218"/>
      <c r="F146" s="94" t="s">
        <v>245</v>
      </c>
      <c r="G146" s="91" t="s">
        <v>603</v>
      </c>
      <c r="H146" s="96"/>
      <c r="I146" s="96"/>
      <c r="J146" s="97"/>
      <c r="K146" s="97"/>
      <c r="L146" s="96"/>
      <c r="M146" s="96"/>
      <c r="N146" s="96"/>
      <c r="O146" s="126"/>
      <c r="P146" s="97"/>
      <c r="Q146" s="97"/>
    </row>
    <row r="147" spans="1:17" ht="22.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96"/>
      <c r="C147" s="199"/>
      <c r="D147" s="196"/>
      <c r="E147" s="218"/>
      <c r="F147" s="94" t="s">
        <v>246</v>
      </c>
      <c r="G147" s="91" t="s">
        <v>603</v>
      </c>
      <c r="H147" s="96"/>
      <c r="I147" s="96"/>
      <c r="J147" s="97"/>
      <c r="K147" s="97"/>
      <c r="L147" s="96"/>
      <c r="M147" s="96"/>
      <c r="N147" s="96"/>
      <c r="O147" s="126"/>
      <c r="P147" s="97"/>
      <c r="Q147" s="97"/>
    </row>
    <row r="148" spans="1:17" ht="22.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96"/>
      <c r="C148" s="199"/>
      <c r="D148" s="198"/>
      <c r="E148" s="198"/>
      <c r="F148" s="94" t="s">
        <v>247</v>
      </c>
      <c r="G148" s="91" t="s">
        <v>603</v>
      </c>
      <c r="H148" s="96"/>
      <c r="I148" s="96"/>
      <c r="J148" s="97"/>
      <c r="K148" s="97"/>
      <c r="L148" s="96"/>
      <c r="M148" s="96"/>
      <c r="N148" s="96"/>
      <c r="O148" s="126"/>
      <c r="P148" s="97"/>
      <c r="Q148" s="97"/>
    </row>
    <row r="149" spans="1:17" ht="22.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96"/>
      <c r="C149" s="199"/>
      <c r="D149" s="196" t="s">
        <v>248</v>
      </c>
      <c r="E149" s="195" t="s">
        <v>499</v>
      </c>
      <c r="F149" s="94" t="s">
        <v>249</v>
      </c>
      <c r="G149" s="95" t="s">
        <v>620</v>
      </c>
      <c r="H149" s="96"/>
      <c r="I149" s="96"/>
      <c r="J149" s="97"/>
      <c r="K149" s="97"/>
      <c r="L149" s="96"/>
      <c r="M149" s="96"/>
      <c r="N149" s="96"/>
      <c r="O149" s="126"/>
      <c r="P149" s="97"/>
      <c r="Q149" s="97"/>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96"/>
      <c r="C150" s="199"/>
      <c r="D150" s="196"/>
      <c r="E150" s="198"/>
      <c r="F150" s="94" t="s">
        <v>250</v>
      </c>
      <c r="G150" s="95" t="s">
        <v>620</v>
      </c>
      <c r="H150" s="96"/>
      <c r="I150" s="96"/>
      <c r="J150" s="97"/>
      <c r="K150" s="97"/>
      <c r="L150" s="96"/>
      <c r="M150" s="96"/>
      <c r="N150" s="96"/>
      <c r="O150" s="126"/>
      <c r="P150" s="97"/>
      <c r="Q150" s="97"/>
    </row>
    <row r="151" spans="1:17" ht="33.7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96"/>
      <c r="C151" s="199"/>
      <c r="D151" s="196"/>
      <c r="E151" s="199" t="s">
        <v>127</v>
      </c>
      <c r="F151" s="94" t="s">
        <v>251</v>
      </c>
      <c r="G151" s="95" t="s">
        <v>620</v>
      </c>
      <c r="H151" s="96"/>
      <c r="I151" s="96"/>
      <c r="J151" s="97"/>
      <c r="K151" s="97"/>
      <c r="L151" s="96"/>
      <c r="M151" s="96"/>
      <c r="N151" s="96"/>
      <c r="O151" s="126"/>
      <c r="P151" s="97"/>
      <c r="Q151" s="97"/>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96"/>
      <c r="C152" s="199"/>
      <c r="D152" s="196"/>
      <c r="E152" s="218"/>
      <c r="F152" s="94" t="s">
        <v>252</v>
      </c>
      <c r="G152" s="95" t="s">
        <v>620</v>
      </c>
      <c r="H152" s="96"/>
      <c r="I152" s="96"/>
      <c r="J152" s="97"/>
      <c r="K152" s="97"/>
      <c r="L152" s="96"/>
      <c r="M152" s="96"/>
      <c r="N152" s="96"/>
      <c r="O152" s="126"/>
      <c r="P152" s="97"/>
      <c r="Q152" s="97"/>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96"/>
      <c r="C153" s="199"/>
      <c r="D153" s="196"/>
      <c r="E153" s="218"/>
      <c r="F153" s="94" t="s">
        <v>546</v>
      </c>
      <c r="G153" s="95" t="s">
        <v>620</v>
      </c>
      <c r="H153" s="96"/>
      <c r="I153" s="96"/>
      <c r="J153" s="97"/>
      <c r="K153" s="97"/>
      <c r="L153" s="96"/>
      <c r="M153" s="96"/>
      <c r="N153" s="96"/>
      <c r="O153" s="126"/>
      <c r="P153" s="97"/>
      <c r="Q153" s="97"/>
    </row>
    <row r="154" spans="1:17" ht="33.7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96"/>
      <c r="C154" s="199"/>
      <c r="D154" s="196"/>
      <c r="E154" s="218"/>
      <c r="F154" s="94" t="s">
        <v>547</v>
      </c>
      <c r="G154" s="95" t="s">
        <v>620</v>
      </c>
      <c r="H154" s="96"/>
      <c r="I154" s="96"/>
      <c r="J154" s="97"/>
      <c r="K154" s="97"/>
      <c r="L154" s="96"/>
      <c r="M154" s="96"/>
      <c r="N154" s="96"/>
      <c r="O154" s="126"/>
      <c r="P154" s="97"/>
      <c r="Q154" s="97"/>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96"/>
      <c r="C155" s="199"/>
      <c r="D155" s="196"/>
      <c r="E155" s="218"/>
      <c r="F155" s="94" t="s">
        <v>255</v>
      </c>
      <c r="G155" s="95" t="s">
        <v>620</v>
      </c>
      <c r="H155" s="96"/>
      <c r="I155" s="96"/>
      <c r="J155" s="97"/>
      <c r="K155" s="97"/>
      <c r="L155" s="96"/>
      <c r="M155" s="96"/>
      <c r="N155" s="96"/>
      <c r="O155" s="126"/>
      <c r="P155" s="97"/>
      <c r="Q155" s="97"/>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96"/>
      <c r="C156" s="199"/>
      <c r="D156" s="196"/>
      <c r="E156" s="218"/>
      <c r="F156" s="94" t="s">
        <v>256</v>
      </c>
      <c r="G156" s="95" t="s">
        <v>620</v>
      </c>
      <c r="H156" s="96"/>
      <c r="I156" s="96"/>
      <c r="J156" s="97"/>
      <c r="K156" s="97"/>
      <c r="L156" s="96"/>
      <c r="M156" s="96"/>
      <c r="N156" s="96"/>
      <c r="O156" s="126"/>
      <c r="P156" s="97"/>
      <c r="Q156" s="97"/>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96"/>
      <c r="C157" s="199"/>
      <c r="D157" s="196"/>
      <c r="E157" s="218"/>
      <c r="F157" s="94" t="s">
        <v>257</v>
      </c>
      <c r="G157" s="95" t="s">
        <v>620</v>
      </c>
      <c r="H157" s="96"/>
      <c r="I157" s="96"/>
      <c r="J157" s="97"/>
      <c r="K157" s="97"/>
      <c r="L157" s="96"/>
      <c r="M157" s="96"/>
      <c r="N157" s="96"/>
      <c r="O157" s="126"/>
      <c r="P157" s="97"/>
      <c r="Q157" s="97"/>
    </row>
    <row r="158" spans="1:17" ht="33.7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96"/>
      <c r="C158" s="199"/>
      <c r="D158" s="196"/>
      <c r="E158" s="218"/>
      <c r="F158" s="94" t="s">
        <v>258</v>
      </c>
      <c r="G158" s="95" t="s">
        <v>620</v>
      </c>
      <c r="H158" s="96"/>
      <c r="I158" s="96"/>
      <c r="J158" s="97"/>
      <c r="K158" s="97"/>
      <c r="L158" s="96"/>
      <c r="M158" s="96"/>
      <c r="N158" s="96"/>
      <c r="O158" s="126"/>
      <c r="P158" s="97"/>
      <c r="Q158" s="97"/>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96"/>
      <c r="C159" s="199"/>
      <c r="D159" s="196"/>
      <c r="E159" s="218"/>
      <c r="F159" s="94" t="s">
        <v>259</v>
      </c>
      <c r="G159" s="95" t="s">
        <v>620</v>
      </c>
      <c r="H159" s="96"/>
      <c r="I159" s="96"/>
      <c r="J159" s="97"/>
      <c r="K159" s="97"/>
      <c r="L159" s="96"/>
      <c r="M159" s="96"/>
      <c r="N159" s="96"/>
      <c r="O159" s="126"/>
      <c r="P159" s="97"/>
      <c r="Q159" s="97"/>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96"/>
      <c r="C160" s="199"/>
      <c r="D160" s="196"/>
      <c r="E160" s="218"/>
      <c r="F160" s="94" t="s">
        <v>260</v>
      </c>
      <c r="G160" s="95" t="s">
        <v>620</v>
      </c>
      <c r="H160" s="96"/>
      <c r="I160" s="96"/>
      <c r="J160" s="97"/>
      <c r="K160" s="97"/>
      <c r="L160" s="96"/>
      <c r="M160" s="96"/>
      <c r="N160" s="96"/>
      <c r="O160" s="126"/>
      <c r="P160" s="97"/>
      <c r="Q160" s="97"/>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96"/>
      <c r="C161" s="199"/>
      <c r="D161" s="196"/>
      <c r="E161" s="198"/>
      <c r="F161" s="94" t="s">
        <v>261</v>
      </c>
      <c r="G161" s="95" t="s">
        <v>620</v>
      </c>
      <c r="H161" s="96"/>
      <c r="I161" s="96"/>
      <c r="J161" s="97"/>
      <c r="K161" s="97"/>
      <c r="L161" s="96"/>
      <c r="M161" s="96"/>
      <c r="N161" s="96"/>
      <c r="O161" s="126"/>
      <c r="P161" s="97"/>
      <c r="Q161" s="97"/>
    </row>
    <row r="162" spans="1:17">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96"/>
      <c r="C162" s="199"/>
      <c r="D162" s="196"/>
      <c r="E162" s="199" t="s">
        <v>61</v>
      </c>
      <c r="F162" s="94" t="s">
        <v>262</v>
      </c>
      <c r="G162" s="95" t="s">
        <v>620</v>
      </c>
      <c r="H162" s="96"/>
      <c r="I162" s="96"/>
      <c r="J162" s="97"/>
      <c r="K162" s="97"/>
      <c r="L162" s="96"/>
      <c r="M162" s="96"/>
      <c r="N162" s="96"/>
      <c r="O162" s="126"/>
      <c r="P162" s="97"/>
      <c r="Q162" s="97"/>
    </row>
    <row r="163" spans="1:17">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96"/>
      <c r="C163" s="199"/>
      <c r="D163" s="196"/>
      <c r="E163" s="199"/>
      <c r="F163" s="94" t="s">
        <v>263</v>
      </c>
      <c r="G163" s="95" t="s">
        <v>620</v>
      </c>
      <c r="H163" s="96"/>
      <c r="I163" s="96"/>
      <c r="J163" s="97"/>
      <c r="K163" s="97"/>
      <c r="L163" s="96"/>
      <c r="M163" s="96"/>
      <c r="N163" s="96"/>
      <c r="O163" s="126"/>
      <c r="P163" s="97"/>
      <c r="Q163" s="97"/>
    </row>
    <row r="164" spans="1:17" ht="22.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96"/>
      <c r="C164" s="199"/>
      <c r="D164" s="196"/>
      <c r="E164" s="199"/>
      <c r="F164" s="94" t="s">
        <v>264</v>
      </c>
      <c r="G164" s="95" t="s">
        <v>620</v>
      </c>
      <c r="H164" s="96"/>
      <c r="I164" s="96"/>
      <c r="J164" s="97"/>
      <c r="K164" s="97"/>
      <c r="L164" s="96"/>
      <c r="M164" s="96"/>
      <c r="N164" s="96"/>
      <c r="O164" s="126"/>
      <c r="P164" s="97"/>
      <c r="Q164" s="97"/>
    </row>
    <row r="165" spans="1:17" ht="22.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96"/>
      <c r="C165" s="199"/>
      <c r="D165" s="196"/>
      <c r="E165" s="199"/>
      <c r="F165" s="94" t="s">
        <v>265</v>
      </c>
      <c r="G165" s="95" t="s">
        <v>620</v>
      </c>
      <c r="H165" s="96"/>
      <c r="I165" s="96"/>
      <c r="J165" s="97"/>
      <c r="K165" s="97"/>
      <c r="L165" s="96"/>
      <c r="M165" s="96"/>
      <c r="N165" s="96"/>
      <c r="O165" s="126"/>
      <c r="P165" s="97"/>
      <c r="Q165" s="97"/>
    </row>
    <row r="166" spans="1:17" ht="22.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96"/>
      <c r="C166" s="199"/>
      <c r="D166" s="196"/>
      <c r="E166" s="199"/>
      <c r="F166" s="94" t="s">
        <v>266</v>
      </c>
      <c r="G166" s="95" t="s">
        <v>620</v>
      </c>
      <c r="H166" s="96"/>
      <c r="I166" s="96"/>
      <c r="J166" s="97"/>
      <c r="K166" s="97"/>
      <c r="L166" s="96"/>
      <c r="M166" s="96"/>
      <c r="N166" s="96"/>
      <c r="O166" s="126"/>
      <c r="P166" s="97"/>
      <c r="Q166" s="97"/>
    </row>
    <row r="167" spans="1:17" ht="33.7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96"/>
      <c r="C167" s="199"/>
      <c r="D167" s="196"/>
      <c r="E167" s="199"/>
      <c r="F167" s="94" t="s">
        <v>267</v>
      </c>
      <c r="G167" s="95" t="s">
        <v>620</v>
      </c>
      <c r="H167" s="96"/>
      <c r="I167" s="96"/>
      <c r="J167" s="97"/>
      <c r="K167" s="97"/>
      <c r="L167" s="96"/>
      <c r="M167" s="96"/>
      <c r="N167" s="96"/>
      <c r="O167" s="126"/>
      <c r="P167" s="97"/>
      <c r="Q167" s="97"/>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98"/>
      <c r="C168" s="200"/>
      <c r="D168" s="198"/>
      <c r="E168" s="200"/>
      <c r="F168" s="94" t="s">
        <v>268</v>
      </c>
      <c r="G168" s="91" t="s">
        <v>603</v>
      </c>
      <c r="H168" s="96"/>
      <c r="I168" s="96"/>
      <c r="J168" s="97"/>
      <c r="K168" s="97"/>
      <c r="L168" s="96"/>
      <c r="M168" s="96"/>
      <c r="N168" s="96"/>
      <c r="O168" s="126"/>
      <c r="P168" s="97"/>
      <c r="Q168" s="97"/>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95"/>
      <c r="C169" s="242"/>
      <c r="D169" s="195"/>
      <c r="E169" s="242" t="s">
        <v>205</v>
      </c>
      <c r="F169" s="94" t="s">
        <v>269</v>
      </c>
      <c r="G169" s="95" t="s">
        <v>620</v>
      </c>
      <c r="H169" s="96"/>
      <c r="I169" s="96"/>
      <c r="J169" s="97"/>
      <c r="K169" s="97"/>
      <c r="L169" s="96"/>
      <c r="M169" s="96"/>
      <c r="N169" s="96"/>
      <c r="O169" s="126"/>
      <c r="P169" s="97"/>
      <c r="Q169" s="97"/>
    </row>
    <row r="170" spans="1:17" ht="33.7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96"/>
      <c r="C170" s="199"/>
      <c r="D170" s="196"/>
      <c r="E170" s="199"/>
      <c r="F170" s="94" t="s">
        <v>270</v>
      </c>
      <c r="G170" s="95" t="s">
        <v>620</v>
      </c>
      <c r="H170" s="96"/>
      <c r="I170" s="96"/>
      <c r="J170" s="97"/>
      <c r="K170" s="97"/>
      <c r="L170" s="96"/>
      <c r="M170" s="96"/>
      <c r="N170" s="96"/>
      <c r="O170" s="126"/>
      <c r="P170" s="97"/>
      <c r="Q170" s="97"/>
    </row>
    <row r="171" spans="1:17" ht="33.7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96"/>
      <c r="C171" s="199"/>
      <c r="D171" s="196"/>
      <c r="E171" s="199"/>
      <c r="F171" s="94" t="s">
        <v>271</v>
      </c>
      <c r="G171" s="95" t="s">
        <v>620</v>
      </c>
      <c r="H171" s="96"/>
      <c r="I171" s="96"/>
      <c r="J171" s="97"/>
      <c r="K171" s="97"/>
      <c r="L171" s="96"/>
      <c r="M171" s="96"/>
      <c r="N171" s="96"/>
      <c r="O171" s="126"/>
      <c r="P171" s="97"/>
      <c r="Q171" s="97"/>
    </row>
    <row r="172" spans="1:17" ht="4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96"/>
      <c r="C172" s="199"/>
      <c r="D172" s="196"/>
      <c r="E172" s="199"/>
      <c r="F172" s="94" t="s">
        <v>272</v>
      </c>
      <c r="G172" s="95" t="s">
        <v>620</v>
      </c>
      <c r="H172" s="96"/>
      <c r="I172" s="96"/>
      <c r="J172" s="97"/>
      <c r="K172" s="97"/>
      <c r="L172" s="96"/>
      <c r="M172" s="96"/>
      <c r="N172" s="96"/>
      <c r="O172" s="126"/>
      <c r="P172" s="97"/>
      <c r="Q172" s="97"/>
    </row>
    <row r="173" spans="1:17" ht="4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96"/>
      <c r="C173" s="199"/>
      <c r="D173" s="196"/>
      <c r="E173" s="199"/>
      <c r="F173" s="94" t="s">
        <v>273</v>
      </c>
      <c r="G173" s="95" t="s">
        <v>620</v>
      </c>
      <c r="H173" s="96"/>
      <c r="I173" s="96"/>
      <c r="J173" s="97"/>
      <c r="K173" s="97"/>
      <c r="L173" s="96"/>
      <c r="M173" s="96"/>
      <c r="N173" s="96"/>
      <c r="O173" s="126"/>
      <c r="P173" s="97"/>
      <c r="Q173" s="97"/>
    </row>
    <row r="174" spans="1:17" ht="33.7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96"/>
      <c r="C174" s="199"/>
      <c r="D174" s="196"/>
      <c r="E174" s="199"/>
      <c r="F174" s="94" t="s">
        <v>274</v>
      </c>
      <c r="G174" s="95"/>
      <c r="H174" s="96"/>
      <c r="I174" s="96"/>
      <c r="J174" s="97" t="s">
        <v>833</v>
      </c>
      <c r="K174" s="97"/>
      <c r="L174" s="96"/>
      <c r="M174" s="96"/>
      <c r="N174" s="96"/>
      <c r="O174" s="126"/>
      <c r="P174" s="97"/>
      <c r="Q174" s="97"/>
    </row>
    <row r="175" spans="1:17" ht="4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96"/>
      <c r="C175" s="199"/>
      <c r="D175" s="196"/>
      <c r="E175" s="199"/>
      <c r="F175" s="94" t="s">
        <v>275</v>
      </c>
      <c r="G175" s="91" t="s">
        <v>602</v>
      </c>
      <c r="H175" s="96"/>
      <c r="I175" s="96"/>
      <c r="J175" s="97"/>
      <c r="K175" s="97"/>
      <c r="L175" s="96"/>
      <c r="M175" s="96"/>
      <c r="N175" s="96"/>
      <c r="O175" s="126"/>
      <c r="P175" s="97"/>
      <c r="Q175" s="97"/>
    </row>
    <row r="176" spans="1:17" ht="4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96"/>
      <c r="C176" s="199"/>
      <c r="D176" s="196"/>
      <c r="E176" s="199"/>
      <c r="F176" s="94" t="s">
        <v>276</v>
      </c>
      <c r="G176" s="91" t="s">
        <v>602</v>
      </c>
      <c r="H176" s="96"/>
      <c r="I176" s="96"/>
      <c r="J176" s="97"/>
      <c r="K176" s="97"/>
      <c r="L176" s="96"/>
      <c r="M176" s="96"/>
      <c r="N176" s="96"/>
      <c r="O176" s="126"/>
      <c r="P176" s="97"/>
      <c r="Q176" s="97"/>
    </row>
    <row r="177" spans="1:17" ht="22.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96"/>
      <c r="C177" s="199"/>
      <c r="D177" s="196"/>
      <c r="E177" s="198"/>
      <c r="F177" s="94" t="s">
        <v>277</v>
      </c>
      <c r="G177" s="91" t="s">
        <v>602</v>
      </c>
      <c r="H177" s="96"/>
      <c r="I177" s="96"/>
      <c r="J177" s="97"/>
      <c r="K177" s="97"/>
      <c r="L177" s="96"/>
      <c r="M177" s="96"/>
      <c r="N177" s="96"/>
      <c r="O177" s="126"/>
      <c r="P177" s="97"/>
      <c r="Q177" s="97"/>
    </row>
    <row r="178" spans="1:17" ht="33.7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96"/>
      <c r="C178" s="199"/>
      <c r="D178" s="196"/>
      <c r="E178" s="198" t="s">
        <v>239</v>
      </c>
      <c r="F178" s="94" t="s">
        <v>278</v>
      </c>
      <c r="G178" s="95" t="s">
        <v>620</v>
      </c>
      <c r="H178" s="96"/>
      <c r="I178" s="96"/>
      <c r="J178" s="97"/>
      <c r="K178" s="97"/>
      <c r="L178" s="96"/>
      <c r="M178" s="96"/>
      <c r="N178" s="96"/>
      <c r="O178" s="126"/>
      <c r="P178" s="97"/>
      <c r="Q178" s="97"/>
    </row>
    <row r="179" spans="1:17" ht="22.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98"/>
      <c r="C179" s="200"/>
      <c r="D179" s="198"/>
      <c r="E179" s="200" t="s">
        <v>279</v>
      </c>
      <c r="F179" s="94" t="s">
        <v>280</v>
      </c>
      <c r="G179" s="91" t="s">
        <v>604</v>
      </c>
      <c r="H179" s="96"/>
      <c r="I179" s="96"/>
      <c r="J179" s="97"/>
      <c r="K179" s="97"/>
      <c r="L179" s="96"/>
      <c r="M179" s="96"/>
      <c r="N179" s="96"/>
      <c r="O179" s="126"/>
      <c r="P179" s="97"/>
      <c r="Q179" s="97"/>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95" t="s">
        <v>281</v>
      </c>
      <c r="C180" s="195" t="s">
        <v>194</v>
      </c>
      <c r="D180" s="126" t="s">
        <v>282</v>
      </c>
      <c r="E180" s="126" t="s">
        <v>495</v>
      </c>
      <c r="F180" s="94" t="s">
        <v>283</v>
      </c>
      <c r="G180" s="91" t="s">
        <v>494</v>
      </c>
      <c r="H180" s="96"/>
      <c r="I180" s="96"/>
      <c r="J180" s="97"/>
      <c r="K180" s="97"/>
      <c r="L180" s="96"/>
      <c r="M180" s="96"/>
      <c r="N180" s="96"/>
      <c r="O180" s="126"/>
      <c r="P180" s="97"/>
      <c r="Q180" s="97"/>
    </row>
    <row r="181" spans="1:17" ht="22.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96"/>
      <c r="C181" s="199"/>
      <c r="D181" s="126" t="s">
        <v>284</v>
      </c>
      <c r="E181" s="198" t="s">
        <v>54</v>
      </c>
      <c r="F181" s="94" t="s">
        <v>285</v>
      </c>
      <c r="G181" s="91" t="s">
        <v>494</v>
      </c>
      <c r="H181" s="96"/>
      <c r="I181" s="96"/>
      <c r="J181" s="97"/>
      <c r="K181" s="97"/>
      <c r="L181" s="96"/>
      <c r="M181" s="96"/>
      <c r="N181" s="96"/>
      <c r="O181" s="126"/>
      <c r="P181" s="97"/>
      <c r="Q181" s="97"/>
    </row>
    <row r="182" spans="1:17" ht="22.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98"/>
      <c r="C182" s="200"/>
      <c r="D182" s="200" t="s">
        <v>548</v>
      </c>
      <c r="E182" s="200" t="s">
        <v>54</v>
      </c>
      <c r="F182" s="94" t="s">
        <v>287</v>
      </c>
      <c r="G182" s="91" t="s">
        <v>494</v>
      </c>
      <c r="H182" s="96"/>
      <c r="I182" s="96"/>
      <c r="J182" s="97"/>
      <c r="K182" s="97"/>
      <c r="L182" s="96"/>
      <c r="M182" s="96"/>
      <c r="N182" s="96"/>
      <c r="O182" s="126"/>
      <c r="P182" s="97"/>
      <c r="Q182" s="97"/>
    </row>
    <row r="183" spans="1:17" ht="22.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202" t="s">
        <v>288</v>
      </c>
      <c r="C183" s="202" t="s">
        <v>194</v>
      </c>
      <c r="D183" s="202" t="s">
        <v>499</v>
      </c>
      <c r="E183" s="129" t="s">
        <v>289</v>
      </c>
      <c r="F183" s="66" t="s">
        <v>290</v>
      </c>
      <c r="G183" s="64" t="s">
        <v>563</v>
      </c>
      <c r="H183" s="49"/>
      <c r="I183" s="49"/>
      <c r="J183" s="97"/>
      <c r="K183" s="46"/>
      <c r="L183" s="49"/>
      <c r="M183" s="49"/>
      <c r="N183" s="49"/>
      <c r="O183" s="129"/>
      <c r="P183" s="46"/>
      <c r="Q183" s="46"/>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203"/>
      <c r="C184" s="219"/>
      <c r="D184" s="203"/>
      <c r="E184" s="204" t="s">
        <v>61</v>
      </c>
      <c r="F184" s="66" t="s">
        <v>291</v>
      </c>
      <c r="G184" s="64" t="s">
        <v>563</v>
      </c>
      <c r="H184" s="49"/>
      <c r="I184" s="49"/>
      <c r="J184" s="97"/>
      <c r="K184" s="46"/>
      <c r="L184" s="49"/>
      <c r="M184" s="49"/>
      <c r="N184" s="49"/>
      <c r="O184" s="129"/>
      <c r="P184" s="46"/>
      <c r="Q184" s="46"/>
    </row>
    <row r="185" spans="1:17" ht="22.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203"/>
      <c r="C185" s="220"/>
      <c r="D185" s="203"/>
      <c r="E185" s="206"/>
      <c r="F185" s="66" t="s">
        <v>292</v>
      </c>
      <c r="G185" s="64" t="s">
        <v>563</v>
      </c>
      <c r="H185" s="49"/>
      <c r="I185" s="49"/>
      <c r="J185" s="97"/>
      <c r="K185" s="46"/>
      <c r="L185" s="49"/>
      <c r="M185" s="49"/>
      <c r="N185" s="49"/>
      <c r="O185" s="129"/>
      <c r="P185" s="46"/>
      <c r="Q185" s="46"/>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203"/>
      <c r="C186" s="204"/>
      <c r="D186" s="203"/>
      <c r="E186" s="204" t="s">
        <v>293</v>
      </c>
      <c r="F186" s="66" t="s">
        <v>294</v>
      </c>
      <c r="G186" s="64" t="s">
        <v>563</v>
      </c>
      <c r="H186" s="49"/>
      <c r="I186" s="49"/>
      <c r="J186" s="97"/>
      <c r="K186" s="46"/>
      <c r="L186" s="49"/>
      <c r="M186" s="49"/>
      <c r="N186" s="49"/>
      <c r="O186" s="129"/>
      <c r="P186" s="46"/>
      <c r="Q186" s="46"/>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203"/>
      <c r="C187" s="204"/>
      <c r="D187" s="221"/>
      <c r="E187" s="206"/>
      <c r="F187" s="66" t="s">
        <v>295</v>
      </c>
      <c r="G187" s="64" t="s">
        <v>563</v>
      </c>
      <c r="H187" s="49"/>
      <c r="I187" s="49"/>
      <c r="J187" s="46"/>
      <c r="K187" s="46"/>
      <c r="L187" s="49"/>
      <c r="M187" s="49"/>
      <c r="N187" s="49"/>
      <c r="O187" s="129"/>
      <c r="P187" s="46"/>
      <c r="Q187" s="46"/>
    </row>
    <row r="188" spans="1:17" ht="33.7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203"/>
      <c r="C188" s="206"/>
      <c r="D188" s="206" t="s">
        <v>496</v>
      </c>
      <c r="E188" s="206" t="s">
        <v>499</v>
      </c>
      <c r="F188" s="66" t="s">
        <v>296</v>
      </c>
      <c r="G188" s="64" t="s">
        <v>563</v>
      </c>
      <c r="H188" s="49"/>
      <c r="I188" s="49"/>
      <c r="J188" s="46"/>
      <c r="K188" s="46"/>
      <c r="L188" s="49"/>
      <c r="M188" s="49"/>
      <c r="N188" s="49"/>
      <c r="O188" s="129"/>
      <c r="P188" s="46"/>
      <c r="Q188" s="46"/>
    </row>
    <row r="189" spans="1:17" ht="22.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203"/>
      <c r="C189" s="204" t="s">
        <v>297</v>
      </c>
      <c r="D189" s="203" t="s">
        <v>549</v>
      </c>
      <c r="E189" s="204" t="s">
        <v>299</v>
      </c>
      <c r="F189" s="66" t="s">
        <v>300</v>
      </c>
      <c r="G189" s="64" t="s">
        <v>563</v>
      </c>
      <c r="H189" s="49"/>
      <c r="I189" s="49"/>
      <c r="J189" s="46"/>
      <c r="K189" s="46"/>
      <c r="L189" s="49"/>
      <c r="M189" s="49"/>
      <c r="N189" s="49"/>
      <c r="O189" s="129"/>
      <c r="P189" s="46"/>
      <c r="Q189" s="46"/>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203"/>
      <c r="C190" s="220"/>
      <c r="D190" s="203"/>
      <c r="E190" s="204"/>
      <c r="F190" s="66" t="s">
        <v>301</v>
      </c>
      <c r="G190" s="64" t="s">
        <v>563</v>
      </c>
      <c r="H190" s="49"/>
      <c r="I190" s="49"/>
      <c r="J190" s="46"/>
      <c r="K190" s="46"/>
      <c r="L190" s="49"/>
      <c r="M190" s="49"/>
      <c r="N190" s="49"/>
      <c r="O190" s="129"/>
      <c r="P190" s="46"/>
      <c r="Q190" s="46"/>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203"/>
      <c r="C191" s="220"/>
      <c r="D191" s="203"/>
      <c r="E191" s="204"/>
      <c r="F191" s="66" t="s">
        <v>302</v>
      </c>
      <c r="G191" s="64" t="s">
        <v>563</v>
      </c>
      <c r="H191" s="49"/>
      <c r="I191" s="49"/>
      <c r="J191" s="46"/>
      <c r="K191" s="46"/>
      <c r="L191" s="49"/>
      <c r="M191" s="49"/>
      <c r="N191" s="49"/>
      <c r="O191" s="129"/>
      <c r="P191" s="46"/>
      <c r="Q191" s="46"/>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203"/>
      <c r="C192" s="220"/>
      <c r="D192" s="203"/>
      <c r="E192" s="204"/>
      <c r="F192" s="66" t="s">
        <v>303</v>
      </c>
      <c r="G192" s="64" t="s">
        <v>563</v>
      </c>
      <c r="H192" s="49"/>
      <c r="I192" s="49"/>
      <c r="J192" s="46"/>
      <c r="K192" s="46"/>
      <c r="L192" s="49"/>
      <c r="M192" s="49"/>
      <c r="N192" s="49"/>
      <c r="O192" s="129"/>
      <c r="P192" s="46"/>
      <c r="Q192" s="46"/>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203"/>
      <c r="C193" s="220"/>
      <c r="D193" s="203"/>
      <c r="E193" s="204"/>
      <c r="F193" s="66" t="s">
        <v>304</v>
      </c>
      <c r="G193" s="64" t="s">
        <v>563</v>
      </c>
      <c r="H193" s="49"/>
      <c r="I193" s="49"/>
      <c r="J193" s="46"/>
      <c r="K193" s="46"/>
      <c r="L193" s="49"/>
      <c r="M193" s="49"/>
      <c r="N193" s="49"/>
      <c r="O193" s="129"/>
      <c r="P193" s="46"/>
      <c r="Q193" s="46"/>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203"/>
      <c r="C194" s="220"/>
      <c r="D194" s="203"/>
      <c r="E194" s="204"/>
      <c r="F194" s="66" t="s">
        <v>305</v>
      </c>
      <c r="G194" s="64" t="s">
        <v>563</v>
      </c>
      <c r="H194" s="49"/>
      <c r="I194" s="49"/>
      <c r="J194" s="46"/>
      <c r="K194" s="46"/>
      <c r="L194" s="49"/>
      <c r="M194" s="49"/>
      <c r="N194" s="49"/>
      <c r="O194" s="129"/>
      <c r="P194" s="46"/>
      <c r="Q194" s="46"/>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203"/>
      <c r="C195" s="220"/>
      <c r="D195" s="203"/>
      <c r="E195" s="206"/>
      <c r="F195" s="66" t="s">
        <v>306</v>
      </c>
      <c r="G195" s="64" t="s">
        <v>563</v>
      </c>
      <c r="H195" s="49"/>
      <c r="I195" s="49"/>
      <c r="J195" s="46"/>
      <c r="K195" s="46"/>
      <c r="L195" s="49"/>
      <c r="M195" s="49"/>
      <c r="N195" s="49"/>
      <c r="O195" s="129"/>
      <c r="P195" s="46"/>
      <c r="Q195" s="46"/>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203"/>
      <c r="C196" s="219"/>
      <c r="D196" s="206"/>
      <c r="E196" s="129" t="s">
        <v>307</v>
      </c>
      <c r="F196" s="66" t="s">
        <v>550</v>
      </c>
      <c r="G196" s="64" t="s">
        <v>563</v>
      </c>
      <c r="H196" s="49"/>
      <c r="I196" s="49"/>
      <c r="J196" s="46"/>
      <c r="K196" s="46"/>
      <c r="L196" s="49"/>
      <c r="M196" s="49"/>
      <c r="N196" s="49"/>
      <c r="O196" s="129"/>
      <c r="P196" s="46"/>
      <c r="Q196" s="46"/>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203"/>
      <c r="C197" s="219"/>
      <c r="D197" s="203" t="s">
        <v>309</v>
      </c>
      <c r="E197" s="204" t="s">
        <v>127</v>
      </c>
      <c r="F197" s="66" t="s">
        <v>310</v>
      </c>
      <c r="G197" s="64" t="s">
        <v>563</v>
      </c>
      <c r="H197" s="49"/>
      <c r="I197" s="49"/>
      <c r="J197" s="46"/>
      <c r="K197" s="46"/>
      <c r="L197" s="49"/>
      <c r="M197" s="49"/>
      <c r="N197" s="49"/>
      <c r="O197" s="129"/>
      <c r="P197" s="46"/>
      <c r="Q197" s="46"/>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203"/>
      <c r="C198" s="219"/>
      <c r="D198" s="203"/>
      <c r="E198" s="204"/>
      <c r="F198" s="66" t="s">
        <v>311</v>
      </c>
      <c r="G198" s="64" t="s">
        <v>563</v>
      </c>
      <c r="H198" s="49"/>
      <c r="I198" s="49"/>
      <c r="J198" s="46"/>
      <c r="K198" s="46"/>
      <c r="L198" s="49"/>
      <c r="M198" s="49"/>
      <c r="N198" s="49"/>
      <c r="O198" s="129"/>
      <c r="P198" s="46"/>
      <c r="Q198" s="46"/>
    </row>
    <row r="199" spans="1:17">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203"/>
      <c r="C199" s="219"/>
      <c r="D199" s="203"/>
      <c r="E199" s="204"/>
      <c r="F199" s="66" t="s">
        <v>312</v>
      </c>
      <c r="G199" s="64" t="s">
        <v>563</v>
      </c>
      <c r="H199" s="49"/>
      <c r="I199" s="49"/>
      <c r="J199" s="46"/>
      <c r="K199" s="46"/>
      <c r="L199" s="49"/>
      <c r="M199" s="49"/>
      <c r="N199" s="49"/>
      <c r="O199" s="129"/>
      <c r="P199" s="46"/>
      <c r="Q199" s="46"/>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203"/>
      <c r="C200" s="219"/>
      <c r="D200" s="203"/>
      <c r="E200" s="204"/>
      <c r="F200" s="66" t="s">
        <v>313</v>
      </c>
      <c r="G200" s="64" t="s">
        <v>563</v>
      </c>
      <c r="H200" s="49"/>
      <c r="I200" s="49"/>
      <c r="J200" s="46"/>
      <c r="K200" s="46"/>
      <c r="L200" s="49"/>
      <c r="M200" s="49"/>
      <c r="N200" s="49"/>
      <c r="O200" s="129"/>
      <c r="P200" s="46"/>
      <c r="Q200" s="46"/>
    </row>
    <row r="201" spans="1:17" ht="33.7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203"/>
      <c r="C201" s="219"/>
      <c r="D201" s="203"/>
      <c r="E201" s="204"/>
      <c r="F201" s="66" t="s">
        <v>314</v>
      </c>
      <c r="G201" s="64" t="s">
        <v>563</v>
      </c>
      <c r="H201" s="49"/>
      <c r="I201" s="49"/>
      <c r="J201" s="46"/>
      <c r="K201" s="46"/>
      <c r="L201" s="49"/>
      <c r="M201" s="49"/>
      <c r="N201" s="49"/>
      <c r="O201" s="129"/>
      <c r="P201" s="46"/>
      <c r="Q201" s="46"/>
    </row>
    <row r="202" spans="1:17" ht="33.7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203"/>
      <c r="C202" s="219"/>
      <c r="D202" s="203"/>
      <c r="E202" s="204"/>
      <c r="F202" s="66" t="s">
        <v>315</v>
      </c>
      <c r="G202" s="64" t="s">
        <v>563</v>
      </c>
      <c r="H202" s="49"/>
      <c r="I202" s="49"/>
      <c r="J202" s="46"/>
      <c r="K202" s="46"/>
      <c r="L202" s="49"/>
      <c r="M202" s="49"/>
      <c r="N202" s="49"/>
      <c r="O202" s="129"/>
      <c r="P202" s="46"/>
      <c r="Q202" s="46"/>
    </row>
    <row r="203" spans="1:17" ht="4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203"/>
      <c r="C203" s="219"/>
      <c r="D203" s="203"/>
      <c r="E203" s="204"/>
      <c r="F203" s="66" t="s">
        <v>551</v>
      </c>
      <c r="G203" s="64" t="s">
        <v>563</v>
      </c>
      <c r="H203" s="49"/>
      <c r="I203" s="49"/>
      <c r="J203" s="46"/>
      <c r="K203" s="46"/>
      <c r="L203" s="49"/>
      <c r="M203" s="49"/>
      <c r="N203" s="49"/>
      <c r="O203" s="129"/>
      <c r="P203" s="46"/>
      <c r="Q203" s="46"/>
    </row>
    <row r="204" spans="1:17" ht="33.7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203"/>
      <c r="C204" s="219"/>
      <c r="D204" s="203"/>
      <c r="E204" s="204"/>
      <c r="F204" s="66" t="s">
        <v>317</v>
      </c>
      <c r="G204" s="64" t="s">
        <v>563</v>
      </c>
      <c r="H204" s="49"/>
      <c r="I204" s="49"/>
      <c r="J204" s="46"/>
      <c r="K204" s="46"/>
      <c r="L204" s="49"/>
      <c r="M204" s="49"/>
      <c r="N204" s="49"/>
      <c r="O204" s="129"/>
      <c r="P204" s="46"/>
      <c r="Q204" s="46"/>
    </row>
    <row r="205" spans="1:17" ht="33.7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203"/>
      <c r="C205" s="219"/>
      <c r="D205" s="203"/>
      <c r="E205" s="204"/>
      <c r="F205" s="66" t="s">
        <v>318</v>
      </c>
      <c r="G205" s="64" t="s">
        <v>563</v>
      </c>
      <c r="H205" s="49"/>
      <c r="I205" s="49"/>
      <c r="J205" s="46"/>
      <c r="K205" s="46"/>
      <c r="L205" s="49"/>
      <c r="M205" s="49"/>
      <c r="N205" s="49"/>
      <c r="O205" s="129"/>
      <c r="P205" s="46"/>
      <c r="Q205" s="46"/>
    </row>
    <row r="206" spans="1:17" ht="22.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203"/>
      <c r="C206" s="219"/>
      <c r="D206" s="203"/>
      <c r="E206" s="204"/>
      <c r="F206" s="66" t="s">
        <v>319</v>
      </c>
      <c r="G206" s="64" t="s">
        <v>563</v>
      </c>
      <c r="H206" s="49"/>
      <c r="I206" s="49"/>
      <c r="J206" s="46"/>
      <c r="K206" s="46"/>
      <c r="L206" s="49"/>
      <c r="M206" s="49"/>
      <c r="N206" s="49"/>
      <c r="O206" s="129"/>
      <c r="P206" s="46"/>
      <c r="Q206" s="46"/>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203"/>
      <c r="C207" s="219"/>
      <c r="D207" s="203"/>
      <c r="E207" s="204"/>
      <c r="F207" s="66" t="s">
        <v>320</v>
      </c>
      <c r="G207" s="64" t="s">
        <v>563</v>
      </c>
      <c r="H207" s="49"/>
      <c r="I207" s="49"/>
      <c r="J207" s="46"/>
      <c r="K207" s="46"/>
      <c r="L207" s="49"/>
      <c r="M207" s="49"/>
      <c r="N207" s="49"/>
      <c r="O207" s="129"/>
      <c r="P207" s="46"/>
      <c r="Q207" s="46"/>
    </row>
    <row r="208" spans="1:17" ht="33.7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203"/>
      <c r="C208" s="219"/>
      <c r="D208" s="203"/>
      <c r="E208" s="204"/>
      <c r="F208" s="66" t="s">
        <v>321</v>
      </c>
      <c r="G208" s="64" t="s">
        <v>563</v>
      </c>
      <c r="H208" s="49"/>
      <c r="I208" s="49"/>
      <c r="J208" s="46"/>
      <c r="K208" s="46"/>
      <c r="L208" s="49"/>
      <c r="M208" s="49"/>
      <c r="N208" s="49"/>
      <c r="O208" s="129"/>
      <c r="P208" s="46"/>
      <c r="Q208" s="46"/>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203"/>
      <c r="C209" s="219"/>
      <c r="D209" s="206"/>
      <c r="E209" s="205"/>
      <c r="F209" s="66" t="s">
        <v>322</v>
      </c>
      <c r="G209" s="64" t="s">
        <v>563</v>
      </c>
      <c r="H209" s="49"/>
      <c r="I209" s="49"/>
      <c r="J209" s="46"/>
      <c r="K209" s="46"/>
      <c r="L209" s="49"/>
      <c r="M209" s="49"/>
      <c r="N209" s="49"/>
      <c r="O209" s="129"/>
      <c r="P209" s="46"/>
      <c r="Q209" s="46"/>
    </row>
    <row r="210" spans="1:17" ht="22.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203"/>
      <c r="C210" s="219"/>
      <c r="D210" s="202" t="s">
        <v>552</v>
      </c>
      <c r="E210" s="201" t="s">
        <v>127</v>
      </c>
      <c r="F210" s="66" t="s">
        <v>324</v>
      </c>
      <c r="G210" s="64" t="s">
        <v>563</v>
      </c>
      <c r="H210" s="49"/>
      <c r="I210" s="49"/>
      <c r="J210" s="46"/>
      <c r="K210" s="46"/>
      <c r="L210" s="49"/>
      <c r="M210" s="49"/>
      <c r="N210" s="49"/>
      <c r="O210" s="129"/>
      <c r="P210" s="46"/>
      <c r="Q210" s="46"/>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203"/>
      <c r="C211" s="219"/>
      <c r="D211" s="203"/>
      <c r="E211" s="204"/>
      <c r="F211" s="66" t="s">
        <v>325</v>
      </c>
      <c r="G211" s="64" t="s">
        <v>563</v>
      </c>
      <c r="H211" s="49"/>
      <c r="I211" s="49"/>
      <c r="J211" s="46"/>
      <c r="K211" s="46"/>
      <c r="L211" s="49"/>
      <c r="M211" s="49"/>
      <c r="N211" s="49"/>
      <c r="O211" s="129"/>
      <c r="P211" s="46"/>
      <c r="Q211" s="46"/>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203"/>
      <c r="C212" s="219"/>
      <c r="D212" s="203"/>
      <c r="E212" s="204"/>
      <c r="F212" s="66" t="s">
        <v>326</v>
      </c>
      <c r="G212" s="64" t="s">
        <v>563</v>
      </c>
      <c r="H212" s="49"/>
      <c r="I212" s="49"/>
      <c r="J212" s="46"/>
      <c r="K212" s="46"/>
      <c r="L212" s="49"/>
      <c r="M212" s="49"/>
      <c r="N212" s="49"/>
      <c r="O212" s="129"/>
      <c r="P212" s="46"/>
      <c r="Q212" s="46"/>
    </row>
    <row r="213" spans="1:17">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203"/>
      <c r="C213" s="219"/>
      <c r="D213" s="203"/>
      <c r="E213" s="204"/>
      <c r="F213" s="66" t="s">
        <v>312</v>
      </c>
      <c r="G213" s="64" t="s">
        <v>563</v>
      </c>
      <c r="H213" s="49"/>
      <c r="I213" s="49"/>
      <c r="J213" s="46"/>
      <c r="K213" s="46"/>
      <c r="L213" s="49"/>
      <c r="M213" s="49"/>
      <c r="N213" s="49"/>
      <c r="O213" s="129"/>
      <c r="P213" s="46"/>
      <c r="Q213" s="46"/>
    </row>
    <row r="214" spans="1:17" ht="22.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203"/>
      <c r="C214" s="219"/>
      <c r="D214" s="203"/>
      <c r="E214" s="204"/>
      <c r="F214" s="66" t="s">
        <v>313</v>
      </c>
      <c r="G214" s="64" t="s">
        <v>563</v>
      </c>
      <c r="H214" s="49"/>
      <c r="I214" s="49"/>
      <c r="J214" s="46"/>
      <c r="K214" s="46"/>
      <c r="L214" s="49"/>
      <c r="M214" s="49"/>
      <c r="N214" s="49"/>
      <c r="O214" s="129"/>
      <c r="P214" s="46"/>
      <c r="Q214" s="46"/>
    </row>
    <row r="215" spans="1:17" ht="4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203"/>
      <c r="C215" s="219"/>
      <c r="D215" s="203"/>
      <c r="E215" s="204"/>
      <c r="F215" s="66" t="s">
        <v>327</v>
      </c>
      <c r="G215" s="64" t="s">
        <v>563</v>
      </c>
      <c r="H215" s="49"/>
      <c r="I215" s="49"/>
      <c r="J215" s="46"/>
      <c r="K215" s="46"/>
      <c r="L215" s="49"/>
      <c r="M215" s="49"/>
      <c r="N215" s="49"/>
      <c r="O215" s="129"/>
      <c r="P215" s="46"/>
      <c r="Q215" s="46"/>
    </row>
    <row r="216" spans="1:17" ht="33.7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203"/>
      <c r="C216" s="219"/>
      <c r="D216" s="203"/>
      <c r="E216" s="204"/>
      <c r="F216" s="66" t="s">
        <v>328</v>
      </c>
      <c r="G216" s="64" t="s">
        <v>563</v>
      </c>
      <c r="H216" s="49"/>
      <c r="I216" s="49"/>
      <c r="J216" s="46"/>
      <c r="K216" s="46"/>
      <c r="L216" s="49"/>
      <c r="M216" s="49"/>
      <c r="N216" s="49"/>
      <c r="O216" s="129"/>
      <c r="P216" s="46"/>
      <c r="Q216" s="46"/>
    </row>
    <row r="217" spans="1:17" ht="33.7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203"/>
      <c r="C217" s="219"/>
      <c r="D217" s="203"/>
      <c r="E217" s="204"/>
      <c r="F217" s="66" t="s">
        <v>553</v>
      </c>
      <c r="G217" s="64" t="s">
        <v>563</v>
      </c>
      <c r="H217" s="49"/>
      <c r="I217" s="49"/>
      <c r="J217" s="46"/>
      <c r="K217" s="46"/>
      <c r="L217" s="49"/>
      <c r="M217" s="49"/>
      <c r="N217" s="49"/>
      <c r="O217" s="129"/>
      <c r="P217" s="46"/>
      <c r="Q217" s="46"/>
    </row>
    <row r="218" spans="1:17" ht="4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203"/>
      <c r="C218" s="219"/>
      <c r="D218" s="203"/>
      <c r="E218" s="204"/>
      <c r="F218" s="66" t="s">
        <v>554</v>
      </c>
      <c r="G218" s="64" t="s">
        <v>563</v>
      </c>
      <c r="H218" s="49"/>
      <c r="I218" s="49"/>
      <c r="J218" s="46"/>
      <c r="K218" s="46"/>
      <c r="L218" s="49"/>
      <c r="M218" s="49"/>
      <c r="N218" s="49"/>
      <c r="O218" s="129"/>
      <c r="P218" s="46"/>
      <c r="Q218" s="46"/>
    </row>
    <row r="219" spans="1:17" ht="33.7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203"/>
      <c r="C219" s="219"/>
      <c r="D219" s="203"/>
      <c r="E219" s="204"/>
      <c r="F219" s="66" t="s">
        <v>330</v>
      </c>
      <c r="G219" s="64" t="s">
        <v>563</v>
      </c>
      <c r="H219" s="49"/>
      <c r="I219" s="49"/>
      <c r="J219" s="46"/>
      <c r="K219" s="46"/>
      <c r="L219" s="49"/>
      <c r="M219" s="49"/>
      <c r="N219" s="49"/>
      <c r="O219" s="129"/>
      <c r="P219" s="46"/>
      <c r="Q219" s="46"/>
    </row>
    <row r="220" spans="1:17" ht="33.7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203"/>
      <c r="C220" s="219"/>
      <c r="D220" s="203"/>
      <c r="E220" s="204"/>
      <c r="F220" s="66" t="s">
        <v>331</v>
      </c>
      <c r="G220" s="64" t="s">
        <v>563</v>
      </c>
      <c r="H220" s="49"/>
      <c r="I220" s="49"/>
      <c r="J220" s="46"/>
      <c r="K220" s="46"/>
      <c r="L220" s="49"/>
      <c r="M220" s="49"/>
      <c r="N220" s="49"/>
      <c r="O220" s="129"/>
      <c r="P220" s="46"/>
      <c r="Q220" s="46"/>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203"/>
      <c r="C221" s="219"/>
      <c r="D221" s="203"/>
      <c r="E221" s="204"/>
      <c r="F221" s="66" t="s">
        <v>332</v>
      </c>
      <c r="G221" s="64" t="s">
        <v>563</v>
      </c>
      <c r="H221" s="49"/>
      <c r="I221" s="49"/>
      <c r="J221" s="46"/>
      <c r="K221" s="46"/>
      <c r="L221" s="49"/>
      <c r="M221" s="49"/>
      <c r="N221" s="49"/>
      <c r="O221" s="129"/>
      <c r="P221" s="46"/>
      <c r="Q221" s="46"/>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203"/>
      <c r="C222" s="219"/>
      <c r="D222" s="203"/>
      <c r="E222" s="204"/>
      <c r="F222" s="66" t="s">
        <v>333</v>
      </c>
      <c r="G222" s="64" t="s">
        <v>563</v>
      </c>
      <c r="H222" s="49"/>
      <c r="I222" s="49"/>
      <c r="J222" s="46"/>
      <c r="K222" s="46"/>
      <c r="L222" s="49"/>
      <c r="M222" s="49"/>
      <c r="N222" s="49"/>
      <c r="O222" s="129"/>
      <c r="P222" s="46"/>
      <c r="Q222" s="46"/>
    </row>
    <row r="223" spans="1:17" ht="33.7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203"/>
      <c r="C223" s="219"/>
      <c r="D223" s="203"/>
      <c r="E223" s="204"/>
      <c r="F223" s="66" t="s">
        <v>334</v>
      </c>
      <c r="G223" s="64" t="s">
        <v>563</v>
      </c>
      <c r="H223" s="49"/>
      <c r="I223" s="49"/>
      <c r="J223" s="46"/>
      <c r="K223" s="46"/>
      <c r="L223" s="49"/>
      <c r="M223" s="49"/>
      <c r="N223" s="49"/>
      <c r="O223" s="129"/>
      <c r="P223" s="46"/>
      <c r="Q223" s="46"/>
    </row>
    <row r="224" spans="1:17" ht="22.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203"/>
      <c r="C224" s="219"/>
      <c r="D224" s="203"/>
      <c r="E224" s="206"/>
      <c r="F224" s="66" t="s">
        <v>322</v>
      </c>
      <c r="G224" s="64" t="s">
        <v>563</v>
      </c>
      <c r="H224" s="49"/>
      <c r="I224" s="49"/>
      <c r="J224" s="46"/>
      <c r="K224" s="46"/>
      <c r="L224" s="49"/>
      <c r="M224" s="49"/>
      <c r="N224" s="49"/>
      <c r="O224" s="129"/>
      <c r="P224" s="46"/>
      <c r="Q224" s="46"/>
    </row>
    <row r="225" spans="1:17" ht="4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203"/>
      <c r="C225" s="219"/>
      <c r="D225" s="203"/>
      <c r="E225" s="204" t="s">
        <v>335</v>
      </c>
      <c r="F225" s="66" t="s">
        <v>336</v>
      </c>
      <c r="G225" s="64" t="s">
        <v>563</v>
      </c>
      <c r="H225" s="49"/>
      <c r="I225" s="49"/>
      <c r="J225" s="46"/>
      <c r="K225" s="46"/>
      <c r="L225" s="49"/>
      <c r="M225" s="49"/>
      <c r="N225" s="49"/>
      <c r="O225" s="129"/>
      <c r="P225" s="46"/>
      <c r="Q225" s="46"/>
    </row>
    <row r="226" spans="1:17" ht="4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203"/>
      <c r="C226" s="219"/>
      <c r="D226" s="203"/>
      <c r="E226" s="204"/>
      <c r="F226" s="66" t="s">
        <v>337</v>
      </c>
      <c r="G226" s="64" t="s">
        <v>563</v>
      </c>
      <c r="H226" s="49"/>
      <c r="I226" s="49"/>
      <c r="J226" s="46"/>
      <c r="K226" s="46"/>
      <c r="L226" s="49"/>
      <c r="M226" s="49"/>
      <c r="N226" s="49"/>
      <c r="O226" s="129"/>
      <c r="P226" s="46"/>
      <c r="Q226" s="46"/>
    </row>
    <row r="227" spans="1:17" ht="33.7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203"/>
      <c r="C227" s="219"/>
      <c r="D227" s="203"/>
      <c r="E227" s="206"/>
      <c r="F227" s="66" t="s">
        <v>338</v>
      </c>
      <c r="G227" s="64" t="s">
        <v>563</v>
      </c>
      <c r="H227" s="49"/>
      <c r="I227" s="49"/>
      <c r="J227" s="46"/>
      <c r="K227" s="46"/>
      <c r="L227" s="49"/>
      <c r="M227" s="49"/>
      <c r="N227" s="49"/>
      <c r="O227" s="129"/>
      <c r="P227" s="46"/>
      <c r="Q227" s="46"/>
    </row>
    <row r="228" spans="1:17" ht="33.7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203"/>
      <c r="C228" s="219"/>
      <c r="D228" s="203"/>
      <c r="E228" s="129" t="s">
        <v>152</v>
      </c>
      <c r="F228" s="66" t="s">
        <v>555</v>
      </c>
      <c r="G228" s="64" t="s">
        <v>563</v>
      </c>
      <c r="H228" s="49"/>
      <c r="I228" s="49"/>
      <c r="J228" s="46"/>
      <c r="K228" s="46"/>
      <c r="L228" s="49"/>
      <c r="M228" s="49"/>
      <c r="N228" s="49"/>
      <c r="O228" s="129"/>
      <c r="P228" s="46"/>
      <c r="Q228" s="46"/>
    </row>
    <row r="229" spans="1:17" ht="22.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206"/>
      <c r="C229" s="206"/>
      <c r="D229" s="206"/>
      <c r="E229" s="222" t="s">
        <v>340</v>
      </c>
      <c r="F229" s="66" t="s">
        <v>341</v>
      </c>
      <c r="G229" s="64" t="s">
        <v>563</v>
      </c>
      <c r="H229" s="49"/>
      <c r="I229" s="49"/>
      <c r="J229" s="46"/>
      <c r="K229" s="46"/>
      <c r="L229" s="49"/>
      <c r="M229" s="49"/>
      <c r="N229" s="49"/>
      <c r="O229" s="129"/>
      <c r="P229" s="46"/>
      <c r="Q229" s="46"/>
    </row>
    <row r="230" spans="1:17" ht="22.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202" t="s">
        <v>342</v>
      </c>
      <c r="C230" s="202" t="s">
        <v>194</v>
      </c>
      <c r="D230" s="202" t="s">
        <v>499</v>
      </c>
      <c r="E230" s="129" t="s">
        <v>499</v>
      </c>
      <c r="F230" s="66" t="s">
        <v>343</v>
      </c>
      <c r="G230" s="64" t="s">
        <v>605</v>
      </c>
      <c r="H230" s="49"/>
      <c r="I230" s="49"/>
      <c r="J230" s="46"/>
      <c r="K230" s="46"/>
      <c r="L230" s="49"/>
      <c r="M230" s="49"/>
      <c r="N230" s="49"/>
      <c r="O230" s="129"/>
      <c r="P230" s="46"/>
      <c r="Q230" s="46"/>
    </row>
    <row r="231" spans="1:17" ht="22.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203"/>
      <c r="C231" s="203"/>
      <c r="D231" s="203"/>
      <c r="E231" s="204" t="s">
        <v>138</v>
      </c>
      <c r="F231" s="66" t="s">
        <v>344</v>
      </c>
      <c r="G231" s="64" t="s">
        <v>605</v>
      </c>
      <c r="H231" s="49"/>
      <c r="I231" s="49"/>
      <c r="J231" s="46"/>
      <c r="K231" s="46"/>
      <c r="L231" s="49"/>
      <c r="M231" s="49"/>
      <c r="N231" s="49"/>
      <c r="O231" s="129"/>
      <c r="P231" s="46"/>
      <c r="Q231" s="46"/>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203"/>
      <c r="C232" s="203"/>
      <c r="D232" s="203"/>
      <c r="E232" s="204"/>
      <c r="F232" s="66" t="s">
        <v>345</v>
      </c>
      <c r="G232" s="64" t="s">
        <v>605</v>
      </c>
      <c r="H232" s="49"/>
      <c r="I232" s="49"/>
      <c r="J232" s="46"/>
      <c r="K232" s="46"/>
      <c r="L232" s="49"/>
      <c r="M232" s="49"/>
      <c r="N232" s="49"/>
      <c r="O232" s="129"/>
      <c r="P232" s="46"/>
      <c r="Q232" s="46"/>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203"/>
      <c r="C233" s="203"/>
      <c r="D233" s="203"/>
      <c r="E233" s="204"/>
      <c r="F233" s="66" t="s">
        <v>346</v>
      </c>
      <c r="G233" s="64" t="s">
        <v>605</v>
      </c>
      <c r="H233" s="49"/>
      <c r="I233" s="49"/>
      <c r="J233" s="46"/>
      <c r="K233" s="46"/>
      <c r="L233" s="49"/>
      <c r="M233" s="49"/>
      <c r="N233" s="49"/>
      <c r="O233" s="129"/>
      <c r="P233" s="46"/>
      <c r="Q233" s="46"/>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203"/>
      <c r="C234" s="203"/>
      <c r="D234" s="203"/>
      <c r="E234" s="204"/>
      <c r="F234" s="66" t="s">
        <v>347</v>
      </c>
      <c r="G234" s="64" t="s">
        <v>605</v>
      </c>
      <c r="H234" s="49"/>
      <c r="I234" s="49"/>
      <c r="J234" s="46"/>
      <c r="K234" s="46"/>
      <c r="L234" s="49"/>
      <c r="M234" s="49"/>
      <c r="N234" s="49"/>
      <c r="O234" s="129"/>
      <c r="P234" s="46"/>
      <c r="Q234" s="46"/>
    </row>
    <row r="235" spans="1:17" ht="33.7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203"/>
      <c r="C235" s="203"/>
      <c r="D235" s="203"/>
      <c r="E235" s="206"/>
      <c r="F235" s="66" t="s">
        <v>348</v>
      </c>
      <c r="G235" s="64" t="s">
        <v>605</v>
      </c>
      <c r="H235" s="49"/>
      <c r="I235" s="49"/>
      <c r="J235" s="46"/>
      <c r="K235" s="46"/>
      <c r="L235" s="49"/>
      <c r="M235" s="49"/>
      <c r="N235" s="49"/>
      <c r="O235" s="129"/>
      <c r="P235" s="46"/>
      <c r="Q235" s="46"/>
    </row>
    <row r="236" spans="1:17" ht="33.7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203"/>
      <c r="C236" s="203"/>
      <c r="D236" s="203"/>
      <c r="E236" s="204" t="s">
        <v>205</v>
      </c>
      <c r="F236" s="66" t="s">
        <v>349</v>
      </c>
      <c r="G236" s="64" t="s">
        <v>605</v>
      </c>
      <c r="H236" s="49"/>
      <c r="I236" s="49"/>
      <c r="J236" s="46"/>
      <c r="K236" s="46"/>
      <c r="L236" s="49"/>
      <c r="M236" s="49"/>
      <c r="N236" s="49"/>
      <c r="O236" s="129"/>
      <c r="P236" s="46"/>
      <c r="Q236" s="46"/>
    </row>
    <row r="237" spans="1:17" ht="33.7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203"/>
      <c r="C237" s="203"/>
      <c r="D237" s="203"/>
      <c r="E237" s="204"/>
      <c r="F237" s="66" t="s">
        <v>350</v>
      </c>
      <c r="G237" s="64" t="s">
        <v>605</v>
      </c>
      <c r="H237" s="49"/>
      <c r="I237" s="49"/>
      <c r="J237" s="46"/>
      <c r="K237" s="46"/>
      <c r="L237" s="49"/>
      <c r="M237" s="49"/>
      <c r="N237" s="49"/>
      <c r="O237" s="129"/>
      <c r="P237" s="46"/>
      <c r="Q237" s="46"/>
    </row>
    <row r="238" spans="1:17" ht="4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203"/>
      <c r="C238" s="203"/>
      <c r="D238" s="203"/>
      <c r="E238" s="204"/>
      <c r="F238" s="66" t="s">
        <v>351</v>
      </c>
      <c r="G238" s="64" t="s">
        <v>605</v>
      </c>
      <c r="H238" s="49"/>
      <c r="I238" s="49"/>
      <c r="J238" s="46"/>
      <c r="K238" s="46"/>
      <c r="L238" s="49"/>
      <c r="M238" s="49"/>
      <c r="N238" s="49"/>
      <c r="O238" s="129"/>
      <c r="P238" s="46"/>
      <c r="Q238" s="46"/>
    </row>
    <row r="239" spans="1:17" ht="4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203"/>
      <c r="C239" s="203"/>
      <c r="D239" s="203"/>
      <c r="E239" s="204"/>
      <c r="F239" s="66" t="s">
        <v>352</v>
      </c>
      <c r="G239" s="64" t="s">
        <v>605</v>
      </c>
      <c r="H239" s="49"/>
      <c r="I239" s="49"/>
      <c r="J239" s="46"/>
      <c r="K239" s="46"/>
      <c r="L239" s="49"/>
      <c r="M239" s="49"/>
      <c r="N239" s="49"/>
      <c r="O239" s="129"/>
      <c r="P239" s="46"/>
      <c r="Q239" s="46"/>
    </row>
    <row r="240" spans="1:17" ht="33.7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203"/>
      <c r="C240" s="203"/>
      <c r="D240" s="203"/>
      <c r="E240" s="206"/>
      <c r="F240" s="66" t="s">
        <v>353</v>
      </c>
      <c r="G240" s="64" t="s">
        <v>605</v>
      </c>
      <c r="H240" s="49"/>
      <c r="I240" s="49"/>
      <c r="J240" s="46"/>
      <c r="K240" s="46"/>
      <c r="L240" s="49"/>
      <c r="M240" s="49"/>
      <c r="N240" s="49"/>
      <c r="O240" s="129"/>
      <c r="P240" s="46"/>
      <c r="Q240" s="46"/>
    </row>
    <row r="241" spans="1:17" ht="33.7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203"/>
      <c r="C241" s="206"/>
      <c r="D241" s="206"/>
      <c r="E241" s="206" t="s">
        <v>542</v>
      </c>
      <c r="F241" s="66" t="s">
        <v>354</v>
      </c>
      <c r="G241" s="64" t="s">
        <v>605</v>
      </c>
      <c r="H241" s="49"/>
      <c r="I241" s="49"/>
      <c r="J241" s="46"/>
      <c r="K241" s="46"/>
      <c r="L241" s="49"/>
      <c r="M241" s="49"/>
      <c r="N241" s="49"/>
      <c r="O241" s="129"/>
      <c r="P241" s="46"/>
      <c r="Q241" s="46"/>
    </row>
    <row r="242" spans="1:17" ht="33.7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206"/>
      <c r="C242" s="206" t="s">
        <v>528</v>
      </c>
      <c r="D242" s="206" t="s">
        <v>214</v>
      </c>
      <c r="E242" s="205" t="s">
        <v>215</v>
      </c>
      <c r="F242" s="66" t="s">
        <v>355</v>
      </c>
      <c r="G242" s="64" t="s">
        <v>605</v>
      </c>
      <c r="H242" s="49"/>
      <c r="I242" s="49"/>
      <c r="J242" s="46"/>
      <c r="K242" s="46"/>
      <c r="L242" s="49"/>
      <c r="M242" s="49"/>
      <c r="N242" s="49"/>
      <c r="O242" s="129"/>
      <c r="P242" s="46"/>
      <c r="Q242" s="46"/>
    </row>
    <row r="243" spans="1:17" ht="22.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202" t="s">
        <v>356</v>
      </c>
      <c r="C243" s="202" t="s">
        <v>357</v>
      </c>
      <c r="D243" s="202" t="s">
        <v>499</v>
      </c>
      <c r="E243" s="201" t="s">
        <v>499</v>
      </c>
      <c r="F243" s="66" t="s">
        <v>358</v>
      </c>
      <c r="G243" s="64" t="s">
        <v>605</v>
      </c>
      <c r="H243" s="49"/>
      <c r="I243" s="49"/>
      <c r="J243" s="46"/>
      <c r="K243" s="46"/>
      <c r="L243" s="49"/>
      <c r="M243" s="49"/>
      <c r="N243" s="49"/>
      <c r="O243" s="129"/>
      <c r="P243" s="46"/>
      <c r="Q243" s="46"/>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203"/>
      <c r="C244" s="203"/>
      <c r="D244" s="206"/>
      <c r="E244" s="206"/>
      <c r="F244" s="66" t="s">
        <v>359</v>
      </c>
      <c r="G244" s="64" t="s">
        <v>605</v>
      </c>
      <c r="H244" s="49"/>
      <c r="I244" s="49"/>
      <c r="J244" s="46"/>
      <c r="K244" s="46"/>
      <c r="L244" s="49"/>
      <c r="M244" s="49"/>
      <c r="N244" s="49"/>
      <c r="O244" s="129"/>
      <c r="P244" s="46"/>
      <c r="Q244" s="46"/>
    </row>
    <row r="245" spans="1:17" ht="33.7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203"/>
      <c r="C245" s="203"/>
      <c r="D245" s="203" t="s">
        <v>496</v>
      </c>
      <c r="E245" s="204" t="s">
        <v>499</v>
      </c>
      <c r="F245" s="66" t="s">
        <v>360</v>
      </c>
      <c r="G245" s="64" t="s">
        <v>605</v>
      </c>
      <c r="H245" s="49"/>
      <c r="I245" s="49"/>
      <c r="J245" s="46"/>
      <c r="K245" s="46"/>
      <c r="L245" s="49"/>
      <c r="M245" s="49"/>
      <c r="N245" s="49"/>
      <c r="O245" s="129"/>
      <c r="P245" s="46"/>
      <c r="Q245" s="46"/>
    </row>
    <row r="246" spans="1:17" ht="33.7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203"/>
      <c r="C246" s="206"/>
      <c r="D246" s="206"/>
      <c r="E246" s="206"/>
      <c r="F246" s="66" t="s">
        <v>361</v>
      </c>
      <c r="G246" s="64" t="s">
        <v>605</v>
      </c>
      <c r="H246" s="49"/>
      <c r="I246" s="49"/>
      <c r="J246" s="46"/>
      <c r="K246" s="46"/>
      <c r="L246" s="49"/>
      <c r="M246" s="49"/>
      <c r="N246" s="49"/>
      <c r="O246" s="129"/>
      <c r="P246" s="46"/>
      <c r="Q246" s="46"/>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203"/>
      <c r="C247" s="204" t="s">
        <v>362</v>
      </c>
      <c r="D247" s="203" t="s">
        <v>214</v>
      </c>
      <c r="E247" s="206" t="s">
        <v>232</v>
      </c>
      <c r="F247" s="66" t="s">
        <v>363</v>
      </c>
      <c r="G247" s="64" t="s">
        <v>605</v>
      </c>
      <c r="H247" s="49"/>
      <c r="I247" s="49"/>
      <c r="J247" s="46"/>
      <c r="K247" s="46"/>
      <c r="L247" s="49"/>
      <c r="M247" s="49"/>
      <c r="N247" s="49"/>
      <c r="O247" s="129"/>
      <c r="P247" s="46"/>
      <c r="Q247" s="46"/>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203"/>
      <c r="C248" s="204"/>
      <c r="D248" s="203"/>
      <c r="E248" s="206" t="s">
        <v>236</v>
      </c>
      <c r="F248" s="66" t="s">
        <v>364</v>
      </c>
      <c r="G248" s="64" t="s">
        <v>605</v>
      </c>
      <c r="H248" s="49"/>
      <c r="I248" s="49"/>
      <c r="J248" s="46"/>
      <c r="K248" s="46"/>
      <c r="L248" s="49"/>
      <c r="M248" s="49"/>
      <c r="N248" s="49"/>
      <c r="O248" s="129"/>
      <c r="P248" s="46"/>
      <c r="Q248" s="46"/>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203"/>
      <c r="C249" s="219"/>
      <c r="D249" s="204"/>
      <c r="E249" s="206" t="s">
        <v>215</v>
      </c>
      <c r="F249" s="66" t="s">
        <v>365</v>
      </c>
      <c r="G249" s="64" t="s">
        <v>605</v>
      </c>
      <c r="H249" s="49"/>
      <c r="I249" s="49"/>
      <c r="J249" s="46"/>
      <c r="K249" s="46"/>
      <c r="L249" s="49"/>
      <c r="M249" s="49"/>
      <c r="N249" s="49"/>
      <c r="O249" s="129"/>
      <c r="P249" s="46"/>
      <c r="Q249" s="46"/>
    </row>
    <row r="250" spans="1:17" ht="33.7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203"/>
      <c r="C250" s="204"/>
      <c r="D250" s="206"/>
      <c r="E250" s="206" t="s">
        <v>239</v>
      </c>
      <c r="F250" s="66" t="s">
        <v>366</v>
      </c>
      <c r="G250" s="64" t="s">
        <v>605</v>
      </c>
      <c r="H250" s="49"/>
      <c r="I250" s="49"/>
      <c r="J250" s="46"/>
      <c r="K250" s="46"/>
      <c r="L250" s="49"/>
      <c r="M250" s="49"/>
      <c r="N250" s="49"/>
      <c r="O250" s="129"/>
      <c r="P250" s="46"/>
      <c r="Q250" s="46"/>
    </row>
    <row r="251" spans="1:17" ht="22.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203"/>
      <c r="C251" s="219"/>
      <c r="D251" s="203" t="s">
        <v>248</v>
      </c>
      <c r="E251" s="220" t="s">
        <v>499</v>
      </c>
      <c r="F251" s="66" t="s">
        <v>367</v>
      </c>
      <c r="G251" s="64" t="s">
        <v>605</v>
      </c>
      <c r="H251" s="49"/>
      <c r="I251" s="49"/>
      <c r="J251" s="46"/>
      <c r="K251" s="46"/>
      <c r="L251" s="49"/>
      <c r="M251" s="49"/>
      <c r="N251" s="49"/>
      <c r="O251" s="129"/>
      <c r="P251" s="46"/>
      <c r="Q251" s="46"/>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203"/>
      <c r="C252" s="219"/>
      <c r="D252" s="204"/>
      <c r="E252" s="206"/>
      <c r="F252" s="66" t="s">
        <v>368</v>
      </c>
      <c r="G252" s="64" t="s">
        <v>605</v>
      </c>
      <c r="H252" s="49"/>
      <c r="I252" s="49"/>
      <c r="J252" s="46"/>
      <c r="K252" s="46"/>
      <c r="L252" s="49"/>
      <c r="M252" s="49"/>
      <c r="N252" s="49"/>
      <c r="O252" s="129"/>
      <c r="P252" s="46"/>
      <c r="Q252" s="46"/>
    </row>
    <row r="253" spans="1:17" ht="33.7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203"/>
      <c r="C253" s="219"/>
      <c r="D253" s="204"/>
      <c r="E253" s="204" t="s">
        <v>127</v>
      </c>
      <c r="F253" s="66" t="s">
        <v>369</v>
      </c>
      <c r="G253" s="64" t="s">
        <v>605</v>
      </c>
      <c r="H253" s="49"/>
      <c r="I253" s="49"/>
      <c r="J253" s="46"/>
      <c r="K253" s="46"/>
      <c r="L253" s="49"/>
      <c r="M253" s="49"/>
      <c r="N253" s="49"/>
      <c r="O253" s="129"/>
      <c r="P253" s="46"/>
      <c r="Q253" s="46"/>
    </row>
    <row r="254" spans="1:17" ht="33.7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203"/>
      <c r="C254" s="219"/>
      <c r="D254" s="204"/>
      <c r="E254" s="204"/>
      <c r="F254" s="66" t="s">
        <v>370</v>
      </c>
      <c r="G254" s="64" t="s">
        <v>605</v>
      </c>
      <c r="H254" s="49"/>
      <c r="I254" s="49"/>
      <c r="J254" s="46"/>
      <c r="K254" s="46"/>
      <c r="L254" s="49"/>
      <c r="M254" s="49"/>
      <c r="N254" s="49"/>
      <c r="O254" s="129"/>
      <c r="P254" s="46"/>
      <c r="Q254" s="46"/>
    </row>
    <row r="255" spans="1:17" ht="33.7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203"/>
      <c r="C255" s="219"/>
      <c r="D255" s="204"/>
      <c r="E255" s="204"/>
      <c r="F255" s="66" t="s">
        <v>556</v>
      </c>
      <c r="G255" s="64" t="s">
        <v>605</v>
      </c>
      <c r="H255" s="49"/>
      <c r="I255" s="49"/>
      <c r="J255" s="46"/>
      <c r="K255" s="46"/>
      <c r="L255" s="49"/>
      <c r="M255" s="49"/>
      <c r="N255" s="49"/>
      <c r="O255" s="129"/>
      <c r="P255" s="46"/>
      <c r="Q255" s="46"/>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203"/>
      <c r="C256" s="219"/>
      <c r="D256" s="204"/>
      <c r="E256" s="204"/>
      <c r="F256" s="66" t="s">
        <v>372</v>
      </c>
      <c r="G256" s="64" t="s">
        <v>605</v>
      </c>
      <c r="H256" s="49"/>
      <c r="I256" s="49"/>
      <c r="J256" s="46"/>
      <c r="K256" s="46"/>
      <c r="L256" s="49"/>
      <c r="M256" s="49"/>
      <c r="N256" s="49"/>
      <c r="O256" s="129"/>
      <c r="P256" s="46"/>
      <c r="Q256" s="46"/>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203"/>
      <c r="C257" s="203"/>
      <c r="D257" s="203"/>
      <c r="E257" s="220"/>
      <c r="F257" s="66" t="s">
        <v>373</v>
      </c>
      <c r="G257" s="64" t="s">
        <v>605</v>
      </c>
      <c r="H257" s="49"/>
      <c r="I257" s="49"/>
      <c r="J257" s="46"/>
      <c r="K257" s="46"/>
      <c r="L257" s="49"/>
      <c r="M257" s="49"/>
      <c r="N257" s="49"/>
      <c r="O257" s="129"/>
      <c r="P257" s="46"/>
      <c r="Q257" s="46"/>
    </row>
    <row r="258" spans="1:17" ht="22.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203"/>
      <c r="C258" s="203"/>
      <c r="D258" s="203"/>
      <c r="E258" s="220"/>
      <c r="F258" s="66" t="s">
        <v>374</v>
      </c>
      <c r="G258" s="64" t="s">
        <v>605</v>
      </c>
      <c r="H258" s="49"/>
      <c r="I258" s="49"/>
      <c r="J258" s="46"/>
      <c r="K258" s="46"/>
      <c r="L258" s="49"/>
      <c r="M258" s="49"/>
      <c r="N258" s="49"/>
      <c r="O258" s="129"/>
      <c r="P258" s="46"/>
      <c r="Q258" s="46"/>
    </row>
    <row r="259" spans="1:17" ht="22.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203"/>
      <c r="C259" s="203"/>
      <c r="D259" s="203"/>
      <c r="E259" s="220"/>
      <c r="F259" s="66" t="s">
        <v>375</v>
      </c>
      <c r="G259" s="64" t="s">
        <v>605</v>
      </c>
      <c r="H259" s="49"/>
      <c r="I259" s="49"/>
      <c r="J259" s="46"/>
      <c r="K259" s="46"/>
      <c r="L259" s="49"/>
      <c r="M259" s="49"/>
      <c r="N259" s="49"/>
      <c r="O259" s="129"/>
      <c r="P259" s="46"/>
      <c r="Q259" s="46"/>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203"/>
      <c r="C260" s="203"/>
      <c r="D260" s="203"/>
      <c r="E260" s="220"/>
      <c r="F260" s="66" t="s">
        <v>376</v>
      </c>
      <c r="G260" s="64" t="s">
        <v>605</v>
      </c>
      <c r="H260" s="49"/>
      <c r="I260" s="49"/>
      <c r="J260" s="46"/>
      <c r="K260" s="46"/>
      <c r="L260" s="49"/>
      <c r="M260" s="49"/>
      <c r="N260" s="49"/>
      <c r="O260" s="129"/>
      <c r="P260" s="46"/>
      <c r="Q260" s="46"/>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203"/>
      <c r="C261" s="203"/>
      <c r="D261" s="203"/>
      <c r="E261" s="220"/>
      <c r="F261" s="66" t="s">
        <v>377</v>
      </c>
      <c r="G261" s="64" t="s">
        <v>605</v>
      </c>
      <c r="H261" s="49"/>
      <c r="I261" s="49"/>
      <c r="J261" s="46"/>
      <c r="K261" s="46"/>
      <c r="L261" s="49"/>
      <c r="M261" s="49"/>
      <c r="N261" s="49"/>
      <c r="O261" s="129"/>
      <c r="P261" s="46"/>
      <c r="Q261" s="46"/>
    </row>
    <row r="262" spans="1:17" ht="33.7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203"/>
      <c r="C262" s="203"/>
      <c r="D262" s="203"/>
      <c r="E262" s="204"/>
      <c r="F262" s="66" t="s">
        <v>378</v>
      </c>
      <c r="G262" s="64" t="s">
        <v>605</v>
      </c>
      <c r="H262" s="49"/>
      <c r="I262" s="49"/>
      <c r="J262" s="46"/>
      <c r="K262" s="46"/>
      <c r="L262" s="49"/>
      <c r="M262" s="49"/>
      <c r="N262" s="49"/>
      <c r="O262" s="129"/>
      <c r="P262" s="46"/>
      <c r="Q262" s="46"/>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203"/>
      <c r="C263" s="203"/>
      <c r="D263" s="203"/>
      <c r="E263" s="206"/>
      <c r="F263" s="66" t="s">
        <v>379</v>
      </c>
      <c r="G263" s="64" t="s">
        <v>605</v>
      </c>
      <c r="H263" s="49"/>
      <c r="I263" s="49"/>
      <c r="J263" s="46"/>
      <c r="K263" s="46"/>
      <c r="L263" s="49"/>
      <c r="M263" s="49"/>
      <c r="N263" s="49"/>
      <c r="O263" s="129"/>
      <c r="P263" s="46"/>
      <c r="Q263" s="46"/>
    </row>
    <row r="264" spans="1:17">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203"/>
      <c r="C264" s="203"/>
      <c r="D264" s="203"/>
      <c r="E264" s="204" t="s">
        <v>61</v>
      </c>
      <c r="F264" s="66" t="s">
        <v>380</v>
      </c>
      <c r="G264" s="64" t="s">
        <v>605</v>
      </c>
      <c r="H264" s="49"/>
      <c r="I264" s="49"/>
      <c r="J264" s="46"/>
      <c r="K264" s="46"/>
      <c r="L264" s="49"/>
      <c r="M264" s="49"/>
      <c r="N264" s="49"/>
      <c r="O264" s="129"/>
      <c r="P264" s="46"/>
      <c r="Q264" s="46"/>
    </row>
    <row r="265" spans="1:17">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203"/>
      <c r="C265" s="203"/>
      <c r="D265" s="203"/>
      <c r="E265" s="204"/>
      <c r="F265" s="66" t="s">
        <v>381</v>
      </c>
      <c r="G265" s="64" t="s">
        <v>605</v>
      </c>
      <c r="H265" s="49"/>
      <c r="I265" s="49"/>
      <c r="J265" s="46"/>
      <c r="K265" s="46"/>
      <c r="L265" s="49"/>
      <c r="M265" s="49"/>
      <c r="N265" s="49"/>
      <c r="O265" s="129"/>
      <c r="P265" s="46"/>
      <c r="Q265" s="46"/>
    </row>
    <row r="266" spans="1:17" ht="22.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203"/>
      <c r="C266" s="219"/>
      <c r="D266" s="203"/>
      <c r="E266" s="204"/>
      <c r="F266" s="66" t="s">
        <v>382</v>
      </c>
      <c r="G266" s="64" t="s">
        <v>605</v>
      </c>
      <c r="H266" s="49"/>
      <c r="I266" s="49"/>
      <c r="J266" s="46"/>
      <c r="K266" s="46"/>
      <c r="L266" s="49"/>
      <c r="M266" s="49"/>
      <c r="N266" s="49"/>
      <c r="O266" s="129"/>
      <c r="P266" s="46"/>
      <c r="Q266" s="46"/>
    </row>
    <row r="267" spans="1:17" ht="22.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203"/>
      <c r="C267" s="219"/>
      <c r="D267" s="204"/>
      <c r="E267" s="204"/>
      <c r="F267" s="66" t="s">
        <v>383</v>
      </c>
      <c r="G267" s="64" t="s">
        <v>605</v>
      </c>
      <c r="H267" s="49"/>
      <c r="I267" s="49"/>
      <c r="J267" s="46"/>
      <c r="K267" s="46"/>
      <c r="L267" s="49"/>
      <c r="M267" s="49"/>
      <c r="N267" s="49"/>
      <c r="O267" s="129"/>
      <c r="P267" s="46"/>
      <c r="Q267" s="46"/>
    </row>
    <row r="268" spans="1:17" ht="22.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203"/>
      <c r="C268" s="219"/>
      <c r="D268" s="204"/>
      <c r="E268" s="204"/>
      <c r="F268" s="66" t="s">
        <v>384</v>
      </c>
      <c r="G268" s="64" t="s">
        <v>605</v>
      </c>
      <c r="H268" s="49"/>
      <c r="I268" s="49"/>
      <c r="J268" s="46"/>
      <c r="K268" s="46"/>
      <c r="L268" s="49"/>
      <c r="M268" s="49"/>
      <c r="N268" s="49"/>
      <c r="O268" s="129"/>
      <c r="P268" s="46"/>
      <c r="Q268" s="46"/>
    </row>
    <row r="269" spans="1:17" ht="33.7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203"/>
      <c r="C269" s="219"/>
      <c r="D269" s="204"/>
      <c r="E269" s="206"/>
      <c r="F269" s="66" t="s">
        <v>385</v>
      </c>
      <c r="G269" s="64" t="s">
        <v>605</v>
      </c>
      <c r="H269" s="49"/>
      <c r="I269" s="49"/>
      <c r="J269" s="46"/>
      <c r="K269" s="46"/>
      <c r="L269" s="49"/>
      <c r="M269" s="49"/>
      <c r="N269" s="49"/>
      <c r="O269" s="129"/>
      <c r="P269" s="46"/>
      <c r="Q269" s="46"/>
    </row>
    <row r="270" spans="1:17" ht="22.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203"/>
      <c r="C270" s="219"/>
      <c r="D270" s="204"/>
      <c r="E270" s="204" t="s">
        <v>205</v>
      </c>
      <c r="F270" s="66" t="s">
        <v>386</v>
      </c>
      <c r="G270" s="64" t="s">
        <v>605</v>
      </c>
      <c r="H270" s="49"/>
      <c r="I270" s="49"/>
      <c r="J270" s="46"/>
      <c r="K270" s="46"/>
      <c r="L270" s="49"/>
      <c r="M270" s="49"/>
      <c r="N270" s="49"/>
      <c r="O270" s="129"/>
      <c r="P270" s="46"/>
      <c r="Q270" s="46"/>
    </row>
    <row r="271" spans="1:17" ht="33.7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203"/>
      <c r="C271" s="219"/>
      <c r="D271" s="204"/>
      <c r="E271" s="204"/>
      <c r="F271" s="66" t="s">
        <v>387</v>
      </c>
      <c r="G271" s="64" t="s">
        <v>605</v>
      </c>
      <c r="H271" s="49"/>
      <c r="I271" s="49"/>
      <c r="J271" s="46"/>
      <c r="K271" s="46"/>
      <c r="L271" s="49"/>
      <c r="M271" s="49"/>
      <c r="N271" s="49"/>
      <c r="O271" s="129"/>
      <c r="P271" s="46"/>
      <c r="Q271" s="46"/>
    </row>
    <row r="272" spans="1:17" ht="4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203"/>
      <c r="C272" s="219"/>
      <c r="D272" s="204"/>
      <c r="E272" s="204"/>
      <c r="F272" s="66" t="s">
        <v>388</v>
      </c>
      <c r="G272" s="64" t="s">
        <v>605</v>
      </c>
      <c r="H272" s="49"/>
      <c r="I272" s="49"/>
      <c r="J272" s="46"/>
      <c r="K272" s="46"/>
      <c r="L272" s="49"/>
      <c r="M272" s="49"/>
      <c r="N272" s="49"/>
      <c r="O272" s="129"/>
      <c r="P272" s="46"/>
      <c r="Q272" s="46"/>
    </row>
    <row r="273" spans="1:17" ht="4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203"/>
      <c r="C273" s="219"/>
      <c r="D273" s="204"/>
      <c r="E273" s="204"/>
      <c r="F273" s="66" t="s">
        <v>389</v>
      </c>
      <c r="G273" s="64" t="s">
        <v>605</v>
      </c>
      <c r="H273" s="49"/>
      <c r="I273" s="49"/>
      <c r="J273" s="46"/>
      <c r="K273" s="46"/>
      <c r="L273" s="49"/>
      <c r="M273" s="49"/>
      <c r="N273" s="49"/>
      <c r="O273" s="129"/>
      <c r="P273" s="46"/>
      <c r="Q273" s="46"/>
    </row>
    <row r="274" spans="1:17" ht="22.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203"/>
      <c r="C274" s="219"/>
      <c r="D274" s="204"/>
      <c r="E274" s="204"/>
      <c r="F274" s="66" t="s">
        <v>390</v>
      </c>
      <c r="G274" s="64" t="s">
        <v>605</v>
      </c>
      <c r="H274" s="49"/>
      <c r="I274" s="49"/>
      <c r="J274" s="46"/>
      <c r="K274" s="46"/>
      <c r="L274" s="49"/>
      <c r="M274" s="49"/>
      <c r="N274" s="49"/>
      <c r="O274" s="129"/>
      <c r="P274" s="46"/>
      <c r="Q274" s="46"/>
    </row>
    <row r="275" spans="1:17" ht="4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203"/>
      <c r="C275" s="219"/>
      <c r="D275" s="204"/>
      <c r="E275" s="204"/>
      <c r="F275" s="66" t="s">
        <v>391</v>
      </c>
      <c r="G275" s="64" t="s">
        <v>605</v>
      </c>
      <c r="H275" s="49"/>
      <c r="I275" s="49"/>
      <c r="J275" s="46"/>
      <c r="K275" s="46"/>
      <c r="L275" s="49"/>
      <c r="M275" s="49"/>
      <c r="N275" s="49"/>
      <c r="O275" s="129"/>
      <c r="P275" s="46"/>
      <c r="Q275" s="46"/>
    </row>
    <row r="276" spans="1:17" ht="4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203"/>
      <c r="C276" s="219"/>
      <c r="D276" s="204"/>
      <c r="E276" s="204"/>
      <c r="F276" s="66" t="s">
        <v>392</v>
      </c>
      <c r="G276" s="64" t="s">
        <v>605</v>
      </c>
      <c r="H276" s="49"/>
      <c r="I276" s="49"/>
      <c r="J276" s="46"/>
      <c r="K276" s="46"/>
      <c r="L276" s="49"/>
      <c r="M276" s="49"/>
      <c r="N276" s="49"/>
      <c r="O276" s="129"/>
      <c r="P276" s="46"/>
      <c r="Q276" s="46"/>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203"/>
      <c r="C277" s="219"/>
      <c r="D277" s="204"/>
      <c r="E277" s="206"/>
      <c r="F277" s="66" t="s">
        <v>393</v>
      </c>
      <c r="G277" s="64" t="s">
        <v>605</v>
      </c>
      <c r="H277" s="49"/>
      <c r="I277" s="49"/>
      <c r="J277" s="46"/>
      <c r="K277" s="46"/>
      <c r="L277" s="49"/>
      <c r="M277" s="49"/>
      <c r="N277" s="49"/>
      <c r="O277" s="129"/>
      <c r="P277" s="46"/>
      <c r="Q277" s="46"/>
    </row>
    <row r="278" spans="1:17" ht="22.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206"/>
      <c r="C278" s="223"/>
      <c r="D278" s="205"/>
      <c r="E278" s="205" t="s">
        <v>239</v>
      </c>
      <c r="F278" s="66" t="s">
        <v>394</v>
      </c>
      <c r="G278" s="64" t="s">
        <v>605</v>
      </c>
      <c r="H278" s="49"/>
      <c r="I278" s="49"/>
      <c r="J278" s="46"/>
      <c r="K278" s="46"/>
      <c r="L278" s="49"/>
      <c r="M278" s="49"/>
      <c r="N278" s="49"/>
      <c r="O278" s="129"/>
      <c r="P278" s="46"/>
      <c r="Q278" s="46"/>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95" t="s">
        <v>395</v>
      </c>
      <c r="C279" s="195" t="s">
        <v>396</v>
      </c>
      <c r="D279" s="195" t="s">
        <v>499</v>
      </c>
      <c r="E279" s="242" t="s">
        <v>499</v>
      </c>
      <c r="F279" s="94" t="s">
        <v>397</v>
      </c>
      <c r="G279" s="95"/>
      <c r="H279" s="96"/>
      <c r="I279" s="96"/>
      <c r="J279" s="235" t="s">
        <v>643</v>
      </c>
      <c r="K279" s="97"/>
      <c r="L279" s="96"/>
      <c r="M279" s="96"/>
      <c r="N279" s="96"/>
      <c r="O279" s="126"/>
      <c r="P279" s="97"/>
      <c r="Q279" s="97"/>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96"/>
      <c r="C280" s="196"/>
      <c r="D280" s="196"/>
      <c r="E280" s="199"/>
      <c r="F280" s="94" t="s">
        <v>398</v>
      </c>
      <c r="G280" s="95"/>
      <c r="H280" s="96"/>
      <c r="I280" s="96"/>
      <c r="J280" s="235" t="s">
        <v>643</v>
      </c>
      <c r="K280" s="97"/>
      <c r="L280" s="96"/>
      <c r="M280" s="96"/>
      <c r="N280" s="96"/>
      <c r="O280" s="126"/>
      <c r="P280" s="97"/>
      <c r="Q280" s="97"/>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96"/>
      <c r="C281" s="196"/>
      <c r="D281" s="196"/>
      <c r="E281" s="199"/>
      <c r="F281" s="94" t="s">
        <v>399</v>
      </c>
      <c r="G281" s="95"/>
      <c r="H281" s="96"/>
      <c r="I281" s="96"/>
      <c r="J281" s="235" t="s">
        <v>643</v>
      </c>
      <c r="K281" s="97"/>
      <c r="L281" s="96"/>
      <c r="M281" s="96"/>
      <c r="N281" s="96"/>
      <c r="O281" s="126"/>
      <c r="P281" s="97"/>
      <c r="Q281" s="97"/>
    </row>
    <row r="282" spans="1:17" ht="22.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96"/>
      <c r="C282" s="198"/>
      <c r="D282" s="198"/>
      <c r="E282" s="198"/>
      <c r="F282" s="94" t="s">
        <v>400</v>
      </c>
      <c r="G282" s="95"/>
      <c r="H282" s="96"/>
      <c r="I282" s="96"/>
      <c r="J282" s="235" t="s">
        <v>643</v>
      </c>
      <c r="K282" s="97"/>
      <c r="L282" s="96"/>
      <c r="M282" s="96"/>
      <c r="N282" s="96"/>
      <c r="O282" s="126"/>
      <c r="P282" s="97"/>
      <c r="Q282" s="97"/>
    </row>
    <row r="283" spans="1:17" ht="22.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96"/>
      <c r="C283" s="196" t="s">
        <v>401</v>
      </c>
      <c r="D283" s="196" t="s">
        <v>214</v>
      </c>
      <c r="E283" s="198" t="s">
        <v>232</v>
      </c>
      <c r="F283" s="94" t="s">
        <v>402</v>
      </c>
      <c r="G283" s="95"/>
      <c r="H283" s="96"/>
      <c r="I283" s="96"/>
      <c r="J283" s="235" t="s">
        <v>643</v>
      </c>
      <c r="K283" s="97"/>
      <c r="L283" s="96"/>
      <c r="M283" s="96"/>
      <c r="N283" s="96"/>
      <c r="O283" s="126"/>
      <c r="P283" s="97"/>
      <c r="Q283" s="97"/>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96"/>
      <c r="C284" s="196"/>
      <c r="D284" s="196"/>
      <c r="E284" s="198" t="s">
        <v>234</v>
      </c>
      <c r="F284" s="94" t="s">
        <v>403</v>
      </c>
      <c r="G284" s="95"/>
      <c r="H284" s="96"/>
      <c r="I284" s="96"/>
      <c r="J284" s="235" t="s">
        <v>643</v>
      </c>
      <c r="K284" s="97"/>
      <c r="L284" s="96"/>
      <c r="M284" s="96"/>
      <c r="N284" s="96"/>
      <c r="O284" s="126"/>
      <c r="P284" s="97"/>
      <c r="Q284" s="97"/>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96"/>
      <c r="C285" s="196"/>
      <c r="D285" s="196"/>
      <c r="E285" s="198" t="s">
        <v>236</v>
      </c>
      <c r="F285" s="94" t="s">
        <v>404</v>
      </c>
      <c r="G285" s="95"/>
      <c r="H285" s="96"/>
      <c r="I285" s="96"/>
      <c r="J285" s="235" t="s">
        <v>643</v>
      </c>
      <c r="K285" s="97"/>
      <c r="L285" s="96"/>
      <c r="M285" s="96"/>
      <c r="N285" s="96"/>
      <c r="O285" s="126"/>
      <c r="P285" s="97"/>
      <c r="Q285" s="97"/>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96"/>
      <c r="C286" s="196"/>
      <c r="D286" s="198"/>
      <c r="E286" s="198" t="s">
        <v>152</v>
      </c>
      <c r="F286" s="94" t="s">
        <v>405</v>
      </c>
      <c r="G286" s="95"/>
      <c r="H286" s="96"/>
      <c r="I286" s="96"/>
      <c r="J286" s="235" t="s">
        <v>643</v>
      </c>
      <c r="K286" s="97"/>
      <c r="L286" s="96"/>
      <c r="M286" s="96"/>
      <c r="N286" s="96"/>
      <c r="O286" s="126"/>
      <c r="P286" s="97"/>
      <c r="Q286" s="97"/>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96"/>
      <c r="C287" s="197"/>
      <c r="D287" s="196" t="s">
        <v>406</v>
      </c>
      <c r="E287" s="199" t="s">
        <v>407</v>
      </c>
      <c r="F287" s="94" t="s">
        <v>408</v>
      </c>
      <c r="G287" s="95"/>
      <c r="H287" s="96"/>
      <c r="I287" s="96"/>
      <c r="J287" s="235" t="s">
        <v>643</v>
      </c>
      <c r="K287" s="97"/>
      <c r="L287" s="96"/>
      <c r="M287" s="96"/>
      <c r="N287" s="96"/>
      <c r="O287" s="126"/>
      <c r="P287" s="97"/>
      <c r="Q287" s="97"/>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96"/>
      <c r="C288" s="197"/>
      <c r="D288" s="199"/>
      <c r="E288" s="199"/>
      <c r="F288" s="94" t="s">
        <v>409</v>
      </c>
      <c r="G288" s="95"/>
      <c r="H288" s="96"/>
      <c r="I288" s="96"/>
      <c r="J288" s="235" t="s">
        <v>643</v>
      </c>
      <c r="K288" s="97"/>
      <c r="L288" s="96"/>
      <c r="M288" s="96"/>
      <c r="N288" s="96"/>
      <c r="O288" s="126"/>
      <c r="P288" s="97"/>
      <c r="Q288" s="97"/>
    </row>
    <row r="289" spans="1:17" ht="33.7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96"/>
      <c r="C289" s="197"/>
      <c r="D289" s="199"/>
      <c r="E289" s="199"/>
      <c r="F289" s="94" t="s">
        <v>410</v>
      </c>
      <c r="G289" s="95"/>
      <c r="H289" s="96"/>
      <c r="I289" s="96"/>
      <c r="J289" s="235" t="s">
        <v>643</v>
      </c>
      <c r="K289" s="97"/>
      <c r="L289" s="96"/>
      <c r="M289" s="96"/>
      <c r="N289" s="96"/>
      <c r="O289" s="126"/>
      <c r="P289" s="97"/>
      <c r="Q289" s="97"/>
    </row>
    <row r="290" spans="1:17" ht="33.7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96"/>
      <c r="C290" s="197"/>
      <c r="D290" s="199"/>
      <c r="E290" s="199"/>
      <c r="F290" s="94" t="s">
        <v>557</v>
      </c>
      <c r="G290" s="95"/>
      <c r="H290" s="96"/>
      <c r="I290" s="96"/>
      <c r="J290" s="235" t="s">
        <v>643</v>
      </c>
      <c r="K290" s="97"/>
      <c r="L290" s="96"/>
      <c r="M290" s="96"/>
      <c r="N290" s="96"/>
      <c r="O290" s="126"/>
      <c r="P290" s="97"/>
      <c r="Q290" s="97"/>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96"/>
      <c r="C291" s="197"/>
      <c r="D291" s="199"/>
      <c r="E291" s="199"/>
      <c r="F291" s="94" t="s">
        <v>546</v>
      </c>
      <c r="G291" s="95"/>
      <c r="H291" s="96"/>
      <c r="I291" s="96"/>
      <c r="J291" s="235" t="s">
        <v>643</v>
      </c>
      <c r="K291" s="97"/>
      <c r="L291" s="96"/>
      <c r="M291" s="96"/>
      <c r="N291" s="96"/>
      <c r="O291" s="126"/>
      <c r="P291" s="97"/>
      <c r="Q291" s="97"/>
    </row>
    <row r="292" spans="1:17" ht="33.7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96"/>
      <c r="C292" s="197"/>
      <c r="D292" s="199"/>
      <c r="E292" s="199"/>
      <c r="F292" s="94" t="s">
        <v>547</v>
      </c>
      <c r="G292" s="95"/>
      <c r="H292" s="96"/>
      <c r="I292" s="96"/>
      <c r="J292" s="235" t="s">
        <v>643</v>
      </c>
      <c r="K292" s="97"/>
      <c r="L292" s="96"/>
      <c r="M292" s="96"/>
      <c r="N292" s="96"/>
      <c r="O292" s="126"/>
      <c r="P292" s="97"/>
      <c r="Q292" s="97"/>
    </row>
    <row r="293" spans="1:17" ht="33.7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96"/>
      <c r="C293" s="197"/>
      <c r="D293" s="199"/>
      <c r="E293" s="199"/>
      <c r="F293" s="94" t="s">
        <v>558</v>
      </c>
      <c r="G293" s="95"/>
      <c r="H293" s="96"/>
      <c r="I293" s="96"/>
      <c r="J293" s="235" t="s">
        <v>643</v>
      </c>
      <c r="K293" s="97"/>
      <c r="L293" s="96"/>
      <c r="M293" s="96"/>
      <c r="N293" s="96"/>
      <c r="O293" s="126"/>
      <c r="P293" s="97"/>
      <c r="Q293" s="97"/>
    </row>
    <row r="294" spans="1:17" ht="22.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96"/>
      <c r="C294" s="197"/>
      <c r="D294" s="199"/>
      <c r="E294" s="199"/>
      <c r="F294" s="94" t="s">
        <v>412</v>
      </c>
      <c r="G294" s="95"/>
      <c r="H294" s="96"/>
      <c r="I294" s="96"/>
      <c r="J294" s="235" t="s">
        <v>643</v>
      </c>
      <c r="K294" s="97"/>
      <c r="L294" s="96"/>
      <c r="M294" s="96"/>
      <c r="N294" s="96"/>
      <c r="O294" s="126"/>
      <c r="P294" s="97"/>
      <c r="Q294" s="97"/>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98"/>
      <c r="C295" s="243"/>
      <c r="D295" s="200"/>
      <c r="E295" s="200"/>
      <c r="F295" s="94" t="s">
        <v>413</v>
      </c>
      <c r="G295" s="95"/>
      <c r="H295" s="96"/>
      <c r="I295" s="96"/>
      <c r="J295" s="235" t="s">
        <v>643</v>
      </c>
      <c r="K295" s="97"/>
      <c r="L295" s="96"/>
      <c r="M295" s="96"/>
      <c r="N295" s="96"/>
      <c r="O295" s="126"/>
      <c r="P295" s="97"/>
      <c r="Q295" s="97"/>
    </row>
    <row r="296" spans="1:17" s="30" customFormat="1" ht="22.5">
      <c r="A296" s="4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101-1-1</v>
      </c>
      <c r="B296" s="225" t="s">
        <v>414</v>
      </c>
      <c r="C296" s="217" t="s">
        <v>415</v>
      </c>
      <c r="D296" s="207" t="s">
        <v>416</v>
      </c>
      <c r="E296" s="212" t="s">
        <v>495</v>
      </c>
      <c r="F296" s="94" t="s">
        <v>417</v>
      </c>
      <c r="G296" s="80" t="s">
        <v>628</v>
      </c>
      <c r="H296" s="80"/>
      <c r="I296" s="80"/>
      <c r="J296" s="80"/>
      <c r="K296" s="123"/>
      <c r="L296" s="96"/>
      <c r="M296" s="96"/>
      <c r="N296" s="96"/>
      <c r="O296" s="126"/>
      <c r="P296" s="80"/>
      <c r="Q296" s="80"/>
    </row>
    <row r="297" spans="1:17" s="30" customFormat="1">
      <c r="A297" s="43"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101-2-1</v>
      </c>
      <c r="B297" s="214"/>
      <c r="C297" s="210"/>
      <c r="D297" s="207"/>
      <c r="E297" s="207"/>
      <c r="F297" s="94" t="s">
        <v>418</v>
      </c>
      <c r="G297" s="80" t="s">
        <v>628</v>
      </c>
      <c r="H297" s="80"/>
      <c r="I297" s="80"/>
      <c r="J297" s="80"/>
      <c r="K297" s="123"/>
      <c r="L297" s="96"/>
      <c r="M297" s="96"/>
      <c r="N297" s="96"/>
      <c r="O297" s="126"/>
      <c r="P297" s="80"/>
      <c r="Q297" s="80"/>
    </row>
    <row r="298" spans="1:17" s="30" customFormat="1" ht="22.5">
      <c r="A298" s="43"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101-3-1</v>
      </c>
      <c r="B298" s="214"/>
      <c r="C298" s="210"/>
      <c r="D298" s="207"/>
      <c r="E298" s="207"/>
      <c r="F298" s="61" t="s">
        <v>419</v>
      </c>
      <c r="G298" s="32"/>
      <c r="H298" s="122" t="s">
        <v>660</v>
      </c>
      <c r="I298" s="122" t="s">
        <v>661</v>
      </c>
      <c r="J298" s="122" t="s">
        <v>1007</v>
      </c>
      <c r="K298" s="32" t="s">
        <v>662</v>
      </c>
      <c r="L298" s="116"/>
      <c r="M298" s="116"/>
      <c r="N298" s="54"/>
      <c r="O298" s="130"/>
      <c r="P298" s="32"/>
      <c r="Q298" s="32"/>
    </row>
    <row r="299" spans="1:17" s="30" customFormat="1" ht="22.5">
      <c r="A299" s="43"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101-4-1</v>
      </c>
      <c r="B299" s="214"/>
      <c r="C299" s="210"/>
      <c r="D299" s="207"/>
      <c r="E299" s="207"/>
      <c r="F299" s="61" t="s">
        <v>420</v>
      </c>
      <c r="G299" s="32"/>
      <c r="H299" s="122" t="s">
        <v>660</v>
      </c>
      <c r="I299" s="122" t="s">
        <v>661</v>
      </c>
      <c r="J299" s="122" t="s">
        <v>1007</v>
      </c>
      <c r="K299" s="32" t="s">
        <v>663</v>
      </c>
      <c r="L299" s="116"/>
      <c r="M299" s="116"/>
      <c r="N299" s="54"/>
      <c r="O299" s="130"/>
      <c r="P299" s="32"/>
      <c r="Q299" s="32"/>
    </row>
    <row r="300" spans="1:17" s="30" customFormat="1" ht="22.5">
      <c r="A300" s="43"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101-5-1</v>
      </c>
      <c r="B300" s="214"/>
      <c r="C300" s="210"/>
      <c r="D300" s="207"/>
      <c r="E300" s="207"/>
      <c r="F300" s="61" t="s">
        <v>421</v>
      </c>
      <c r="G300" s="32"/>
      <c r="H300" s="122" t="s">
        <v>660</v>
      </c>
      <c r="I300" s="122" t="s">
        <v>661</v>
      </c>
      <c r="J300" s="122" t="s">
        <v>1007</v>
      </c>
      <c r="K300" s="32" t="s">
        <v>664</v>
      </c>
      <c r="L300" s="116"/>
      <c r="M300" s="116"/>
      <c r="N300" s="54"/>
      <c r="O300" s="130"/>
      <c r="P300" s="32"/>
      <c r="Q300" s="32"/>
    </row>
    <row r="301" spans="1:17" ht="22.5">
      <c r="A301" s="43"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101-6-1</v>
      </c>
      <c r="B301" s="226"/>
      <c r="C301" s="227"/>
      <c r="D301" s="193"/>
      <c r="E301" s="193"/>
      <c r="F301" s="51" t="s">
        <v>593</v>
      </c>
      <c r="G301" s="51"/>
      <c r="H301" s="122" t="s">
        <v>660</v>
      </c>
      <c r="I301" s="122" t="s">
        <v>661</v>
      </c>
      <c r="J301" s="122" t="s">
        <v>1007</v>
      </c>
      <c r="K301" s="32" t="s">
        <v>665</v>
      </c>
      <c r="L301" s="78"/>
      <c r="M301" s="116"/>
      <c r="N301" s="54"/>
      <c r="O301" s="130"/>
      <c r="P301" s="116"/>
      <c r="Q301" s="116"/>
    </row>
    <row r="302" spans="1:17" s="30" customFormat="1" ht="33.75">
      <c r="A302" s="43"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101-7-1</v>
      </c>
      <c r="B302" s="214"/>
      <c r="C302" s="210"/>
      <c r="D302" s="207"/>
      <c r="E302" s="207"/>
      <c r="F302" s="61" t="s">
        <v>422</v>
      </c>
      <c r="G302" s="32"/>
      <c r="H302" s="122" t="s">
        <v>660</v>
      </c>
      <c r="I302" s="122" t="s">
        <v>666</v>
      </c>
      <c r="J302" s="122" t="s">
        <v>1008</v>
      </c>
      <c r="K302" s="32" t="s">
        <v>667</v>
      </c>
      <c r="L302" s="116"/>
      <c r="M302" s="116"/>
      <c r="N302" s="54"/>
      <c r="O302" s="130"/>
      <c r="P302" s="32"/>
      <c r="Q302" s="32"/>
    </row>
    <row r="303" spans="1:17" s="30" customFormat="1" ht="33.75">
      <c r="A303" s="43"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101-8-1</v>
      </c>
      <c r="B303" s="214"/>
      <c r="C303" s="210"/>
      <c r="D303" s="207"/>
      <c r="E303" s="207"/>
      <c r="F303" s="61" t="s">
        <v>423</v>
      </c>
      <c r="G303" s="32"/>
      <c r="H303" s="122" t="s">
        <v>660</v>
      </c>
      <c r="I303" s="122" t="s">
        <v>666</v>
      </c>
      <c r="J303" s="122" t="s">
        <v>1008</v>
      </c>
      <c r="K303" s="32" t="s">
        <v>668</v>
      </c>
      <c r="L303" s="116"/>
      <c r="M303" s="116"/>
      <c r="N303" s="54"/>
      <c r="O303" s="130"/>
      <c r="P303" s="32"/>
      <c r="Q303" s="32"/>
    </row>
    <row r="304" spans="1:17" s="30" customFormat="1" ht="22.5">
      <c r="A304" s="43"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101-9-1</v>
      </c>
      <c r="B304" s="214"/>
      <c r="C304" s="210"/>
      <c r="D304" s="207"/>
      <c r="E304" s="207"/>
      <c r="F304" s="61" t="s">
        <v>424</v>
      </c>
      <c r="G304" s="32"/>
      <c r="H304" s="122" t="s">
        <v>660</v>
      </c>
      <c r="I304" s="122" t="s">
        <v>669</v>
      </c>
      <c r="J304" s="122" t="s">
        <v>1007</v>
      </c>
      <c r="K304" s="32" t="s">
        <v>670</v>
      </c>
      <c r="L304" s="116"/>
      <c r="M304" s="116"/>
      <c r="N304" s="54"/>
      <c r="O304" s="130"/>
      <c r="P304" s="32"/>
      <c r="Q304" s="32"/>
    </row>
    <row r="305" spans="1:17" s="30" customFormat="1" ht="22.5">
      <c r="A305" s="43"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101-10-1</v>
      </c>
      <c r="B305" s="214"/>
      <c r="C305" s="210"/>
      <c r="D305" s="207"/>
      <c r="E305" s="207"/>
      <c r="F305" s="61" t="s">
        <v>425</v>
      </c>
      <c r="G305" s="32"/>
      <c r="H305" s="122" t="s">
        <v>660</v>
      </c>
      <c r="I305" s="122" t="s">
        <v>669</v>
      </c>
      <c r="J305" s="122" t="s">
        <v>1007</v>
      </c>
      <c r="K305" s="32" t="s">
        <v>671</v>
      </c>
      <c r="L305" s="116"/>
      <c r="M305" s="116"/>
      <c r="N305" s="54"/>
      <c r="O305" s="130"/>
      <c r="P305" s="32"/>
      <c r="Q305" s="32"/>
    </row>
    <row r="306" spans="1:17" s="30" customFormat="1" ht="22.5">
      <c r="A306" s="43"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101-11-1</v>
      </c>
      <c r="B306" s="214"/>
      <c r="C306" s="210"/>
      <c r="D306" s="207"/>
      <c r="E306" s="207"/>
      <c r="F306" s="61" t="s">
        <v>426</v>
      </c>
      <c r="G306" s="32"/>
      <c r="H306" s="122" t="s">
        <v>660</v>
      </c>
      <c r="I306" s="122" t="s">
        <v>669</v>
      </c>
      <c r="J306" s="122" t="s">
        <v>1007</v>
      </c>
      <c r="K306" s="32" t="s">
        <v>672</v>
      </c>
      <c r="L306" s="116"/>
      <c r="M306" s="116"/>
      <c r="N306" s="54"/>
      <c r="O306" s="130"/>
      <c r="P306" s="32"/>
      <c r="Q306" s="32"/>
    </row>
    <row r="307" spans="1:17" s="30" customFormat="1" ht="22.5">
      <c r="A307" s="43"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101-12-1</v>
      </c>
      <c r="B307" s="214"/>
      <c r="C307" s="210"/>
      <c r="D307" s="207"/>
      <c r="E307" s="207"/>
      <c r="F307" s="61" t="s">
        <v>427</v>
      </c>
      <c r="G307" s="32"/>
      <c r="H307" s="122" t="s">
        <v>660</v>
      </c>
      <c r="I307" s="122" t="s">
        <v>673</v>
      </c>
      <c r="J307" s="122" t="s">
        <v>1007</v>
      </c>
      <c r="K307" s="32" t="s">
        <v>674</v>
      </c>
      <c r="L307" s="116"/>
      <c r="M307" s="116"/>
      <c r="N307" s="54"/>
      <c r="O307" s="130"/>
      <c r="P307" s="32"/>
      <c r="Q307" s="32"/>
    </row>
    <row r="308" spans="1:17" s="30" customFormat="1" ht="22.5">
      <c r="A308" s="43"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101-13-1</v>
      </c>
      <c r="B308" s="214"/>
      <c r="C308" s="210"/>
      <c r="D308" s="207"/>
      <c r="E308" s="207"/>
      <c r="F308" s="61" t="s">
        <v>428</v>
      </c>
      <c r="G308" s="32"/>
      <c r="H308" s="122" t="s">
        <v>660</v>
      </c>
      <c r="I308" s="122" t="s">
        <v>673</v>
      </c>
      <c r="J308" s="122" t="s">
        <v>1007</v>
      </c>
      <c r="K308" s="32" t="s">
        <v>675</v>
      </c>
      <c r="L308" s="116"/>
      <c r="M308" s="116"/>
      <c r="N308" s="54"/>
      <c r="O308" s="130"/>
      <c r="P308" s="32"/>
      <c r="Q308" s="32"/>
    </row>
    <row r="309" spans="1:17" s="30" customFormat="1" ht="22.5">
      <c r="A309" s="43"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101-14-1</v>
      </c>
      <c r="B309" s="214"/>
      <c r="C309" s="210"/>
      <c r="D309" s="207"/>
      <c r="E309" s="207"/>
      <c r="F309" s="236" t="s">
        <v>429</v>
      </c>
      <c r="G309" s="80"/>
      <c r="H309" s="127"/>
      <c r="I309" s="127"/>
      <c r="J309" s="127" t="s">
        <v>1009</v>
      </c>
      <c r="K309" s="80"/>
      <c r="L309" s="96"/>
      <c r="M309" s="96"/>
      <c r="N309" s="96"/>
      <c r="O309" s="126"/>
      <c r="P309" s="80"/>
      <c r="Q309" s="80"/>
    </row>
    <row r="310" spans="1:17" s="30" customFormat="1" ht="22.5">
      <c r="A310" s="43"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101-15-1</v>
      </c>
      <c r="B310" s="214"/>
      <c r="C310" s="210"/>
      <c r="D310" s="207"/>
      <c r="E310" s="207"/>
      <c r="F310" s="61" t="s">
        <v>430</v>
      </c>
      <c r="G310" s="32"/>
      <c r="H310" s="122" t="s">
        <v>648</v>
      </c>
      <c r="I310" s="122" t="s">
        <v>676</v>
      </c>
      <c r="J310" s="122" t="s">
        <v>1007</v>
      </c>
      <c r="K310" s="32" t="s">
        <v>688</v>
      </c>
      <c r="L310" s="116"/>
      <c r="M310" s="116"/>
      <c r="N310" s="54"/>
      <c r="O310" s="130"/>
      <c r="P310" s="32"/>
      <c r="Q310" s="32"/>
    </row>
    <row r="311" spans="1:17" s="30" customFormat="1" ht="22.5">
      <c r="A311" s="43"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101-16-1</v>
      </c>
      <c r="B311" s="214"/>
      <c r="C311" s="210"/>
      <c r="D311" s="207"/>
      <c r="E311" s="207"/>
      <c r="F311" s="94" t="s">
        <v>431</v>
      </c>
      <c r="G311" s="80"/>
      <c r="H311" s="127"/>
      <c r="I311" s="127"/>
      <c r="J311" s="80" t="s">
        <v>916</v>
      </c>
      <c r="K311" s="80"/>
      <c r="L311" s="96"/>
      <c r="M311" s="96"/>
      <c r="N311" s="96"/>
      <c r="O311" s="126"/>
      <c r="P311" s="80"/>
      <c r="Q311" s="80"/>
    </row>
    <row r="312" spans="1:17" s="30" customFormat="1" ht="22.5">
      <c r="A312" s="43"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101-17-1</v>
      </c>
      <c r="B312" s="214"/>
      <c r="C312" s="210"/>
      <c r="D312" s="207"/>
      <c r="E312" s="207"/>
      <c r="F312" s="236" t="s">
        <v>432</v>
      </c>
      <c r="G312" s="80"/>
      <c r="H312" s="127"/>
      <c r="I312" s="127"/>
      <c r="J312" s="127" t="s">
        <v>915</v>
      </c>
      <c r="K312" s="80"/>
      <c r="L312" s="96"/>
      <c r="M312" s="96"/>
      <c r="N312" s="96"/>
      <c r="O312" s="126"/>
      <c r="P312" s="80"/>
      <c r="Q312" s="80"/>
    </row>
    <row r="313" spans="1:17" s="30" customFormat="1" ht="22.5">
      <c r="A313" s="43"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101-18-1</v>
      </c>
      <c r="B313" s="214"/>
      <c r="C313" s="210"/>
      <c r="D313" s="207"/>
      <c r="E313" s="207"/>
      <c r="F313" s="236" t="s">
        <v>433</v>
      </c>
      <c r="G313" s="80"/>
      <c r="H313" s="127"/>
      <c r="I313" s="127"/>
      <c r="J313" s="127" t="s">
        <v>915</v>
      </c>
      <c r="K313" s="80"/>
      <c r="L313" s="96"/>
      <c r="M313" s="96"/>
      <c r="N313" s="96"/>
      <c r="O313" s="126"/>
      <c r="P313" s="80"/>
      <c r="Q313" s="80"/>
    </row>
    <row r="314" spans="1:17" s="30" customFormat="1" ht="22.5">
      <c r="A314" s="43"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101-19-1</v>
      </c>
      <c r="B314" s="214"/>
      <c r="C314" s="210"/>
      <c r="D314" s="207"/>
      <c r="E314" s="207"/>
      <c r="F314" s="236" t="s">
        <v>434</v>
      </c>
      <c r="G314" s="80"/>
      <c r="H314" s="127"/>
      <c r="I314" s="127"/>
      <c r="J314" s="127" t="s">
        <v>915</v>
      </c>
      <c r="K314" s="80"/>
      <c r="L314" s="96"/>
      <c r="M314" s="96"/>
      <c r="N314" s="96"/>
      <c r="O314" s="126"/>
      <c r="P314" s="80"/>
      <c r="Q314" s="80"/>
    </row>
    <row r="315" spans="1:17" s="30" customFormat="1" ht="22.5">
      <c r="A315" s="43"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101-20-1</v>
      </c>
      <c r="B315" s="214"/>
      <c r="C315" s="210"/>
      <c r="D315" s="207"/>
      <c r="E315" s="207"/>
      <c r="F315" s="94" t="s">
        <v>435</v>
      </c>
      <c r="G315" s="80"/>
      <c r="H315" s="127"/>
      <c r="I315" s="127"/>
      <c r="J315" s="80" t="s">
        <v>726</v>
      </c>
      <c r="K315" s="123"/>
      <c r="L315" s="96"/>
      <c r="M315" s="96"/>
      <c r="N315" s="96"/>
      <c r="O315" s="126"/>
      <c r="P315" s="80"/>
      <c r="Q315" s="80"/>
    </row>
    <row r="316" spans="1:17" s="30" customFormat="1" ht="22.5">
      <c r="A316" s="43"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101-21-1</v>
      </c>
      <c r="B316" s="214"/>
      <c r="C316" s="210"/>
      <c r="D316" s="207"/>
      <c r="E316" s="207"/>
      <c r="F316" s="94" t="s">
        <v>436</v>
      </c>
      <c r="G316" s="80" t="s">
        <v>618</v>
      </c>
      <c r="H316" s="127"/>
      <c r="I316" s="80"/>
      <c r="J316" s="80"/>
      <c r="K316" s="123"/>
      <c r="L316" s="96"/>
      <c r="M316" s="96"/>
      <c r="N316" s="96"/>
      <c r="O316" s="126"/>
      <c r="P316" s="80"/>
      <c r="Q316" s="80"/>
    </row>
    <row r="317" spans="1:17" s="30" customFormat="1" ht="22.5">
      <c r="A317" s="43"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102-1-1</v>
      </c>
      <c r="B317" s="214"/>
      <c r="C317" s="207"/>
      <c r="D317" s="207"/>
      <c r="E317" s="195" t="s">
        <v>437</v>
      </c>
      <c r="F317" s="94" t="s">
        <v>438</v>
      </c>
      <c r="G317" s="80"/>
      <c r="H317" s="127"/>
      <c r="I317" s="80"/>
      <c r="J317" s="80" t="s">
        <v>727</v>
      </c>
      <c r="K317" s="123"/>
      <c r="L317" s="96"/>
      <c r="M317" s="96"/>
      <c r="N317" s="96"/>
      <c r="O317" s="126"/>
      <c r="P317" s="80"/>
      <c r="Q317" s="80"/>
    </row>
    <row r="318" spans="1:17" s="30" customFormat="1" ht="22.5">
      <c r="A318" s="43"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102-2-1</v>
      </c>
      <c r="B318" s="214"/>
      <c r="C318" s="210"/>
      <c r="D318" s="207"/>
      <c r="E318" s="198"/>
      <c r="F318" s="94" t="s">
        <v>439</v>
      </c>
      <c r="G318" s="80"/>
      <c r="H318" s="127"/>
      <c r="I318" s="80"/>
      <c r="J318" s="80" t="s">
        <v>727</v>
      </c>
      <c r="K318" s="123"/>
      <c r="L318" s="96"/>
      <c r="M318" s="96"/>
      <c r="N318" s="96"/>
      <c r="O318" s="126"/>
      <c r="P318" s="80"/>
      <c r="Q318" s="80"/>
    </row>
    <row r="319" spans="1:17" ht="22.5">
      <c r="A319" s="43"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103-1-1</v>
      </c>
      <c r="B319" s="214"/>
      <c r="C319" s="210"/>
      <c r="D319" s="207"/>
      <c r="E319" s="196" t="s">
        <v>440</v>
      </c>
      <c r="F319" s="94" t="s">
        <v>441</v>
      </c>
      <c r="G319" s="94"/>
      <c r="H319" s="127"/>
      <c r="I319" s="127"/>
      <c r="J319" s="96" t="s">
        <v>728</v>
      </c>
      <c r="K319" s="245"/>
      <c r="L319" s="127"/>
      <c r="M319" s="96"/>
      <c r="N319" s="97"/>
      <c r="O319" s="126"/>
      <c r="P319" s="126"/>
      <c r="Q319" s="126"/>
    </row>
    <row r="320" spans="1:17" ht="22.5">
      <c r="A320" s="43"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103-2-1</v>
      </c>
      <c r="B320" s="214"/>
      <c r="C320" s="210"/>
      <c r="D320" s="207"/>
      <c r="E320" s="196"/>
      <c r="F320" s="94" t="s">
        <v>442</v>
      </c>
      <c r="G320" s="94"/>
      <c r="H320" s="127"/>
      <c r="I320" s="127"/>
      <c r="J320" s="96" t="s">
        <v>728</v>
      </c>
      <c r="K320" s="245"/>
      <c r="L320" s="127"/>
      <c r="M320" s="96"/>
      <c r="N320" s="97"/>
      <c r="O320" s="126"/>
      <c r="P320" s="126"/>
      <c r="Q320" s="126"/>
    </row>
    <row r="321" spans="1:17" s="30" customFormat="1" ht="22.5">
      <c r="A321" s="43"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104-1-1</v>
      </c>
      <c r="B321" s="214"/>
      <c r="C321" s="210"/>
      <c r="D321" s="207"/>
      <c r="E321" s="126" t="s">
        <v>443</v>
      </c>
      <c r="F321" s="94" t="s">
        <v>444</v>
      </c>
      <c r="G321" s="80"/>
      <c r="H321" s="127"/>
      <c r="I321" s="80"/>
      <c r="J321" s="96" t="s">
        <v>729</v>
      </c>
      <c r="K321" s="123"/>
      <c r="L321" s="96"/>
      <c r="M321" s="96"/>
      <c r="N321" s="96"/>
      <c r="O321" s="126"/>
      <c r="P321" s="80"/>
      <c r="Q321" s="80"/>
    </row>
    <row r="322" spans="1:17" s="30" customFormat="1" ht="22.5">
      <c r="A322" s="43"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105-1-1</v>
      </c>
      <c r="B322" s="214"/>
      <c r="C322" s="210"/>
      <c r="D322" s="207"/>
      <c r="E322" s="207" t="s">
        <v>496</v>
      </c>
      <c r="F322" s="94" t="s">
        <v>445</v>
      </c>
      <c r="G322" s="80"/>
      <c r="H322" s="127"/>
      <c r="I322" s="127"/>
      <c r="J322" s="127" t="s">
        <v>917</v>
      </c>
      <c r="K322" s="80"/>
      <c r="L322" s="96"/>
      <c r="M322" s="96"/>
      <c r="N322" s="96"/>
      <c r="O322" s="126"/>
      <c r="P322" s="80"/>
      <c r="Q322" s="80"/>
    </row>
    <row r="323" spans="1:17" ht="22.5">
      <c r="A323" s="43"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105-2-1</v>
      </c>
      <c r="B323" s="214"/>
      <c r="C323" s="210"/>
      <c r="D323" s="207"/>
      <c r="E323" s="207"/>
      <c r="F323" s="94" t="s">
        <v>446</v>
      </c>
      <c r="G323" s="95"/>
      <c r="H323" s="127"/>
      <c r="I323" s="127"/>
      <c r="J323" s="127" t="s">
        <v>917</v>
      </c>
      <c r="K323" s="80"/>
      <c r="L323" s="96"/>
      <c r="M323" s="96"/>
      <c r="N323" s="96"/>
      <c r="O323" s="126"/>
      <c r="P323" s="97"/>
      <c r="Q323" s="97"/>
    </row>
    <row r="324" spans="1:17" ht="33.75">
      <c r="A324" s="43"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105-3-1</v>
      </c>
      <c r="B324" s="214"/>
      <c r="C324" s="210"/>
      <c r="D324" s="207"/>
      <c r="E324" s="207"/>
      <c r="F324" s="94" t="s">
        <v>447</v>
      </c>
      <c r="G324" s="95"/>
      <c r="H324" s="96"/>
      <c r="I324" s="96"/>
      <c r="J324" s="97" t="s">
        <v>917</v>
      </c>
      <c r="K324" s="97"/>
      <c r="L324" s="96"/>
      <c r="M324" s="96"/>
      <c r="N324" s="96"/>
      <c r="O324" s="126"/>
      <c r="P324" s="97"/>
      <c r="Q324" s="97"/>
    </row>
    <row r="325" spans="1:17" ht="45">
      <c r="A325" s="43"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105-4-1</v>
      </c>
      <c r="B325" s="214"/>
      <c r="C325" s="210"/>
      <c r="D325" s="207"/>
      <c r="E325" s="207"/>
      <c r="F325" s="94" t="s">
        <v>448</v>
      </c>
      <c r="G325" s="95"/>
      <c r="H325" s="96"/>
      <c r="I325" s="96"/>
      <c r="J325" s="97" t="s">
        <v>917</v>
      </c>
      <c r="K325" s="97"/>
      <c r="L325" s="96"/>
      <c r="M325" s="96"/>
      <c r="N325" s="96"/>
      <c r="O325" s="126"/>
      <c r="P325" s="97"/>
      <c r="Q325" s="97"/>
    </row>
    <row r="326" spans="1:17" ht="33.75">
      <c r="A326" s="43"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105-5-1</v>
      </c>
      <c r="B326" s="214"/>
      <c r="C326" s="210"/>
      <c r="D326" s="207"/>
      <c r="E326" s="207"/>
      <c r="F326" s="94" t="s">
        <v>449</v>
      </c>
      <c r="G326" s="95"/>
      <c r="H326" s="96"/>
      <c r="I326" s="96"/>
      <c r="J326" s="97" t="s">
        <v>917</v>
      </c>
      <c r="K326" s="97"/>
      <c r="L326" s="96"/>
      <c r="M326" s="96"/>
      <c r="N326" s="96"/>
      <c r="O326" s="126"/>
      <c r="P326" s="97"/>
      <c r="Q326" s="97"/>
    </row>
    <row r="327" spans="1:17" ht="45">
      <c r="A327" s="43"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105-6-1</v>
      </c>
      <c r="B327" s="214"/>
      <c r="C327" s="210"/>
      <c r="D327" s="207"/>
      <c r="E327" s="207"/>
      <c r="F327" s="94" t="s">
        <v>450</v>
      </c>
      <c r="G327" s="95"/>
      <c r="H327" s="96"/>
      <c r="I327" s="96"/>
      <c r="J327" s="97" t="s">
        <v>917</v>
      </c>
      <c r="K327" s="97"/>
      <c r="L327" s="96"/>
      <c r="M327" s="96"/>
      <c r="N327" s="96"/>
      <c r="O327" s="126"/>
      <c r="P327" s="97"/>
      <c r="Q327" s="97"/>
    </row>
    <row r="328" spans="1:17" ht="33.75">
      <c r="A328" s="43"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105-7-1</v>
      </c>
      <c r="B328" s="214"/>
      <c r="C328" s="210"/>
      <c r="D328" s="207"/>
      <c r="E328" s="207"/>
      <c r="F328" s="94" t="s">
        <v>451</v>
      </c>
      <c r="G328" s="95"/>
      <c r="H328" s="96"/>
      <c r="I328" s="96"/>
      <c r="J328" s="97" t="s">
        <v>917</v>
      </c>
      <c r="K328" s="97"/>
      <c r="L328" s="96"/>
      <c r="M328" s="96"/>
      <c r="N328" s="96"/>
      <c r="O328" s="126"/>
      <c r="P328" s="97"/>
      <c r="Q328" s="97"/>
    </row>
    <row r="329" spans="1:17" ht="45">
      <c r="A329" s="43"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105-8-1</v>
      </c>
      <c r="B329" s="214"/>
      <c r="C329" s="210"/>
      <c r="D329" s="207"/>
      <c r="E329" s="207"/>
      <c r="F329" s="94" t="s">
        <v>452</v>
      </c>
      <c r="G329" s="95"/>
      <c r="H329" s="96"/>
      <c r="I329" s="96"/>
      <c r="J329" s="97" t="s">
        <v>917</v>
      </c>
      <c r="K329" s="97"/>
      <c r="L329" s="96"/>
      <c r="M329" s="96"/>
      <c r="N329" s="96"/>
      <c r="O329" s="126"/>
      <c r="P329" s="97"/>
      <c r="Q329" s="97"/>
    </row>
    <row r="330" spans="1:17" ht="33.75">
      <c r="A330" s="43"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105-9-1</v>
      </c>
      <c r="B330" s="214"/>
      <c r="C330" s="210"/>
      <c r="D330" s="207"/>
      <c r="E330" s="207"/>
      <c r="F330" s="61" t="s">
        <v>453</v>
      </c>
      <c r="G330" s="71"/>
      <c r="H330" s="116" t="s">
        <v>660</v>
      </c>
      <c r="I330" s="116" t="s">
        <v>730</v>
      </c>
      <c r="J330" s="117" t="s">
        <v>1010</v>
      </c>
      <c r="K330" s="78" t="s">
        <v>739</v>
      </c>
      <c r="L330" s="116"/>
      <c r="M330" s="116"/>
      <c r="N330" s="54"/>
      <c r="O330" s="130"/>
      <c r="P330" s="78"/>
      <c r="Q330" s="78"/>
    </row>
    <row r="331" spans="1:17" ht="33.75">
      <c r="A331" s="43"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106-1-1</v>
      </c>
      <c r="B331" s="213"/>
      <c r="C331" s="210"/>
      <c r="D331" s="207"/>
      <c r="E331" s="130" t="s">
        <v>497</v>
      </c>
      <c r="F331" s="61" t="s">
        <v>454</v>
      </c>
      <c r="G331" s="71"/>
      <c r="H331" s="122" t="s">
        <v>660</v>
      </c>
      <c r="I331" s="122" t="s">
        <v>740</v>
      </c>
      <c r="J331" s="122" t="s">
        <v>1011</v>
      </c>
      <c r="K331" s="32" t="s">
        <v>760</v>
      </c>
      <c r="L331" s="116"/>
      <c r="M331" s="116"/>
      <c r="N331" s="54"/>
      <c r="O331" s="130"/>
      <c r="P331" s="78"/>
      <c r="Q331" s="78"/>
    </row>
    <row r="332" spans="1:17" ht="22.5">
      <c r="A332" s="43"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107-1-1</v>
      </c>
      <c r="B332" s="213"/>
      <c r="C332" s="210"/>
      <c r="D332" s="211"/>
      <c r="E332" s="130" t="s">
        <v>498</v>
      </c>
      <c r="F332" s="61" t="s">
        <v>455</v>
      </c>
      <c r="G332" s="71"/>
      <c r="H332" s="122" t="s">
        <v>660</v>
      </c>
      <c r="I332" s="122" t="s">
        <v>741</v>
      </c>
      <c r="J332" s="122" t="s">
        <v>1011</v>
      </c>
      <c r="K332" s="116" t="s">
        <v>742</v>
      </c>
      <c r="L332" s="116"/>
      <c r="M332" s="116"/>
      <c r="N332" s="54"/>
      <c r="O332" s="130"/>
      <c r="P332" s="78"/>
      <c r="Q332" s="78"/>
    </row>
    <row r="333" spans="1:17" ht="22.5">
      <c r="A333" s="43"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108-1-1</v>
      </c>
      <c r="B333" s="213"/>
      <c r="C333" s="207"/>
      <c r="D333" s="196" t="s">
        <v>456</v>
      </c>
      <c r="E333" s="126" t="s">
        <v>499</v>
      </c>
      <c r="F333" s="94" t="s">
        <v>457</v>
      </c>
      <c r="G333" s="95"/>
      <c r="H333" s="127"/>
      <c r="I333" s="127"/>
      <c r="J333" s="127" t="s">
        <v>918</v>
      </c>
      <c r="K333" s="80"/>
      <c r="L333" s="96"/>
      <c r="M333" s="96"/>
      <c r="N333" s="96"/>
      <c r="O333" s="126"/>
      <c r="P333" s="97"/>
      <c r="Q333" s="97"/>
    </row>
    <row r="334" spans="1:17" ht="22.5">
      <c r="A334" s="43"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109-1-1</v>
      </c>
      <c r="B334" s="213"/>
      <c r="C334" s="210"/>
      <c r="D334" s="196"/>
      <c r="E334" s="196" t="s">
        <v>500</v>
      </c>
      <c r="F334" s="94" t="s">
        <v>458</v>
      </c>
      <c r="G334" s="95"/>
      <c r="H334" s="127"/>
      <c r="I334" s="127"/>
      <c r="J334" s="127" t="s">
        <v>918</v>
      </c>
      <c r="K334" s="80"/>
      <c r="L334" s="96"/>
      <c r="M334" s="96"/>
      <c r="N334" s="96"/>
      <c r="O334" s="126"/>
      <c r="P334" s="97"/>
      <c r="Q334" s="97"/>
    </row>
    <row r="335" spans="1:17" ht="22.5">
      <c r="A335" s="43"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109-2-1</v>
      </c>
      <c r="B335" s="213"/>
      <c r="C335" s="210"/>
      <c r="D335" s="196"/>
      <c r="E335" s="196"/>
      <c r="F335" s="94" t="s">
        <v>459</v>
      </c>
      <c r="G335" s="95"/>
      <c r="H335" s="127"/>
      <c r="I335" s="127"/>
      <c r="J335" s="127" t="s">
        <v>918</v>
      </c>
      <c r="K335" s="80"/>
      <c r="L335" s="96"/>
      <c r="M335" s="96"/>
      <c r="N335" s="96"/>
      <c r="O335" s="126"/>
      <c r="P335" s="97"/>
      <c r="Q335" s="97"/>
    </row>
    <row r="336" spans="1:17" ht="22.5">
      <c r="A336" s="43"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109-3-1</v>
      </c>
      <c r="B336" s="213"/>
      <c r="C336" s="210"/>
      <c r="D336" s="196"/>
      <c r="E336" s="196"/>
      <c r="F336" s="94" t="s">
        <v>460</v>
      </c>
      <c r="G336" s="95"/>
      <c r="H336" s="96"/>
      <c r="I336" s="96"/>
      <c r="J336" s="97" t="s">
        <v>918</v>
      </c>
      <c r="K336" s="97"/>
      <c r="L336" s="96"/>
      <c r="M336" s="96"/>
      <c r="N336" s="96"/>
      <c r="O336" s="126"/>
      <c r="P336" s="97"/>
      <c r="Q336" s="97"/>
    </row>
    <row r="337" spans="1:17" ht="22.5">
      <c r="A337" s="43"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109-4-1</v>
      </c>
      <c r="B337" s="213"/>
      <c r="C337" s="210"/>
      <c r="D337" s="198"/>
      <c r="E337" s="196"/>
      <c r="F337" s="94" t="s">
        <v>461</v>
      </c>
      <c r="G337" s="95"/>
      <c r="H337" s="96"/>
      <c r="I337" s="96"/>
      <c r="J337" s="97" t="s">
        <v>918</v>
      </c>
      <c r="K337" s="97"/>
      <c r="L337" s="96"/>
      <c r="M337" s="96"/>
      <c r="N337" s="96"/>
      <c r="O337" s="126"/>
      <c r="P337" s="97"/>
      <c r="Q337" s="97"/>
    </row>
    <row r="338" spans="1:17">
      <c r="A338" s="43"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110-1-1</v>
      </c>
      <c r="B338" s="213"/>
      <c r="C338" s="210"/>
      <c r="D338" s="196" t="s">
        <v>33</v>
      </c>
      <c r="E338" s="195" t="s">
        <v>499</v>
      </c>
      <c r="F338" s="94" t="s">
        <v>462</v>
      </c>
      <c r="G338" s="95"/>
      <c r="H338" s="96"/>
      <c r="I338" s="96"/>
      <c r="J338" s="97" t="s">
        <v>778</v>
      </c>
      <c r="K338" s="97"/>
      <c r="L338" s="96"/>
      <c r="M338" s="96"/>
      <c r="N338" s="96"/>
      <c r="O338" s="126"/>
      <c r="P338" s="97"/>
      <c r="Q338" s="97"/>
    </row>
    <row r="339" spans="1:17" ht="22.5">
      <c r="A339" s="43"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110-2-1</v>
      </c>
      <c r="B339" s="213"/>
      <c r="C339" s="210"/>
      <c r="D339" s="196"/>
      <c r="E339" s="196"/>
      <c r="F339" s="94" t="s">
        <v>463</v>
      </c>
      <c r="G339" s="95"/>
      <c r="H339" s="96"/>
      <c r="I339" s="96"/>
      <c r="J339" s="97" t="s">
        <v>778</v>
      </c>
      <c r="K339" s="97"/>
      <c r="L339" s="96"/>
      <c r="M339" s="96"/>
      <c r="N339" s="96"/>
      <c r="O339" s="126"/>
      <c r="P339" s="97"/>
      <c r="Q339" s="97"/>
    </row>
    <row r="340" spans="1:17" ht="22.5">
      <c r="A340" s="43"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110-3-1</v>
      </c>
      <c r="B340" s="207"/>
      <c r="C340" s="207"/>
      <c r="D340" s="198"/>
      <c r="E340" s="198"/>
      <c r="F340" s="94" t="s">
        <v>464</v>
      </c>
      <c r="G340" s="95"/>
      <c r="H340" s="96"/>
      <c r="I340" s="96"/>
      <c r="J340" s="97" t="s">
        <v>778</v>
      </c>
      <c r="K340" s="97"/>
      <c r="L340" s="96"/>
      <c r="M340" s="96"/>
      <c r="N340" s="96"/>
      <c r="O340" s="126"/>
      <c r="P340" s="97"/>
      <c r="Q340" s="97"/>
    </row>
    <row r="341" spans="1:17" ht="22.5">
      <c r="A341" s="43"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111-1-1</v>
      </c>
      <c r="B341" s="207"/>
      <c r="C341" s="207"/>
      <c r="D341" s="196" t="s">
        <v>465</v>
      </c>
      <c r="E341" s="196" t="s">
        <v>499</v>
      </c>
      <c r="F341" s="94" t="s">
        <v>466</v>
      </c>
      <c r="G341" s="95"/>
      <c r="H341" s="96"/>
      <c r="I341" s="96"/>
      <c r="J341" s="235" t="s">
        <v>919</v>
      </c>
      <c r="K341" s="97"/>
      <c r="L341" s="96"/>
      <c r="M341" s="96"/>
      <c r="N341" s="96"/>
      <c r="O341" s="126"/>
      <c r="P341" s="97"/>
      <c r="Q341" s="97"/>
    </row>
    <row r="342" spans="1:17" ht="22.5">
      <c r="A342" s="43"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111-2-1</v>
      </c>
      <c r="B342" s="213"/>
      <c r="C342" s="210"/>
      <c r="D342" s="196"/>
      <c r="E342" s="196"/>
      <c r="F342" s="94" t="s">
        <v>467</v>
      </c>
      <c r="G342" s="95"/>
      <c r="H342" s="96"/>
      <c r="I342" s="96"/>
      <c r="J342" s="235" t="s">
        <v>919</v>
      </c>
      <c r="K342" s="97"/>
      <c r="L342" s="96"/>
      <c r="M342" s="96"/>
      <c r="N342" s="96"/>
      <c r="O342" s="126"/>
      <c r="P342" s="97"/>
      <c r="Q342" s="97"/>
    </row>
    <row r="343" spans="1:17" ht="22.5">
      <c r="A343" s="43"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111-3-1</v>
      </c>
      <c r="B343" s="213"/>
      <c r="C343" s="210"/>
      <c r="D343" s="196"/>
      <c r="E343" s="196"/>
      <c r="F343" s="94" t="s">
        <v>468</v>
      </c>
      <c r="G343" s="95"/>
      <c r="H343" s="96"/>
      <c r="I343" s="96"/>
      <c r="J343" s="235" t="s">
        <v>919</v>
      </c>
      <c r="K343" s="97"/>
      <c r="L343" s="96"/>
      <c r="M343" s="96"/>
      <c r="N343" s="96"/>
      <c r="O343" s="126"/>
      <c r="P343" s="97"/>
      <c r="Q343" s="97"/>
    </row>
    <row r="344" spans="1:17" ht="22.5">
      <c r="A344" s="43"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111-4-1</v>
      </c>
      <c r="B344" s="213"/>
      <c r="C344" s="210"/>
      <c r="D344" s="196"/>
      <c r="E344" s="196"/>
      <c r="F344" s="94" t="s">
        <v>469</v>
      </c>
      <c r="G344" s="95"/>
      <c r="H344" s="96"/>
      <c r="I344" s="96"/>
      <c r="J344" s="235" t="s">
        <v>919</v>
      </c>
      <c r="K344" s="97"/>
      <c r="L344" s="96"/>
      <c r="M344" s="96"/>
      <c r="N344" s="96"/>
      <c r="O344" s="126"/>
      <c r="P344" s="97"/>
      <c r="Q344" s="97"/>
    </row>
    <row r="345" spans="1:17" ht="22.5">
      <c r="A345" s="43"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111-5-1</v>
      </c>
      <c r="B345" s="213"/>
      <c r="C345" s="210"/>
      <c r="D345" s="196"/>
      <c r="E345" s="196"/>
      <c r="F345" s="94" t="s">
        <v>470</v>
      </c>
      <c r="G345" s="95"/>
      <c r="H345" s="96"/>
      <c r="I345" s="96"/>
      <c r="J345" s="235" t="s">
        <v>919</v>
      </c>
      <c r="K345" s="97"/>
      <c r="L345" s="96"/>
      <c r="M345" s="96"/>
      <c r="N345" s="96"/>
      <c r="O345" s="126"/>
      <c r="P345" s="97"/>
      <c r="Q345" s="97"/>
    </row>
    <row r="346" spans="1:17" ht="33.75">
      <c r="A346" s="43"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111-6-1</v>
      </c>
      <c r="B346" s="213"/>
      <c r="C346" s="210"/>
      <c r="D346" s="196"/>
      <c r="E346" s="196"/>
      <c r="F346" s="94" t="s">
        <v>471</v>
      </c>
      <c r="G346" s="95" t="s">
        <v>627</v>
      </c>
      <c r="H346" s="96"/>
      <c r="I346" s="96"/>
      <c r="J346" s="97"/>
      <c r="K346" s="97"/>
      <c r="L346" s="96"/>
      <c r="M346" s="96"/>
      <c r="N346" s="96"/>
      <c r="O346" s="126"/>
      <c r="P346" s="97"/>
      <c r="Q346" s="97"/>
    </row>
    <row r="347" spans="1:17" ht="22.5">
      <c r="A347" s="43"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111-7-1</v>
      </c>
      <c r="B347" s="213"/>
      <c r="C347" s="210"/>
      <c r="D347" s="196"/>
      <c r="E347" s="196"/>
      <c r="F347" s="94" t="s">
        <v>472</v>
      </c>
      <c r="G347" s="95"/>
      <c r="H347" s="96"/>
      <c r="I347" s="96"/>
      <c r="J347" s="97" t="s">
        <v>919</v>
      </c>
      <c r="K347" s="97"/>
      <c r="L347" s="96"/>
      <c r="M347" s="96"/>
      <c r="N347" s="96"/>
      <c r="O347" s="126"/>
      <c r="P347" s="97"/>
      <c r="Q347" s="97"/>
    </row>
    <row r="348" spans="1:17" ht="22.5">
      <c r="A348" s="43"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111-8-1</v>
      </c>
      <c r="B348" s="213"/>
      <c r="C348" s="210"/>
      <c r="D348" s="196"/>
      <c r="E348" s="196"/>
      <c r="F348" s="94" t="s">
        <v>473</v>
      </c>
      <c r="G348" s="95"/>
      <c r="H348" s="96"/>
      <c r="I348" s="96"/>
      <c r="J348" s="97" t="s">
        <v>919</v>
      </c>
      <c r="K348" s="97"/>
      <c r="L348" s="96"/>
      <c r="M348" s="96"/>
      <c r="N348" s="96"/>
      <c r="O348" s="126"/>
      <c r="P348" s="97"/>
      <c r="Q348" s="97"/>
    </row>
    <row r="349" spans="1:17" ht="22.5">
      <c r="A349" s="43"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111-9-1</v>
      </c>
      <c r="B349" s="213"/>
      <c r="C349" s="210"/>
      <c r="D349" s="196"/>
      <c r="E349" s="196"/>
      <c r="F349" s="94" t="s">
        <v>474</v>
      </c>
      <c r="G349" s="95"/>
      <c r="H349" s="96"/>
      <c r="I349" s="96"/>
      <c r="J349" s="97" t="s">
        <v>919</v>
      </c>
      <c r="K349" s="97"/>
      <c r="L349" s="96"/>
      <c r="M349" s="96"/>
      <c r="N349" s="96"/>
      <c r="O349" s="126"/>
      <c r="P349" s="97"/>
      <c r="Q349" s="97"/>
    </row>
    <row r="350" spans="1:17" ht="22.5">
      <c r="A350" s="43"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111-10-1</v>
      </c>
      <c r="B350" s="213"/>
      <c r="C350" s="210"/>
      <c r="D350" s="196"/>
      <c r="E350" s="196"/>
      <c r="F350" s="94" t="s">
        <v>475</v>
      </c>
      <c r="G350" s="95"/>
      <c r="H350" s="96"/>
      <c r="I350" s="96"/>
      <c r="J350" s="97" t="s">
        <v>919</v>
      </c>
      <c r="K350" s="97"/>
      <c r="L350" s="96"/>
      <c r="M350" s="96"/>
      <c r="N350" s="96"/>
      <c r="O350" s="126"/>
      <c r="P350" s="97"/>
      <c r="Q350" s="97"/>
    </row>
    <row r="351" spans="1:17" ht="22.5">
      <c r="A351" s="43"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111-11-1</v>
      </c>
      <c r="B351" s="213"/>
      <c r="C351" s="210"/>
      <c r="D351" s="196"/>
      <c r="E351" s="196"/>
      <c r="F351" s="94" t="s">
        <v>476</v>
      </c>
      <c r="G351" s="95"/>
      <c r="H351" s="96"/>
      <c r="I351" s="96"/>
      <c r="J351" s="97" t="s">
        <v>919</v>
      </c>
      <c r="K351" s="97"/>
      <c r="L351" s="96"/>
      <c r="M351" s="96"/>
      <c r="N351" s="96"/>
      <c r="O351" s="126"/>
      <c r="P351" s="97"/>
      <c r="Q351" s="97"/>
    </row>
    <row r="352" spans="1:17" ht="22.5">
      <c r="A352" s="43"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111-12-1</v>
      </c>
      <c r="B352" s="213"/>
      <c r="C352" s="210"/>
      <c r="D352" s="196"/>
      <c r="E352" s="196"/>
      <c r="F352" s="94" t="s">
        <v>477</v>
      </c>
      <c r="G352" s="95"/>
      <c r="H352" s="96"/>
      <c r="I352" s="96"/>
      <c r="J352" s="97" t="s">
        <v>919</v>
      </c>
      <c r="K352" s="97"/>
      <c r="L352" s="96"/>
      <c r="M352" s="96"/>
      <c r="N352" s="96"/>
      <c r="O352" s="126"/>
      <c r="P352" s="97"/>
      <c r="Q352" s="97"/>
    </row>
    <row r="353" spans="1:17" ht="22.5">
      <c r="A353" s="43"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111-13-1</v>
      </c>
      <c r="B353" s="213"/>
      <c r="C353" s="210"/>
      <c r="D353" s="196"/>
      <c r="E353" s="196"/>
      <c r="F353" s="94" t="s">
        <v>478</v>
      </c>
      <c r="G353" s="95"/>
      <c r="H353" s="96"/>
      <c r="I353" s="96"/>
      <c r="J353" s="97" t="s">
        <v>919</v>
      </c>
      <c r="K353" s="97"/>
      <c r="L353" s="96"/>
      <c r="M353" s="96"/>
      <c r="N353" s="96"/>
      <c r="O353" s="126"/>
      <c r="P353" s="97"/>
      <c r="Q353" s="97"/>
    </row>
    <row r="354" spans="1:17" ht="22.5">
      <c r="A354" s="43"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111-14-1</v>
      </c>
      <c r="B354" s="213"/>
      <c r="C354" s="210"/>
      <c r="D354" s="196"/>
      <c r="E354" s="198"/>
      <c r="F354" s="94" t="s">
        <v>479</v>
      </c>
      <c r="G354" s="95"/>
      <c r="H354" s="96"/>
      <c r="I354" s="96"/>
      <c r="J354" s="97" t="s">
        <v>919</v>
      </c>
      <c r="K354" s="97"/>
      <c r="L354" s="96"/>
      <c r="M354" s="96"/>
      <c r="N354" s="96"/>
      <c r="O354" s="126"/>
      <c r="P354" s="97"/>
      <c r="Q354" s="97"/>
    </row>
    <row r="355" spans="1:17" ht="22.5">
      <c r="A355" s="43"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112-1-1</v>
      </c>
      <c r="B355" s="213"/>
      <c r="C355" s="210"/>
      <c r="D355" s="196"/>
      <c r="E355" s="196" t="s">
        <v>127</v>
      </c>
      <c r="F355" s="94" t="s">
        <v>480</v>
      </c>
      <c r="G355" s="95"/>
      <c r="H355" s="96"/>
      <c r="I355" s="96"/>
      <c r="J355" s="97" t="s">
        <v>919</v>
      </c>
      <c r="K355" s="97"/>
      <c r="L355" s="96"/>
      <c r="M355" s="96"/>
      <c r="N355" s="96"/>
      <c r="O355" s="126"/>
      <c r="P355" s="97"/>
      <c r="Q355" s="97"/>
    </row>
    <row r="356" spans="1:17" ht="33.75">
      <c r="A356" s="43"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112-2-1</v>
      </c>
      <c r="B356" s="213"/>
      <c r="C356" s="210"/>
      <c r="D356" s="196"/>
      <c r="E356" s="196"/>
      <c r="F356" s="94" t="s">
        <v>481</v>
      </c>
      <c r="G356" s="95"/>
      <c r="H356" s="96"/>
      <c r="I356" s="96"/>
      <c r="J356" s="97" t="s">
        <v>919</v>
      </c>
      <c r="K356" s="97"/>
      <c r="L356" s="96"/>
      <c r="M356" s="96"/>
      <c r="N356" s="96"/>
      <c r="O356" s="126"/>
      <c r="P356" s="97"/>
      <c r="Q356" s="97"/>
    </row>
    <row r="357" spans="1:17" ht="33.75">
      <c r="A357" s="43"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112-3-1</v>
      </c>
      <c r="B357" s="213"/>
      <c r="C357" s="210"/>
      <c r="D357" s="196"/>
      <c r="E357" s="196"/>
      <c r="F357" s="94" t="s">
        <v>501</v>
      </c>
      <c r="G357" s="95"/>
      <c r="H357" s="96"/>
      <c r="I357" s="96"/>
      <c r="J357" s="97" t="s">
        <v>919</v>
      </c>
      <c r="K357" s="97"/>
      <c r="L357" s="96"/>
      <c r="M357" s="96"/>
      <c r="N357" s="96"/>
      <c r="O357" s="126"/>
      <c r="P357" s="97"/>
      <c r="Q357" s="97"/>
    </row>
    <row r="358" spans="1:17" ht="33.75">
      <c r="A358" s="43"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112-4-1</v>
      </c>
      <c r="B358" s="213"/>
      <c r="C358" s="210"/>
      <c r="D358" s="196"/>
      <c r="E358" s="196"/>
      <c r="F358" s="94" t="s">
        <v>482</v>
      </c>
      <c r="G358" s="95"/>
      <c r="H358" s="96"/>
      <c r="I358" s="96"/>
      <c r="J358" s="97" t="s">
        <v>919</v>
      </c>
      <c r="K358" s="97"/>
      <c r="L358" s="96"/>
      <c r="M358" s="96"/>
      <c r="N358" s="96"/>
      <c r="O358" s="126"/>
      <c r="P358" s="97"/>
      <c r="Q358" s="97"/>
    </row>
    <row r="359" spans="1:17" ht="22.5">
      <c r="A359" s="43"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112-5-1</v>
      </c>
      <c r="B359" s="213"/>
      <c r="C359" s="210"/>
      <c r="D359" s="196"/>
      <c r="E359" s="196"/>
      <c r="F359" s="94" t="s">
        <v>483</v>
      </c>
      <c r="G359" s="95"/>
      <c r="H359" s="96"/>
      <c r="I359" s="96"/>
      <c r="J359" s="97" t="s">
        <v>919</v>
      </c>
      <c r="K359" s="97"/>
      <c r="L359" s="96"/>
      <c r="M359" s="96"/>
      <c r="N359" s="96"/>
      <c r="O359" s="126"/>
      <c r="P359" s="97"/>
      <c r="Q359" s="97"/>
    </row>
    <row r="360" spans="1:17" ht="22.5">
      <c r="A360" s="43"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112-6-1</v>
      </c>
      <c r="B360" s="213"/>
      <c r="C360" s="210"/>
      <c r="D360" s="196"/>
      <c r="E360" s="196"/>
      <c r="F360" s="94" t="s">
        <v>484</v>
      </c>
      <c r="G360" s="95"/>
      <c r="H360" s="96"/>
      <c r="I360" s="96"/>
      <c r="J360" s="97" t="s">
        <v>919</v>
      </c>
      <c r="K360" s="97"/>
      <c r="L360" s="96"/>
      <c r="M360" s="96"/>
      <c r="N360" s="96"/>
      <c r="O360" s="126"/>
      <c r="P360" s="97"/>
      <c r="Q360" s="97"/>
    </row>
    <row r="361" spans="1:17" ht="22.5">
      <c r="A361" s="43"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112-7-1</v>
      </c>
      <c r="B361" s="224"/>
      <c r="C361" s="215"/>
      <c r="D361" s="198"/>
      <c r="E361" s="198"/>
      <c r="F361" s="94" t="s">
        <v>485</v>
      </c>
      <c r="G361" s="95"/>
      <c r="H361" s="96"/>
      <c r="I361" s="96"/>
      <c r="J361" s="97" t="s">
        <v>919</v>
      </c>
      <c r="K361" s="97"/>
      <c r="L361" s="96"/>
      <c r="M361" s="96"/>
      <c r="N361" s="96"/>
      <c r="O361" s="126"/>
      <c r="P361" s="97"/>
      <c r="Q361" s="97"/>
    </row>
    <row r="362" spans="1:17" s="30" customFormat="1" ht="22.5">
      <c r="A362" s="43"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113-1-1</v>
      </c>
      <c r="B362" s="56" t="s">
        <v>503</v>
      </c>
      <c r="C362" s="195" t="s">
        <v>486</v>
      </c>
      <c r="D362" s="195" t="s">
        <v>499</v>
      </c>
      <c r="E362" s="195" t="s">
        <v>499</v>
      </c>
      <c r="F362" s="236" t="s">
        <v>504</v>
      </c>
      <c r="G362" s="236"/>
      <c r="H362" s="84"/>
      <c r="I362" s="84"/>
      <c r="J362" s="96" t="s">
        <v>811</v>
      </c>
      <c r="K362" s="246"/>
      <c r="L362" s="247"/>
      <c r="M362" s="248"/>
      <c r="N362" s="248"/>
      <c r="O362" s="248"/>
      <c r="P362" s="248"/>
      <c r="Q362" s="248"/>
    </row>
    <row r="363" spans="1:17" s="30" customFormat="1" ht="22.5">
      <c r="A363" s="43"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113-2-1</v>
      </c>
      <c r="B363" s="93"/>
      <c r="C363" s="196"/>
      <c r="D363" s="196"/>
      <c r="E363" s="197"/>
      <c r="F363" s="249" t="s">
        <v>505</v>
      </c>
      <c r="G363" s="249"/>
      <c r="H363" s="84"/>
      <c r="I363" s="84"/>
      <c r="J363" s="96" t="s">
        <v>778</v>
      </c>
      <c r="K363" s="235"/>
      <c r="L363" s="250"/>
      <c r="M363" s="251"/>
      <c r="N363" s="251"/>
      <c r="O363" s="251"/>
      <c r="P363" s="251"/>
      <c r="Q363" s="251"/>
    </row>
    <row r="364" spans="1:17" s="30" customFormat="1" ht="33.75">
      <c r="A364" s="43"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113-3-1</v>
      </c>
      <c r="B364" s="93"/>
      <c r="C364" s="196"/>
      <c r="D364" s="196"/>
      <c r="E364" s="197"/>
      <c r="F364" s="249" t="s">
        <v>506</v>
      </c>
      <c r="G364" s="249"/>
      <c r="H364" s="84"/>
      <c r="I364" s="84"/>
      <c r="J364" s="96" t="s">
        <v>814</v>
      </c>
      <c r="K364" s="235"/>
      <c r="L364" s="250"/>
      <c r="M364" s="251"/>
      <c r="N364" s="251"/>
      <c r="O364" s="251"/>
      <c r="P364" s="251"/>
      <c r="Q364" s="251"/>
    </row>
    <row r="365" spans="1:17" s="30" customFormat="1" ht="33.75">
      <c r="A365" s="43"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113-4-1</v>
      </c>
      <c r="B365" s="93"/>
      <c r="C365" s="196"/>
      <c r="D365" s="196"/>
      <c r="E365" s="197"/>
      <c r="F365" s="249" t="s">
        <v>507</v>
      </c>
      <c r="G365" s="249"/>
      <c r="H365" s="84"/>
      <c r="I365" s="84"/>
      <c r="J365" s="96" t="s">
        <v>814</v>
      </c>
      <c r="K365" s="235"/>
      <c r="L365" s="250"/>
      <c r="M365" s="251"/>
      <c r="N365" s="251"/>
      <c r="O365" s="251"/>
      <c r="P365" s="251"/>
      <c r="Q365" s="251"/>
    </row>
    <row r="366" spans="1:17" s="30" customFormat="1" ht="33.75">
      <c r="A366" s="43"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113-5-1</v>
      </c>
      <c r="B366" s="93"/>
      <c r="C366" s="196"/>
      <c r="D366" s="196"/>
      <c r="E366" s="197"/>
      <c r="F366" s="249" t="s">
        <v>508</v>
      </c>
      <c r="G366" s="249" t="s">
        <v>903</v>
      </c>
      <c r="H366" s="84"/>
      <c r="I366" s="84"/>
      <c r="J366" s="96" t="s">
        <v>812</v>
      </c>
      <c r="K366" s="235"/>
      <c r="L366" s="250"/>
      <c r="M366" s="251"/>
      <c r="N366" s="251"/>
      <c r="O366" s="251"/>
      <c r="P366" s="251"/>
      <c r="Q366" s="251"/>
    </row>
    <row r="367" spans="1:17" s="30" customFormat="1" ht="22.5">
      <c r="A367" s="43"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114-1-1</v>
      </c>
      <c r="B367" s="93"/>
      <c r="C367" s="199"/>
      <c r="D367" s="195" t="s">
        <v>509</v>
      </c>
      <c r="E367" s="259" t="s">
        <v>495</v>
      </c>
      <c r="F367" s="249" t="s">
        <v>511</v>
      </c>
      <c r="G367" s="249"/>
      <c r="H367" s="127"/>
      <c r="I367" s="127"/>
      <c r="J367" s="84" t="s">
        <v>813</v>
      </c>
      <c r="K367" s="235"/>
      <c r="L367" s="250"/>
      <c r="M367" s="251"/>
      <c r="N367" s="251"/>
      <c r="O367" s="251"/>
      <c r="P367" s="251"/>
      <c r="Q367" s="251"/>
    </row>
    <row r="368" spans="1:17" s="30" customFormat="1" ht="22.5">
      <c r="A368" s="43"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114-2-1</v>
      </c>
      <c r="B368" s="93"/>
      <c r="C368" s="196"/>
      <c r="D368" s="196"/>
      <c r="E368" s="197"/>
      <c r="F368" s="249" t="s">
        <v>512</v>
      </c>
      <c r="G368" s="249"/>
      <c r="H368" s="84"/>
      <c r="I368" s="84"/>
      <c r="J368" s="127" t="s">
        <v>901</v>
      </c>
      <c r="K368" s="235"/>
      <c r="L368" s="250"/>
      <c r="M368" s="251"/>
      <c r="N368" s="251"/>
      <c r="O368" s="251"/>
      <c r="P368" s="251"/>
      <c r="Q368" s="251"/>
    </row>
    <row r="369" spans="1:17" s="30" customFormat="1" ht="33.75">
      <c r="A369" s="43"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114-3-1</v>
      </c>
      <c r="B369" s="93"/>
      <c r="C369" s="196"/>
      <c r="D369" s="196"/>
      <c r="E369" s="197"/>
      <c r="F369" s="249" t="s">
        <v>513</v>
      </c>
      <c r="G369" s="249" t="s">
        <v>816</v>
      </c>
      <c r="H369" s="84"/>
      <c r="I369" s="84"/>
      <c r="J369" s="96" t="s">
        <v>902</v>
      </c>
      <c r="K369" s="235"/>
      <c r="L369" s="250"/>
      <c r="M369" s="251"/>
      <c r="N369" s="251"/>
      <c r="O369" s="251"/>
      <c r="P369" s="251"/>
      <c r="Q369" s="251"/>
    </row>
    <row r="370" spans="1:17" s="30" customFormat="1" ht="22.5">
      <c r="A370" s="43"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114-4-1</v>
      </c>
      <c r="B370" s="93"/>
      <c r="C370" s="196"/>
      <c r="D370" s="196"/>
      <c r="E370" s="197"/>
      <c r="F370" s="249" t="s">
        <v>514</v>
      </c>
      <c r="G370" s="249"/>
      <c r="H370" s="127"/>
      <c r="I370" s="127"/>
      <c r="J370" s="127" t="s">
        <v>902</v>
      </c>
      <c r="K370" s="96"/>
      <c r="L370" s="250"/>
      <c r="M370" s="251"/>
      <c r="N370" s="251"/>
      <c r="O370" s="251"/>
      <c r="P370" s="251"/>
      <c r="Q370" s="251"/>
    </row>
    <row r="371" spans="1:17" s="30" customFormat="1">
      <c r="A371" s="43"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114-5-1</v>
      </c>
      <c r="B371" s="93"/>
      <c r="C371" s="198"/>
      <c r="D371" s="198"/>
      <c r="E371" s="243"/>
      <c r="F371" s="253" t="s">
        <v>515</v>
      </c>
      <c r="G371" s="249"/>
      <c r="H371" s="84"/>
      <c r="I371" s="84"/>
      <c r="J371" s="235" t="s">
        <v>778</v>
      </c>
      <c r="K371" s="235"/>
      <c r="L371" s="250"/>
      <c r="M371" s="251"/>
      <c r="N371" s="251"/>
      <c r="O371" s="251"/>
      <c r="P371" s="251"/>
      <c r="Q371" s="251"/>
    </row>
    <row r="372" spans="1:17" s="30" customFormat="1" ht="22.5">
      <c r="A372" s="43"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115-1-1</v>
      </c>
      <c r="B372" s="93"/>
      <c r="C372" s="56" t="s">
        <v>516</v>
      </c>
      <c r="D372" s="217" t="s">
        <v>487</v>
      </c>
      <c r="E372" s="212" t="s">
        <v>495</v>
      </c>
      <c r="F372" s="99" t="s">
        <v>619</v>
      </c>
      <c r="G372" s="99"/>
      <c r="H372" s="122" t="s">
        <v>818</v>
      </c>
      <c r="I372" s="122" t="s">
        <v>819</v>
      </c>
      <c r="J372" s="122" t="s">
        <v>1012</v>
      </c>
      <c r="K372" s="53" t="s">
        <v>821</v>
      </c>
      <c r="L372" s="135"/>
      <c r="M372" s="116"/>
      <c r="N372" s="54"/>
      <c r="O372" s="130"/>
      <c r="P372" s="136"/>
      <c r="Q372" s="136"/>
    </row>
    <row r="373" spans="1:17" s="30" customFormat="1" ht="22.5">
      <c r="A373" s="43"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115-2-1</v>
      </c>
      <c r="B373" s="93"/>
      <c r="C373" s="93"/>
      <c r="D373" s="210"/>
      <c r="E373" s="207"/>
      <c r="F373" s="179" t="s">
        <v>518</v>
      </c>
      <c r="G373" s="179"/>
      <c r="H373" s="127"/>
      <c r="I373" s="127"/>
      <c r="J373" s="127" t="s">
        <v>920</v>
      </c>
      <c r="K373" s="128"/>
      <c r="L373" s="181"/>
      <c r="M373" s="182"/>
      <c r="N373" s="182"/>
      <c r="O373" s="182"/>
      <c r="P373" s="182"/>
      <c r="Q373" s="182"/>
    </row>
    <row r="374" spans="1:17" s="30" customFormat="1" ht="22.5">
      <c r="A374" s="43"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115-3-1</v>
      </c>
      <c r="B374" s="93"/>
      <c r="C374" s="93"/>
      <c r="D374" s="210"/>
      <c r="E374" s="207"/>
      <c r="F374" s="99" t="s">
        <v>519</v>
      </c>
      <c r="G374" s="99"/>
      <c r="H374" s="122" t="s">
        <v>818</v>
      </c>
      <c r="I374" s="122" t="s">
        <v>819</v>
      </c>
      <c r="J374" s="122" t="s">
        <v>1014</v>
      </c>
      <c r="K374" s="116" t="s">
        <v>822</v>
      </c>
      <c r="L374" s="135"/>
      <c r="M374" s="116"/>
      <c r="N374" s="54"/>
      <c r="O374" s="130"/>
      <c r="P374" s="136"/>
      <c r="Q374" s="136"/>
    </row>
    <row r="375" spans="1:17" s="30" customFormat="1" ht="22.5">
      <c r="A375" s="43"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115-4-1</v>
      </c>
      <c r="B375" s="93"/>
      <c r="C375" s="93"/>
      <c r="D375" s="210"/>
      <c r="E375" s="207"/>
      <c r="F375" s="179" t="s">
        <v>520</v>
      </c>
      <c r="G375" s="179"/>
      <c r="H375" s="84"/>
      <c r="I375" s="84"/>
      <c r="J375" s="127" t="s">
        <v>909</v>
      </c>
      <c r="K375" s="180"/>
      <c r="L375" s="181"/>
      <c r="M375" s="182"/>
      <c r="N375" s="182"/>
      <c r="O375" s="182"/>
      <c r="P375" s="182"/>
      <c r="Q375" s="182"/>
    </row>
    <row r="376" spans="1:17" s="30" customFormat="1" ht="22.5">
      <c r="A376" s="43"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115-5-1</v>
      </c>
      <c r="B376" s="93"/>
      <c r="C376" s="93"/>
      <c r="D376" s="210"/>
      <c r="E376" s="207"/>
      <c r="F376" s="179" t="s">
        <v>521</v>
      </c>
      <c r="G376" s="179" t="s">
        <v>623</v>
      </c>
      <c r="H376" s="84"/>
      <c r="I376" s="84"/>
      <c r="J376" s="128"/>
      <c r="K376" s="180"/>
      <c r="L376" s="181"/>
      <c r="M376" s="182"/>
      <c r="N376" s="182"/>
      <c r="O376" s="182"/>
      <c r="P376" s="182"/>
      <c r="Q376" s="182"/>
    </row>
    <row r="377" spans="1:17" s="30" customFormat="1" ht="22.5">
      <c r="A377" s="43"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115-6-1</v>
      </c>
      <c r="B377" s="93"/>
      <c r="C377" s="93"/>
      <c r="D377" s="215"/>
      <c r="E377" s="211"/>
      <c r="F377" s="179" t="s">
        <v>522</v>
      </c>
      <c r="G377" s="179"/>
      <c r="H377" s="127"/>
      <c r="I377" s="127"/>
      <c r="J377" s="127" t="s">
        <v>920</v>
      </c>
      <c r="K377" s="128"/>
      <c r="L377" s="181"/>
      <c r="M377" s="182"/>
      <c r="N377" s="182"/>
      <c r="O377" s="182"/>
      <c r="P377" s="182"/>
      <c r="Q377" s="182"/>
    </row>
    <row r="378" spans="1:17" s="30" customFormat="1" ht="78.75">
      <c r="A378" s="43"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116-1-1</v>
      </c>
      <c r="B378" s="93"/>
      <c r="C378" s="93"/>
      <c r="D378" s="212" t="s">
        <v>523</v>
      </c>
      <c r="E378" s="212" t="s">
        <v>495</v>
      </c>
      <c r="F378" s="56" t="s">
        <v>526</v>
      </c>
      <c r="G378" s="99"/>
      <c r="H378" s="56" t="s">
        <v>1022</v>
      </c>
      <c r="I378" s="56" t="s">
        <v>1023</v>
      </c>
      <c r="J378" s="53" t="s">
        <v>1028</v>
      </c>
      <c r="K378" s="119" t="s">
        <v>1025</v>
      </c>
      <c r="L378" s="135"/>
      <c r="M378" s="116"/>
      <c r="N378" s="54"/>
      <c r="O378" s="130"/>
      <c r="P378" s="136"/>
      <c r="Q378" s="136"/>
    </row>
    <row r="379" spans="1:17" s="30" customFormat="1" ht="45">
      <c r="A379" s="43"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116-1-2</v>
      </c>
      <c r="B379" s="93"/>
      <c r="C379" s="93"/>
      <c r="D379" s="211"/>
      <c r="E379" s="211"/>
      <c r="F379" s="194"/>
      <c r="G379" s="99"/>
      <c r="H379" s="56" t="s">
        <v>1022</v>
      </c>
      <c r="I379" s="56" t="s">
        <v>1023</v>
      </c>
      <c r="J379" s="53" t="s">
        <v>1030</v>
      </c>
      <c r="K379" s="119" t="s">
        <v>908</v>
      </c>
      <c r="L379" s="135"/>
      <c r="M379" s="116"/>
      <c r="N379" s="54"/>
      <c r="O379" s="130"/>
      <c r="P379" s="136"/>
      <c r="Q379" s="136"/>
    </row>
    <row r="380" spans="1:17" s="30" customFormat="1" ht="45">
      <c r="A380" s="43"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117-1-1</v>
      </c>
      <c r="B380" s="93"/>
      <c r="C380" s="93"/>
      <c r="D380" s="212" t="s">
        <v>524</v>
      </c>
      <c r="E380" s="212" t="s">
        <v>495</v>
      </c>
      <c r="F380" s="56" t="s">
        <v>527</v>
      </c>
      <c r="G380" s="99"/>
      <c r="H380" s="122" t="s">
        <v>826</v>
      </c>
      <c r="I380" s="122" t="s">
        <v>827</v>
      </c>
      <c r="J380" s="122" t="s">
        <v>1007</v>
      </c>
      <c r="K380" s="116" t="s">
        <v>828</v>
      </c>
      <c r="L380" s="135"/>
      <c r="M380" s="116"/>
      <c r="N380" s="54"/>
      <c r="O380" s="130"/>
      <c r="P380" s="136"/>
      <c r="Q380" s="136"/>
    </row>
    <row r="381" spans="1:17" s="30" customFormat="1" ht="45">
      <c r="A381" s="43"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117-1-2</v>
      </c>
      <c r="B381" s="93"/>
      <c r="C381" s="93"/>
      <c r="D381" s="211"/>
      <c r="E381" s="211"/>
      <c r="F381" s="194"/>
      <c r="G381" s="99"/>
      <c r="H381" s="131" t="s">
        <v>826</v>
      </c>
      <c r="I381" s="131" t="s">
        <v>827</v>
      </c>
      <c r="J381" s="122" t="s">
        <v>1013</v>
      </c>
      <c r="K381" s="252" t="s">
        <v>828</v>
      </c>
      <c r="L381" s="137"/>
      <c r="M381" s="116"/>
      <c r="N381" s="54"/>
      <c r="O381" s="130"/>
      <c r="P381" s="138"/>
      <c r="Q381" s="138"/>
    </row>
    <row r="382" spans="1:17" s="30" customFormat="1" ht="56.25">
      <c r="A382" s="43"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118-1-1</v>
      </c>
      <c r="B382" s="194"/>
      <c r="C382" s="194"/>
      <c r="D382" s="130" t="s">
        <v>525</v>
      </c>
      <c r="E382" s="130" t="s">
        <v>495</v>
      </c>
      <c r="F382" s="82" t="s">
        <v>594</v>
      </c>
      <c r="G382" s="99"/>
      <c r="H382" s="56" t="s">
        <v>829</v>
      </c>
      <c r="I382" s="56" t="s">
        <v>830</v>
      </c>
      <c r="J382" s="122" t="s">
        <v>1007</v>
      </c>
      <c r="K382" s="120" t="s">
        <v>831</v>
      </c>
      <c r="L382" s="137"/>
      <c r="M382" s="116"/>
      <c r="N382" s="54"/>
      <c r="O382" s="130"/>
      <c r="P382" s="138"/>
      <c r="Q382" s="138"/>
    </row>
    <row r="383" spans="1:17" ht="22.5">
      <c r="A383" s="43" t="str" cm="1">
        <f t="array" aca="1" ref="A383" ca="1">_xlfn.LET(
_xlpm.詳細項目数, COUNTA($E$11:E383),
_xlpm.直近で詳細項目が空でないセルの行番号, MAX(INDEX((LEN($E$11:E383)&gt;0)*ROW($E$11:E383),0)),
_xlpm.観点数, COUNTA(INDIRECT("F"&amp;_xlpm.直近で詳細項目が空でないセルの行番号):F383),
_xlpm.直近で観点が空でないセルの行番号, MAX(INDEX((LEN($F$11:F383)&gt;0)*ROW($F$11:F383),0)),
_xlpm.テスト内容数, COUNTA(INDIRECT("J"&amp;_xlpm.直近で観点が空でないセルの行番号):J383),
_xlpm.テスト内容数_空なら1, IF(_xlpm.テスト内容数=0,1,_xlpm.テスト内容数),
_xlpm.詳細項目数&amp;"-"&amp;_xlpm.観点数&amp;"-"&amp;_xlpm.テスト内容数_空なら1
)</f>
        <v>119-1-1</v>
      </c>
      <c r="B383" s="196" t="s">
        <v>502</v>
      </c>
      <c r="C383" s="196" t="s">
        <v>488</v>
      </c>
      <c r="D383" s="196" t="s">
        <v>489</v>
      </c>
      <c r="E383" s="196" t="s">
        <v>54</v>
      </c>
      <c r="F383" s="256" t="s">
        <v>490</v>
      </c>
      <c r="G383" s="95"/>
      <c r="H383" s="96"/>
      <c r="I383" s="96"/>
      <c r="J383" s="97" t="s">
        <v>813</v>
      </c>
      <c r="K383" s="97"/>
      <c r="L383" s="96"/>
      <c r="M383" s="96"/>
      <c r="N383" s="96"/>
      <c r="O383" s="126"/>
      <c r="P383" s="97"/>
      <c r="Q383" s="97"/>
    </row>
    <row r="384" spans="1:17" ht="22.5">
      <c r="A384" s="43" t="str" cm="1">
        <f t="array" aca="1" ref="A384" ca="1">_xlfn.LET(
_xlpm.詳細項目数, COUNTA($E$11:E384),
_xlpm.直近で詳細項目が空でないセルの行番号, MAX(INDEX((LEN($E$11:E384)&gt;0)*ROW($E$11:E384),0)),
_xlpm.観点数, COUNTA(INDIRECT("F"&amp;_xlpm.直近で詳細項目が空でないセルの行番号):F384),
_xlpm.直近で観点が空でないセルの行番号, MAX(INDEX((LEN($F$11:F384)&gt;0)*ROW($F$11:F384),0)),
_xlpm.テスト内容数, COUNTA(INDIRECT("J"&amp;_xlpm.直近で観点が空でないセルの行番号):J384),
_xlpm.テスト内容数_空なら1, IF(_xlpm.テスト内容数=0,1,_xlpm.テスト内容数),
_xlpm.詳細項目数&amp;"-"&amp;_xlpm.観点数&amp;"-"&amp;_xlpm.テスト内容数_空なら1
)</f>
        <v>119-2-1</v>
      </c>
      <c r="B384" s="243"/>
      <c r="C384" s="198"/>
      <c r="D384" s="198"/>
      <c r="E384" s="198"/>
      <c r="F384" s="94" t="s">
        <v>491</v>
      </c>
      <c r="G384" s="95"/>
      <c r="H384" s="127"/>
      <c r="I384" s="127"/>
      <c r="J384" s="96" t="s">
        <v>813</v>
      </c>
      <c r="K384" s="96"/>
      <c r="L384" s="96"/>
      <c r="M384" s="96"/>
      <c r="N384" s="96"/>
      <c r="O384" s="126"/>
      <c r="P384" s="97"/>
      <c r="Q384" s="97"/>
    </row>
  </sheetData>
  <autoFilter ref="A10:Q384" xr:uid="{327ABF10-744B-4A96-A754-BD17133565EA}"/>
  <mergeCells count="2">
    <mergeCell ref="B112:B113"/>
    <mergeCell ref="B132:B133"/>
  </mergeCells>
  <phoneticPr fontId="2"/>
  <dataValidations disablePrompts="1" count="1">
    <dataValidation type="list" allowBlank="1" showInputMessage="1" showErrorMessage="1" sqref="O11:O384" xr:uid="{36DB1CF5-88D2-46E4-A800-91C1B261AE3C}">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7" manualBreakCount="7">
    <brk id="47" max="18" man="1"/>
    <brk id="371" max="18" man="1"/>
    <brk id="328" max="18" man="1"/>
    <brk id="36" max="18" man="1"/>
    <brk id="103" max="18" man="1"/>
    <brk id="163" max="18" man="1"/>
    <brk id="269" max="18"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67B97-767A-4ADC-92B3-AD54B04EC229}">
  <sheetPr>
    <pageSetUpPr fitToPage="1"/>
  </sheetPr>
  <dimension ref="A1:P45"/>
  <sheetViews>
    <sheetView showGridLines="0" view="pageBreakPreview" zoomScaleNormal="100" zoomScaleSheetLayoutView="100" workbookViewId="0">
      <pane ySplit="10" topLeftCell="A11" activePane="bottomLeft" state="frozen"/>
      <selection pane="bottomLeft"/>
    </sheetView>
  </sheetViews>
  <sheetFormatPr defaultColWidth="9" defaultRowHeight="11.25" outlineLevelCol="1"/>
  <cols>
    <col min="1" max="1" width="8.625" style="24" customWidth="1"/>
    <col min="2" max="3" width="10.625" style="24" customWidth="1"/>
    <col min="4" max="5" width="15.625" style="25" customWidth="1"/>
    <col min="6" max="6" width="60.625" style="24" hidden="1" customWidth="1" outlineLevel="1"/>
    <col min="7" max="7" width="15.625" style="24" customWidth="1" collapsed="1"/>
    <col min="8" max="8" width="20.625" style="24" customWidth="1"/>
    <col min="9" max="10" width="30.625" style="24" customWidth="1"/>
    <col min="11" max="11" width="20.625" style="24" customWidth="1"/>
    <col min="12" max="14" width="8.625" style="24" customWidth="1"/>
    <col min="15" max="16384" width="9" style="24"/>
  </cols>
  <sheetData>
    <row r="1" spans="1:16">
      <c r="A1" s="24" t="s">
        <v>564</v>
      </c>
    </row>
    <row r="2" spans="1:16">
      <c r="A2" s="24" t="s">
        <v>596</v>
      </c>
    </row>
    <row r="4" spans="1:16">
      <c r="A4" s="24" t="s">
        <v>617</v>
      </c>
    </row>
    <row r="5" spans="1:16">
      <c r="A5" s="24" t="s">
        <v>631</v>
      </c>
    </row>
    <row r="6" spans="1:16">
      <c r="A6" s="24" t="s">
        <v>632</v>
      </c>
      <c r="M6" s="24" t="s">
        <v>12</v>
      </c>
      <c r="O6" s="24" t="s">
        <v>0</v>
      </c>
    </row>
    <row r="7" spans="1:16">
      <c r="M7" s="24" t="s">
        <v>13</v>
      </c>
      <c r="O7" s="24" t="s">
        <v>1</v>
      </c>
    </row>
    <row r="8" spans="1:16" ht="12" thickBot="1">
      <c r="A8" s="26"/>
      <c r="B8" s="26"/>
      <c r="C8" s="26"/>
      <c r="D8" s="27"/>
      <c r="E8" s="27"/>
      <c r="F8" s="27"/>
      <c r="G8" s="26"/>
      <c r="H8" s="26"/>
      <c r="I8" s="26"/>
      <c r="J8" s="26"/>
      <c r="K8" s="26"/>
      <c r="L8" s="26"/>
      <c r="M8" s="26"/>
      <c r="N8" s="26"/>
      <c r="O8" s="26"/>
      <c r="P8" s="26"/>
    </row>
    <row r="9" spans="1:16" ht="12" thickTop="1">
      <c r="F9" s="25"/>
    </row>
    <row r="10" spans="1:16" s="30" customFormat="1">
      <c r="A10" s="28" t="s">
        <v>32</v>
      </c>
      <c r="B10" s="28" t="s">
        <v>8</v>
      </c>
      <c r="C10" s="28" t="s">
        <v>566</v>
      </c>
      <c r="D10" s="28" t="s">
        <v>567</v>
      </c>
      <c r="E10" s="28" t="s">
        <v>568</v>
      </c>
      <c r="F10" s="103" t="s">
        <v>616</v>
      </c>
      <c r="G10" s="28" t="s">
        <v>9</v>
      </c>
      <c r="H10" s="28" t="s">
        <v>10</v>
      </c>
      <c r="I10" s="29" t="s">
        <v>2</v>
      </c>
      <c r="J10" s="29" t="s">
        <v>3</v>
      </c>
      <c r="K10" s="29" t="s">
        <v>45</v>
      </c>
      <c r="L10" s="29" t="s">
        <v>4</v>
      </c>
      <c r="M10" s="29" t="s">
        <v>14</v>
      </c>
      <c r="N10" s="29" t="s">
        <v>5</v>
      </c>
      <c r="O10" s="29" t="s">
        <v>6</v>
      </c>
      <c r="P10" s="29" t="s">
        <v>7</v>
      </c>
    </row>
    <row r="11" spans="1:16" s="30" customFormat="1" ht="78.75">
      <c r="A11" s="43" t="str" cm="1">
        <f t="array" aca="1" ref="A11" ca="1">_xlfn.LET(
_xlpm.確認観点2数, COUNTA($D$11:D11),
_xlpm.直近で確認観点2が空でないセルの行番号, MAX(INDEX((LEN($D$11:D11)&gt;0)*ROW($D$11:D11),0)),
_xlpm.確認観点3数, COUNTA(INDIRECT("E"&amp;_xlpm.直近で確認観点2が空でないセルの行番号):E11),
_xlpm.確認観点3数_空なら1,IF(_xlpm.確認観点3数=0,1,_xlpm.確認観点3数),
_xlpm.直近で確認観点3が空でないセルの行番号, MAX(INDEX((LEN($E$11:E11)&gt;0)*ROW($E$11:E11),0),_xlpm.直近で確認観点2が空でないセルの行番号),
_xlpm.テスト内容数, COUNTA(INDIRECT("I"&amp;_xlpm.直近で確認観点3が空でないセルの行番号):I11),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v>
      </c>
      <c r="B11" s="56" t="s">
        <v>569</v>
      </c>
      <c r="C11" s="56" t="s">
        <v>629</v>
      </c>
      <c r="D11" s="81" t="s">
        <v>570</v>
      </c>
      <c r="E11" s="82"/>
      <c r="F11" s="116"/>
      <c r="G11" s="56" t="s">
        <v>571</v>
      </c>
      <c r="H11" s="56" t="s">
        <v>572</v>
      </c>
      <c r="I11" s="83" t="s">
        <v>1016</v>
      </c>
      <c r="J11" s="83" t="s">
        <v>921</v>
      </c>
      <c r="K11" s="101"/>
      <c r="L11" s="57"/>
      <c r="M11" s="102"/>
      <c r="N11" s="57"/>
      <c r="O11" s="57"/>
      <c r="P11" s="57"/>
    </row>
    <row r="12" spans="1:16" s="30" customFormat="1" ht="90">
      <c r="A12" s="43" t="str" cm="1">
        <f t="array" aca="1" ref="A12" ca="1">_xlfn.LET(
_xlpm.確認観点2数, COUNTA($D$11:D12),
_xlpm.直近で確認観点2が空でないセルの行番号, MAX(INDEX((LEN($D$11:D12)&gt;0)*ROW($D$11:D12),0)),
_xlpm.確認観点3数, COUNTA(INDIRECT("E"&amp;_xlpm.直近で確認観点2が空でないセルの行番号):E12),
_xlpm.確認観点3数_空なら1,IF(_xlpm.確認観点3数=0,1,_xlpm.確認観点3数),
_xlpm.直近で確認観点3が空でないセルの行番号, MAX(INDEX((LEN($E$11:E12)&gt;0)*ROW($E$11:E12),0),_xlpm.直近で確認観点2が空でないセルの行番号),
_xlpm.テスト内容数, COUNTA(INDIRECT("I"&amp;_xlpm.直近で確認観点3が空でないセルの行番号):I12),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2-1-1</v>
      </c>
      <c r="B12" s="58"/>
      <c r="C12" s="58"/>
      <c r="D12" s="187" t="s">
        <v>573</v>
      </c>
      <c r="E12" s="188"/>
      <c r="F12" s="116"/>
      <c r="G12" s="56" t="s">
        <v>571</v>
      </c>
      <c r="H12" s="56" t="s">
        <v>585</v>
      </c>
      <c r="I12" s="189" t="s">
        <v>922</v>
      </c>
      <c r="J12" s="189" t="s">
        <v>923</v>
      </c>
      <c r="K12" s="101"/>
      <c r="L12" s="57"/>
      <c r="M12" s="102"/>
      <c r="N12" s="57"/>
      <c r="O12" s="59"/>
      <c r="P12" s="59"/>
    </row>
    <row r="13" spans="1:16" s="30" customFormat="1">
      <c r="A13" s="43" t="str" cm="1">
        <f t="array" aca="1" ref="A13" ca="1">_xlfn.LET(
_xlpm.確認観点2数, COUNTA($D$11:D13),
_xlpm.直近で確認観点2が空でないセルの行番号, MAX(INDEX((LEN($D$11:D13)&gt;0)*ROW($D$11:D13),0)),
_xlpm.確認観点3数, COUNTA(INDIRECT("E"&amp;_xlpm.直近で確認観点2が空でないセルの行番号):E13),
_xlpm.確認観点3数_空なら1,IF(_xlpm.確認観点3数=0,1,_xlpm.確認観点3数),
_xlpm.直近で確認観点3が空でないセルの行番号, MAX(INDEX((LEN($E$11:E13)&gt;0)*ROW($E$11:E13),0),_xlpm.直近で確認観点2が空でないセルの行番号),
_xlpm.テスト内容数, COUNTA(INDIRECT("I"&amp;_xlpm.直近で確認観点3が空でないセルの行番号):I13),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3-1-1</v>
      </c>
      <c r="B13" s="58"/>
      <c r="C13" s="58"/>
      <c r="D13" s="183" t="s">
        <v>574</v>
      </c>
      <c r="E13" s="184"/>
      <c r="F13" s="96" t="s">
        <v>624</v>
      </c>
      <c r="G13" s="84"/>
      <c r="H13" s="84"/>
      <c r="I13" s="85"/>
      <c r="J13" s="85"/>
      <c r="K13" s="106"/>
      <c r="L13" s="86"/>
      <c r="M13" s="107"/>
      <c r="N13" s="86"/>
      <c r="O13" s="86"/>
      <c r="P13" s="86"/>
    </row>
    <row r="14" spans="1:16" s="30" customFormat="1" ht="33.75">
      <c r="A14" s="43" t="str" cm="1">
        <f t="array" aca="1" ref="A14" ca="1">_xlfn.LET(
_xlpm.確認観点2数, COUNTA($D$11:D14),
_xlpm.直近で確認観点2が空でないセルの行番号, MAX(INDEX((LEN($D$11:D14)&gt;0)*ROW($D$11:D14),0)),
_xlpm.確認観点3数, COUNTA(INDIRECT("E"&amp;_xlpm.直近で確認観点2が空でないセルの行番号):E14),
_xlpm.確認観点3数_空なら1,IF(_xlpm.確認観点3数=0,1,_xlpm.確認観点3数),
_xlpm.直近で確認観点3が空でないセルの行番号, MAX(INDEX((LEN($E$11:E14)&gt;0)*ROW($E$11:E14),0),_xlpm.直近で確認観点2が空でないセルの行番号),
_xlpm.テスト内容数, COUNTA(INDIRECT("I"&amp;_xlpm.直近で確認観点3が空でないセルの行番号):I14),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4-1-1</v>
      </c>
      <c r="B14" s="58"/>
      <c r="C14" s="58"/>
      <c r="D14" s="187" t="s">
        <v>575</v>
      </c>
      <c r="E14" s="188"/>
      <c r="F14" s="116"/>
      <c r="G14" s="56" t="s">
        <v>571</v>
      </c>
      <c r="H14" s="56" t="s">
        <v>585</v>
      </c>
      <c r="I14" s="189" t="s">
        <v>924</v>
      </c>
      <c r="J14" s="189" t="s">
        <v>925</v>
      </c>
      <c r="K14" s="190"/>
      <c r="L14" s="59"/>
      <c r="M14" s="191"/>
      <c r="N14" s="59"/>
      <c r="O14" s="59"/>
      <c r="P14" s="59"/>
    </row>
    <row r="15" spans="1:16" s="30" customFormat="1" ht="78.75">
      <c r="A15" s="43" t="str" cm="1">
        <f t="array" aca="1" ref="A15" ca="1">_xlfn.LET(
_xlpm.確認観点2数, COUNTA($D$11:D15),
_xlpm.直近で確認観点2が空でないセルの行番号, MAX(INDEX((LEN($D$11:D15)&gt;0)*ROW($D$11:D15),0)),
_xlpm.確認観点3数, COUNTA(INDIRECT("E"&amp;_xlpm.直近で確認観点2が空でないセルの行番号):E15),
_xlpm.確認観点3数_空なら1,IF(_xlpm.確認観点3数=0,1,_xlpm.確認観点3数),
_xlpm.直近で確認観点3が空でないセルの行番号, MAX(INDEX((LEN($E$11:E15)&gt;0)*ROW($E$11:E15),0),_xlpm.直近で確認観点2が空でないセルの行番号),
_xlpm.テスト内容数, COUNTA(INDIRECT("I"&amp;_xlpm.直近で確認観点3が空でないセルの行番号):I15),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5-1-1</v>
      </c>
      <c r="B15" s="58"/>
      <c r="C15" s="58"/>
      <c r="D15" s="261" t="s">
        <v>576</v>
      </c>
      <c r="E15" s="192" t="s">
        <v>577</v>
      </c>
      <c r="F15" s="116"/>
      <c r="G15" s="56" t="s">
        <v>571</v>
      </c>
      <c r="H15" s="56" t="s">
        <v>585</v>
      </c>
      <c r="I15" s="189" t="s">
        <v>926</v>
      </c>
      <c r="J15" s="189" t="s">
        <v>923</v>
      </c>
      <c r="K15" s="101"/>
      <c r="L15" s="57"/>
      <c r="M15" s="102"/>
      <c r="N15" s="57"/>
      <c r="O15" s="59"/>
      <c r="P15" s="59"/>
    </row>
    <row r="16" spans="1:16" s="30" customFormat="1" ht="22.5">
      <c r="A16" s="43" t="str" cm="1">
        <f t="array" aca="1" ref="A16" ca="1">_xlfn.LET(
_xlpm.確認観点2数, COUNTA($D$11:D16),
_xlpm.直近で確認観点2が空でないセルの行番号, MAX(INDEX((LEN($D$11:D16)&gt;0)*ROW($D$11:D16),0)),
_xlpm.確認観点3数, COUNTA(INDIRECT("E"&amp;_xlpm.直近で確認観点2が空でないセルの行番号):E16),
_xlpm.確認観点3数_空なら1,IF(_xlpm.確認観点3数=0,1,_xlpm.確認観点3数),
_xlpm.直近で確認観点3が空でないセルの行番号, MAX(INDEX((LEN($E$11:E16)&gt;0)*ROW($E$11:E16),0),_xlpm.直近で確認観点2が空でないセルの行番号),
_xlpm.テスト内容数, COUNTA(INDIRECT("I"&amp;_xlpm.直近で確認観点3が空でないセルの行番号):I16),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5-2-1</v>
      </c>
      <c r="B16" s="58"/>
      <c r="C16" s="58"/>
      <c r="D16" s="58"/>
      <c r="E16" s="80" t="s">
        <v>578</v>
      </c>
      <c r="F16" s="96" t="s">
        <v>624</v>
      </c>
      <c r="G16" s="84"/>
      <c r="H16" s="84"/>
      <c r="I16" s="85"/>
      <c r="J16" s="85"/>
      <c r="K16" s="106"/>
      <c r="L16" s="86"/>
      <c r="M16" s="107"/>
      <c r="N16" s="86"/>
      <c r="O16" s="86"/>
      <c r="P16" s="86"/>
    </row>
    <row r="17" spans="1:16" s="30" customFormat="1">
      <c r="A17" s="43" t="str" cm="1">
        <f t="array" aca="1" ref="A17" ca="1">_xlfn.LET(
_xlpm.確認観点2数, COUNTA($D$11:D17),
_xlpm.直近で確認観点2が空でないセルの行番号, MAX(INDEX((LEN($D$11:D17)&gt;0)*ROW($D$11:D17),0)),
_xlpm.確認観点3数, COUNTA(INDIRECT("E"&amp;_xlpm.直近で確認観点2が空でないセルの行番号):E17),
_xlpm.確認観点3数_空なら1,IF(_xlpm.確認観点3数=0,1,_xlpm.確認観点3数),
_xlpm.直近で確認観点3が空でないセルの行番号, MAX(INDEX((LEN($E$11:E17)&gt;0)*ROW($E$11:E17),0),_xlpm.直近で確認観点2が空でないセルの行番号),
_xlpm.テスト内容数, COUNTA(INDIRECT("I"&amp;_xlpm.直近で確認観点3が空でないセルの行番号):I17),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5-3-1</v>
      </c>
      <c r="B17" s="58"/>
      <c r="C17" s="58"/>
      <c r="D17" s="58"/>
      <c r="E17" s="87" t="s">
        <v>579</v>
      </c>
      <c r="F17" s="96" t="s">
        <v>624</v>
      </c>
      <c r="G17" s="84"/>
      <c r="H17" s="84"/>
      <c r="I17" s="85"/>
      <c r="J17" s="85"/>
      <c r="K17" s="106"/>
      <c r="L17" s="86"/>
      <c r="M17" s="107"/>
      <c r="N17" s="86"/>
      <c r="O17" s="86"/>
      <c r="P17" s="86"/>
    </row>
    <row r="18" spans="1:16" s="30" customFormat="1">
      <c r="A18" s="43" t="str" cm="1">
        <f t="array" aca="1" ref="A18" ca="1">_xlfn.LET(
_xlpm.確認観点2数, COUNTA($D$11:D18),
_xlpm.直近で確認観点2が空でないセルの行番号, MAX(INDEX((LEN($D$11:D18)&gt;0)*ROW($D$11:D18),0)),
_xlpm.確認観点3数, COUNTA(INDIRECT("E"&amp;_xlpm.直近で確認観点2が空でないセルの行番号):E18),
_xlpm.確認観点3数_空なら1,IF(_xlpm.確認観点3数=0,1,_xlpm.確認観点3数),
_xlpm.直近で確認観点3が空でないセルの行番号, MAX(INDEX((LEN($E$11:E18)&gt;0)*ROW($E$11:E18),0),_xlpm.直近で確認観点2が空でないセルの行番号),
_xlpm.テスト内容数, COUNTA(INDIRECT("I"&amp;_xlpm.直近で確認観点3が空でないセルの行番号):I18),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5-4-1</v>
      </c>
      <c r="B18" s="58"/>
      <c r="C18" s="58"/>
      <c r="D18" s="98"/>
      <c r="E18" s="87" t="s">
        <v>580</v>
      </c>
      <c r="F18" s="96" t="s">
        <v>624</v>
      </c>
      <c r="G18" s="84"/>
      <c r="H18" s="84"/>
      <c r="I18" s="85"/>
      <c r="J18" s="85"/>
      <c r="K18" s="106"/>
      <c r="L18" s="86"/>
      <c r="M18" s="107"/>
      <c r="N18" s="86"/>
      <c r="O18" s="86"/>
      <c r="P18" s="86"/>
    </row>
    <row r="19" spans="1:16" s="30" customFormat="1" ht="22.5">
      <c r="A19" s="43" t="str" cm="1">
        <f t="array" aca="1" ref="A19" ca="1">_xlfn.LET(
_xlpm.確認観点2数, COUNTA($D$11:D19),
_xlpm.直近で確認観点2が空でないセルの行番号, MAX(INDEX((LEN($D$11:D19)&gt;0)*ROW($D$11:D19),0)),
_xlpm.確認観点3数, COUNTA(INDIRECT("E"&amp;_xlpm.直近で確認観点2が空でないセルの行番号):E19),
_xlpm.確認観点3数_空なら1,IF(_xlpm.確認観点3数=0,1,_xlpm.確認観点3数),
_xlpm.直近で確認観点3が空でないセルの行番号, MAX(INDEX((LEN($E$11:E19)&gt;0)*ROW($E$11:E19),0),_xlpm.直近で確認観点2が空でないセルの行番号),
_xlpm.テスト内容数, COUNTA(INDIRECT("I"&amp;_xlpm.直近で確認観点3が空でないセルの行番号):I19),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6-1-1</v>
      </c>
      <c r="B19" s="58"/>
      <c r="C19" s="58"/>
      <c r="D19" s="87" t="s">
        <v>581</v>
      </c>
      <c r="E19" s="80" t="s">
        <v>582</v>
      </c>
      <c r="F19" s="96" t="s">
        <v>624</v>
      </c>
      <c r="G19" s="84"/>
      <c r="H19" s="84"/>
      <c r="I19" s="85"/>
      <c r="J19" s="85"/>
      <c r="K19" s="106"/>
      <c r="L19" s="86"/>
      <c r="M19" s="107"/>
      <c r="N19" s="86"/>
      <c r="O19" s="86"/>
      <c r="P19" s="86"/>
    </row>
    <row r="20" spans="1:16" s="30" customFormat="1" ht="67.5">
      <c r="A20" s="43" t="str" cm="1">
        <f t="array" aca="1" ref="A20" ca="1">_xlfn.LET(
_xlpm.確認観点2数, COUNTA($D$11:D20),
_xlpm.直近で確認観点2が空でないセルの行番号, MAX(INDEX((LEN($D$11:D20)&gt;0)*ROW($D$11:D20),0)),
_xlpm.確認観点3数, COUNTA(INDIRECT("E"&amp;_xlpm.直近で確認観点2が空でないセルの行番号):E20),
_xlpm.確認観点3数_空なら1,IF(_xlpm.確認観点3数=0,1,_xlpm.確認観点3数),
_xlpm.直近で確認観点3が空でないセルの行番号, MAX(INDEX((LEN($E$11:E20)&gt;0)*ROW($E$11:E20),0),_xlpm.直近で確認観点2が空でないセルの行番号),
_xlpm.テスト内容数, COUNTA(INDIRECT("I"&amp;_xlpm.直近で確認観点3が空でないセルの行番号):I20),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7-1-1</v>
      </c>
      <c r="B20" s="58"/>
      <c r="C20" s="58"/>
      <c r="D20" s="81" t="s">
        <v>583</v>
      </c>
      <c r="E20" s="32" t="s">
        <v>584</v>
      </c>
      <c r="F20" s="116"/>
      <c r="G20" s="56" t="s">
        <v>571</v>
      </c>
      <c r="H20" s="56" t="s">
        <v>585</v>
      </c>
      <c r="I20" s="189" t="s">
        <v>1027</v>
      </c>
      <c r="J20" s="189" t="s">
        <v>1026</v>
      </c>
      <c r="K20" s="101"/>
      <c r="L20" s="57"/>
      <c r="M20" s="102"/>
      <c r="N20" s="57"/>
      <c r="O20" s="59"/>
      <c r="P20" s="59"/>
    </row>
    <row r="21" spans="1:16" s="30" customFormat="1" ht="13.5">
      <c r="A21" s="43" t="str" cm="1">
        <f t="array" aca="1" ref="A21" ca="1">_xlfn.LET(
_xlpm.確認観点2数, COUNTA($D$11:D21),
_xlpm.直近で確認観点2が空でないセルの行番号, MAX(INDEX((LEN($D$11:D21)&gt;0)*ROW($D$11:D21),0)),
_xlpm.確認観点3数, COUNTA(INDIRECT("E"&amp;_xlpm.直近で確認観点2が空でないセルの行番号):E21),
_xlpm.確認観点3数_空なら1,IF(_xlpm.確認観点3数=0,1,_xlpm.確認観点3数),
_xlpm.直近で確認観点3が空でないセルの行番号, MAX(INDEX((LEN($E$11:E21)&gt;0)*ROW($E$11:E21),0),_xlpm.直近で確認観点2が空でないセルの行番号),
_xlpm.テスト内容数, COUNTA(INDIRECT("I"&amp;_xlpm.直近で確認観点3が空でないセルの行番号):I21),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8-1-1</v>
      </c>
      <c r="B21" s="58"/>
      <c r="C21" s="58"/>
      <c r="D21" s="334" t="s">
        <v>613</v>
      </c>
      <c r="E21" s="335"/>
      <c r="F21" s="96" t="s">
        <v>624</v>
      </c>
      <c r="G21" s="84"/>
      <c r="H21" s="84"/>
      <c r="I21" s="85"/>
      <c r="J21" s="85"/>
      <c r="K21" s="106"/>
      <c r="L21" s="86"/>
      <c r="M21" s="107"/>
      <c r="N21" s="86"/>
      <c r="O21" s="86"/>
      <c r="P21" s="86"/>
    </row>
    <row r="22" spans="1:16" s="30" customFormat="1">
      <c r="A22" s="43" t="str" cm="1">
        <f t="array" aca="1" ref="A22" ca="1">_xlfn.LET(
_xlpm.確認観点2数, COUNTA($D$11:D22),
_xlpm.直近で確認観点2が空でないセルの行番号, MAX(INDEX((LEN($D$11:D22)&gt;0)*ROW($D$11:D22),0)),
_xlpm.確認観点3数, COUNTA(INDIRECT("E"&amp;_xlpm.直近で確認観点2が空でないセルの行番号):E22),
_xlpm.確認観点3数_空なら1,IF(_xlpm.確認観点3数=0,1,_xlpm.確認観点3数),
_xlpm.直近で確認観点3が空でないセルの行番号, MAX(INDEX((LEN($E$11:E22)&gt;0)*ROW($E$11:E22),0),_xlpm.直近で確認観点2が空でないセルの行番号),
_xlpm.テスト内容数, COUNTA(INDIRECT("I"&amp;_xlpm.直近で確認観点3が空でないセルの行番号):I22),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9-1-1</v>
      </c>
      <c r="B22" s="58"/>
      <c r="C22" s="185" t="s">
        <v>586</v>
      </c>
      <c r="D22" s="183" t="s">
        <v>587</v>
      </c>
      <c r="E22" s="184"/>
      <c r="F22" s="96" t="s">
        <v>624</v>
      </c>
      <c r="G22" s="84"/>
      <c r="H22" s="84"/>
      <c r="I22" s="85"/>
      <c r="J22" s="85"/>
      <c r="K22" s="106"/>
      <c r="L22" s="86"/>
      <c r="M22" s="107"/>
      <c r="N22" s="86"/>
      <c r="O22" s="86"/>
      <c r="P22" s="86"/>
    </row>
    <row r="23" spans="1:16" s="30" customFormat="1">
      <c r="A23" s="43" t="str" cm="1">
        <f t="array" aca="1" ref="A23" ca="1">_xlfn.LET(
_xlpm.確認観点2数, COUNTA($D$11:D23),
_xlpm.直近で確認観点2が空でないセルの行番号, MAX(INDEX((LEN($D$11:D23)&gt;0)*ROW($D$11:D23),0)),
_xlpm.確認観点3数, COUNTA(INDIRECT("E"&amp;_xlpm.直近で確認観点2が空でないセルの行番号):E23),
_xlpm.確認観点3数_空なら1,IF(_xlpm.確認観点3数=0,1,_xlpm.確認観点3数),
_xlpm.直近で確認観点3が空でないセルの行番号, MAX(INDEX((LEN($E$11:E23)&gt;0)*ROW($E$11:E23),0),_xlpm.直近で確認観点2が空でないセルの行番号),
_xlpm.テスト内容数, COUNTA(INDIRECT("I"&amp;_xlpm.直近で確認観点3が空でないセルの行番号):I23),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10-1-1</v>
      </c>
      <c r="B23" s="58"/>
      <c r="C23" s="186"/>
      <c r="D23" s="183" t="s">
        <v>588</v>
      </c>
      <c r="E23" s="184"/>
      <c r="F23" s="96" t="s">
        <v>624</v>
      </c>
      <c r="G23" s="84"/>
      <c r="H23" s="84"/>
      <c r="I23" s="85"/>
      <c r="J23" s="85"/>
      <c r="K23" s="106"/>
      <c r="L23" s="86"/>
      <c r="M23" s="107"/>
      <c r="N23" s="86"/>
      <c r="O23" s="86"/>
      <c r="P23" s="86"/>
    </row>
    <row r="24" spans="1:16" s="30" customFormat="1" ht="33.75">
      <c r="A24" s="43" t="str" cm="1">
        <f t="array" aca="1" ref="A24" ca="1">_xlfn.LET(
_xlpm.確認観点2数, COUNTA($D$11:D24),
_xlpm.直近で確認観点2が空でないセルの行番号, MAX(INDEX((LEN($D$11:D24)&gt;0)*ROW($D$11:D24),0)),
_xlpm.確認観点3数, COUNTA(INDIRECT("E"&amp;_xlpm.直近で確認観点2が空でないセルの行番号):E24),
_xlpm.確認観点3数_空なら1,IF(_xlpm.確認観点3数=0,1,_xlpm.確認観点3数),
_xlpm.直近で確認観点3が空でないセルの行番号, MAX(INDEX((LEN($E$11:E24)&gt;0)*ROW($E$11:E24),0),_xlpm.直近で確認観点2が空でないセルの行番号),
_xlpm.テスト内容数, COUNTA(INDIRECT("I"&amp;_xlpm.直近で確認観点3が空でないセルの行番号):I24),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11-1-1</v>
      </c>
      <c r="B24" s="58"/>
      <c r="C24" s="56" t="s">
        <v>610</v>
      </c>
      <c r="D24" s="99" t="s">
        <v>625</v>
      </c>
      <c r="E24" s="92" t="s">
        <v>611</v>
      </c>
      <c r="F24" s="56"/>
      <c r="G24" s="56" t="s">
        <v>609</v>
      </c>
      <c r="H24" s="56" t="s">
        <v>608</v>
      </c>
      <c r="I24" s="124" t="s">
        <v>927</v>
      </c>
      <c r="J24" s="125" t="s">
        <v>928</v>
      </c>
      <c r="K24" s="101"/>
      <c r="L24" s="57"/>
      <c r="M24" s="102"/>
      <c r="N24" s="57"/>
      <c r="O24" s="59"/>
      <c r="P24" s="59"/>
    </row>
    <row r="25" spans="1:16" s="30" customFormat="1" ht="33.75">
      <c r="A25" s="43" t="str" cm="1">
        <f t="array" aca="1" ref="A25" ca="1">_xlfn.LET(
_xlpm.確認観点2数, COUNTA($D$11:D25),
_xlpm.直近で確認観点2が空でないセルの行番号, MAX(INDEX((LEN($D$11:D25)&gt;0)*ROW($D$11:D25),0)),
_xlpm.確認観点3数, COUNTA(INDIRECT("E"&amp;_xlpm.直近で確認観点2が空でないセルの行番号):E25),
_xlpm.確認観点3数_空なら1,IF(_xlpm.確認観点3数=0,1,_xlpm.確認観点3数),
_xlpm.直近で確認観点3が空でないセルの行番号, MAX(INDEX((LEN($E$11:E25)&gt;0)*ROW($E$11:E25),0),_xlpm.直近で確認観点2が空でないセルの行番号),
_xlpm.テスト内容数, COUNTA(INDIRECT("I"&amp;_xlpm.直近で確認観点3が空でないセルの行番号):I25),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11-2-1</v>
      </c>
      <c r="B25" s="58"/>
      <c r="C25" s="93"/>
      <c r="D25" s="100"/>
      <c r="E25" s="92" t="s">
        <v>612</v>
      </c>
      <c r="F25" s="56"/>
      <c r="G25" s="56" t="s">
        <v>606</v>
      </c>
      <c r="H25" s="56" t="s">
        <v>607</v>
      </c>
      <c r="I25" s="124" t="s">
        <v>929</v>
      </c>
      <c r="J25" s="125" t="s">
        <v>930</v>
      </c>
      <c r="K25" s="101"/>
      <c r="L25" s="57"/>
      <c r="M25" s="102"/>
      <c r="N25" s="57"/>
      <c r="O25" s="59"/>
      <c r="P25" s="59"/>
    </row>
    <row r="26" spans="1:16" s="30" customFormat="1" ht="22.5">
      <c r="A26" s="43" t="str" cm="1">
        <f t="array" aca="1" ref="A26" ca="1">_xlfn.LET(
_xlpm.確認観点2数, COUNTA($D$11:D26),
_xlpm.直近で確認観点2が空でないセルの行番号, MAX(INDEX((LEN($D$11:D26)&gt;0)*ROW($D$11:D26),0)),
_xlpm.確認観点3数, COUNTA(INDIRECT("E"&amp;_xlpm.直近で確認観点2が空でないセルの行番号):E26),
_xlpm.確認観点3数_空なら1,IF(_xlpm.確認観点3数=0,1,_xlpm.確認観点3数),
_xlpm.直近で確認観点3が空でないセルの行番号, MAX(INDEX((LEN($E$11:E26)&gt;0)*ROW($E$11:E26),0),_xlpm.直近で確認観点2が空でないセルの行番号),
_xlpm.テスト内容数, COUNTA(INDIRECT("I"&amp;_xlpm.直近で確認観点3が空でないセルの行番号):I26),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12-1-1</v>
      </c>
      <c r="B26" s="58"/>
      <c r="C26" s="58"/>
      <c r="D26" s="179" t="s">
        <v>626</v>
      </c>
      <c r="E26" s="262" t="s">
        <v>611</v>
      </c>
      <c r="F26" s="84"/>
      <c r="G26" s="84"/>
      <c r="H26" s="84"/>
      <c r="I26" s="263" t="s">
        <v>931</v>
      </c>
      <c r="J26" s="264"/>
      <c r="K26" s="86"/>
      <c r="L26" s="86"/>
      <c r="M26" s="86"/>
      <c r="N26" s="86"/>
      <c r="O26" s="86"/>
      <c r="P26" s="86"/>
    </row>
    <row r="27" spans="1:16" s="30" customFormat="1">
      <c r="A27" s="43" t="str" cm="1">
        <f t="array" aca="1" ref="A27" ca="1">_xlfn.LET(
_xlpm.確認観点2数, COUNTA($D$11:D27),
_xlpm.直近で確認観点2が空でないセルの行番号, MAX(INDEX((LEN($D$11:D27)&gt;0)*ROW($D$11:D27),0)),
_xlpm.確認観点3数, COUNTA(INDIRECT("E"&amp;_xlpm.直近で確認観点2が空でないセルの行番号):E27),
_xlpm.確認観点3数_空なら1,IF(_xlpm.確認観点3数=0,1,_xlpm.確認観点3数),
_xlpm.直近で確認観点3が空でないセルの行番号, MAX(INDEX((LEN($E$11:E27)&gt;0)*ROW($E$11:E27),0),_xlpm.直近で確認観点2が空でないセルの行番号),
_xlpm.テスト内容数, COUNTA(INDIRECT("I"&amp;_xlpm.直近で確認観点3が空でないセルの行番号):I27),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12-2-1</v>
      </c>
      <c r="B27" s="58"/>
      <c r="C27" s="98"/>
      <c r="D27" s="186"/>
      <c r="E27" s="262" t="s">
        <v>612</v>
      </c>
      <c r="F27" s="84"/>
      <c r="G27" s="84"/>
      <c r="H27" s="84"/>
      <c r="I27" s="263" t="s">
        <v>931</v>
      </c>
      <c r="J27" s="264"/>
      <c r="K27" s="86"/>
      <c r="L27" s="86"/>
      <c r="M27" s="86"/>
      <c r="N27" s="86"/>
      <c r="O27" s="86"/>
      <c r="P27" s="86"/>
    </row>
    <row r="28" spans="1:16" s="30" customFormat="1" ht="22.5">
      <c r="A28" s="43" t="str" cm="1">
        <f t="array" aca="1" ref="A28" ca="1">_xlfn.LET(
_xlpm.確認観点2数, COUNTA($D$11:D28),
_xlpm.直近で確認観点2が空でないセルの行番号, MAX(INDEX((LEN($D$11:D28)&gt;0)*ROW($D$11:D28),0)),
_xlpm.確認観点3数, COUNTA(INDIRECT("E"&amp;_xlpm.直近で確認観点2が空でないセルの行番号):E28),
_xlpm.確認観点3数_空なら1,IF(_xlpm.確認観点3数=0,1,_xlpm.確認観点3数),
_xlpm.直近で確認観点3が空でないセルの行番号, MAX(INDEX((LEN($E$11:E28)&gt;0)*ROW($E$11:E28),0),_xlpm.直近で確認観点2が空でないセルの行番号),
_xlpm.テスト内容数, COUNTA(INDIRECT("I"&amp;_xlpm.直近で確認観点3が空でないセルの行番号):I28),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13-1-1</v>
      </c>
      <c r="B28" s="84" t="s">
        <v>589</v>
      </c>
      <c r="C28" s="268" t="s">
        <v>590</v>
      </c>
      <c r="D28" s="88" t="s">
        <v>495</v>
      </c>
      <c r="E28" s="89"/>
      <c r="F28" s="96" t="s">
        <v>614</v>
      </c>
      <c r="G28" s="87"/>
      <c r="H28" s="80"/>
      <c r="I28" s="85"/>
      <c r="J28" s="85"/>
      <c r="K28" s="106"/>
      <c r="L28" s="86"/>
      <c r="M28" s="107"/>
      <c r="N28" s="86"/>
      <c r="O28" s="86"/>
      <c r="P28" s="86"/>
    </row>
    <row r="29" spans="1:16" s="30" customFormat="1" ht="22.5">
      <c r="A29" s="43" t="str" cm="1">
        <f t="array" aca="1" ref="A29" ca="1">_xlfn.LET(
_xlpm.確認観点2数, COUNTA($D$11:D29),
_xlpm.直近で確認観点2が空でないセルの行番号, MAX(INDEX((LEN($D$11:D29)&gt;0)*ROW($D$11:D29),0)),
_xlpm.確認観点3数, COUNTA(INDIRECT("E"&amp;_xlpm.直近で確認観点2が空でないセルの行番号):E29),
_xlpm.確認観点3数_空なら1,IF(_xlpm.確認観点3数=0,1,_xlpm.確認観点3数),
_xlpm.直近で確認観点3が空でないセルの行番号, MAX(INDEX((LEN($E$11:E29)&gt;0)*ROW($E$11:E29),0),_xlpm.直近で確認観点2が空でないセルの行番号),
_xlpm.テスト内容数, COUNTA(INDIRECT("I"&amp;_xlpm.直近で確認観点3が空でないセルの行番号):I29),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14-1-1</v>
      </c>
      <c r="B29" s="108"/>
      <c r="C29" s="112" t="s">
        <v>591</v>
      </c>
      <c r="D29" s="109" t="s">
        <v>495</v>
      </c>
      <c r="E29" s="110"/>
      <c r="F29" s="96" t="s">
        <v>615</v>
      </c>
      <c r="G29" s="111"/>
      <c r="H29" s="111"/>
      <c r="I29" s="112"/>
      <c r="J29" s="112"/>
      <c r="K29" s="113"/>
      <c r="L29" s="114"/>
      <c r="M29" s="115"/>
      <c r="N29" s="114"/>
      <c r="O29" s="114"/>
      <c r="P29" s="114"/>
    </row>
    <row r="30" spans="1:16" s="30" customFormat="1">
      <c r="A30" s="104"/>
      <c r="B30" s="104"/>
      <c r="C30" s="104"/>
      <c r="D30" s="105"/>
      <c r="E30" s="105"/>
      <c r="G30" s="104"/>
      <c r="H30" s="104"/>
      <c r="I30" s="104"/>
      <c r="J30" s="104"/>
      <c r="K30" s="104"/>
      <c r="L30" s="104"/>
      <c r="M30" s="104"/>
      <c r="N30" s="104"/>
      <c r="O30" s="104"/>
      <c r="P30" s="104"/>
    </row>
    <row r="31" spans="1:16" s="30" customFormat="1">
      <c r="D31" s="90"/>
      <c r="E31" s="90"/>
    </row>
    <row r="32" spans="1:16" s="30" customFormat="1">
      <c r="D32" s="90"/>
      <c r="E32" s="90"/>
    </row>
    <row r="33" spans="4:5" s="30" customFormat="1">
      <c r="D33" s="90"/>
      <c r="E33" s="90"/>
    </row>
    <row r="34" spans="4:5" s="30" customFormat="1">
      <c r="D34" s="90"/>
      <c r="E34" s="90"/>
    </row>
    <row r="35" spans="4:5" s="30" customFormat="1">
      <c r="D35" s="90"/>
      <c r="E35" s="90"/>
    </row>
    <row r="36" spans="4:5" s="30" customFormat="1">
      <c r="D36" s="90"/>
      <c r="E36" s="90"/>
    </row>
    <row r="37" spans="4:5" s="30" customFormat="1">
      <c r="D37" s="90"/>
      <c r="E37" s="90"/>
    </row>
    <row r="38" spans="4:5" s="30" customFormat="1">
      <c r="D38" s="90"/>
      <c r="E38" s="90"/>
    </row>
    <row r="39" spans="4:5" s="30" customFormat="1">
      <c r="D39" s="90"/>
      <c r="E39" s="90"/>
    </row>
    <row r="40" spans="4:5" s="30" customFormat="1">
      <c r="D40" s="90"/>
      <c r="E40" s="90"/>
    </row>
    <row r="41" spans="4:5" s="30" customFormat="1">
      <c r="D41" s="90"/>
      <c r="E41" s="90"/>
    </row>
    <row r="42" spans="4:5" s="30" customFormat="1">
      <c r="D42" s="90"/>
      <c r="E42" s="90"/>
    </row>
    <row r="43" spans="4:5" s="30" customFormat="1">
      <c r="D43" s="90"/>
      <c r="E43" s="90"/>
    </row>
    <row r="44" spans="4:5" s="30" customFormat="1">
      <c r="D44" s="90"/>
      <c r="E44" s="90"/>
    </row>
    <row r="45" spans="4:5" s="30" customFormat="1">
      <c r="D45" s="90"/>
      <c r="E45" s="90"/>
    </row>
  </sheetData>
  <autoFilter ref="A10:P29" xr:uid="{00000000-0009-0000-0000-000003000000}"/>
  <mergeCells count="1">
    <mergeCell ref="D21:E21"/>
  </mergeCells>
  <phoneticPr fontId="2"/>
  <dataValidations disablePrompts="1" count="1">
    <dataValidation type="list" allowBlank="1" showInputMessage="1" showErrorMessage="1" sqref="N11:N29" xr:uid="{A1E77006-0F92-43CA-9C05-F8502B357362}">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15</vt:i4>
      </vt:variant>
    </vt:vector>
  </HeadingPairs>
  <TitlesOfParts>
    <vt:vector size="23" baseType="lpstr">
      <vt:lpstr>表紙</vt:lpstr>
      <vt:lpstr>変更履歴</vt:lpstr>
      <vt:lpstr>ProjectService_クラス単体</vt:lpstr>
      <vt:lpstr>ProjectCreateForm_クラス単体</vt:lpstr>
      <vt:lpstr>WA1020101_リクエスト単体</vt:lpstr>
      <vt:lpstr>WA1020102_リクエスト単体</vt:lpstr>
      <vt:lpstr>WA1020103_リクエスト単体</vt:lpstr>
      <vt:lpstr>取引単体</vt:lpstr>
      <vt:lpstr>ProjectCreateForm_クラス単体!Print_Area</vt:lpstr>
      <vt:lpstr>ProjectService_クラス単体!Print_Area</vt:lpstr>
      <vt:lpstr>WA1020101_リクエスト単体!Print_Area</vt:lpstr>
      <vt:lpstr>WA1020102_リクエスト単体!Print_Area</vt:lpstr>
      <vt:lpstr>WA1020103_リクエスト単体!Print_Area</vt:lpstr>
      <vt:lpstr>取引単体!Print_Area</vt:lpstr>
      <vt:lpstr>表紙!Print_Area</vt:lpstr>
      <vt:lpstr>変更履歴!Print_Area</vt:lpstr>
      <vt:lpstr>ProjectCreateForm_クラス単体!Print_Titles</vt:lpstr>
      <vt:lpstr>ProjectService_クラス単体!Print_Titles</vt:lpstr>
      <vt:lpstr>WA1020101_リクエスト単体!Print_Titles</vt:lpstr>
      <vt:lpstr>WA1020102_リクエスト単体!Print_Titles</vt:lpstr>
      <vt:lpstr>WA1020103_リクエスト単体!Print_Titles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2022-10-21T02:19:41Z</dcterms:created>
  <dcterms:modified xsi:type="dcterms:W3CDTF">2024-08-07T00:21:31Z</dcterms:modified>
</cp:coreProperties>
</file>