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8B36F523-14FA-49DE-A100-4BC2985F0C27}" xr6:coauthVersionLast="47" xr6:coauthVersionMax="47" xr10:uidLastSave="{00000000-0000-0000-0000-000000000000}"/>
  <bookViews>
    <workbookView xWindow="-120" yWindow="-120" windowWidth="38640" windowHeight="21240" tabRatio="445" xr2:uid="{00000000-000D-0000-FFFF-FFFF00000000}"/>
  </bookViews>
  <sheets>
    <sheet name="表紙" sheetId="19" r:id="rId1"/>
    <sheet name="変更履歴" sheetId="20" r:id="rId2"/>
    <sheet name="【テストターゲット名】_クラス単体" sheetId="26" r:id="rId3"/>
    <sheet name="【テストターゲット名】_リクエスト単体" sheetId="25" r:id="rId4"/>
    <sheet name="取引単体" sheetId="24" r:id="rId5"/>
  </sheets>
  <definedNames>
    <definedName name="_xlnm._FilterDatabase" localSheetId="2" hidden="1">【テストターゲット名】_クラス単体!$A$10:$Q$10</definedName>
    <definedName name="_xlnm._FilterDatabase" localSheetId="3" hidden="1">【テストターゲット名】_リクエスト単体!$A$10:$Q$10</definedName>
    <definedName name="_xlnm.Print_Area" localSheetId="2">【テストターゲット名】_クラス単体!$A$1:$Q$295</definedName>
    <definedName name="_xlnm.Print_Area" localSheetId="3">【テストターゲット名】_リクエスト単体!$A$1:$Q$382</definedName>
    <definedName name="_xlnm.Print_Area" localSheetId="4">取引単体!$A$1:$P$30</definedName>
    <definedName name="_xlnm.Print_Area" localSheetId="0">表紙!$A$1:$S$39</definedName>
    <definedName name="_xlnm.Print_Area" localSheetId="1">変更履歴!$A$1:$AI$39</definedName>
    <definedName name="_xlnm.Print_Titles" localSheetId="2">【テストターゲット名】_クラス単体!$1:$10</definedName>
    <definedName name="_xlnm.Print_Titles" localSheetId="3">【テストターゲット名】_リクエスト単体!$1:$10</definedName>
    <definedName name="_xlnm.Print_Titles" localSheetId="4">取引単体!$1:$10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0" l="1"/>
  <c r="AC2" i="20"/>
  <c r="AG1" i="20"/>
  <c r="AC1" i="20"/>
  <c r="A19" i="24" a="1"/>
  <c r="A23" i="24" a="1"/>
  <c r="A22" i="24" a="1"/>
  <c r="A14" i="24" a="1"/>
  <c r="A15" i="24" a="1"/>
  <c r="A17" i="24" a="1"/>
  <c r="A20" i="24" a="1"/>
  <c r="A29" i="24" a="1"/>
  <c r="A26" i="24" a="1"/>
  <c r="A11" i="24" a="1"/>
  <c r="A12" i="24" a="1"/>
  <c r="A21" i="24" a="1"/>
  <c r="A25" i="24" a="1"/>
  <c r="A18" i="24" a="1"/>
  <c r="A27" i="24" a="1"/>
  <c r="A13" i="24" a="1"/>
  <c r="A24" i="24" a="1"/>
  <c r="A16" i="24" a="1"/>
  <c r="A28" i="24" a="1"/>
  <c r="A11" i="24" l="1"/>
  <c r="A20" i="24"/>
  <c r="A19" i="24"/>
  <c r="A28" i="24"/>
  <c r="A18" i="24"/>
  <c r="A17" i="24"/>
  <c r="A16" i="24"/>
  <c r="A26" i="24"/>
  <c r="A15" i="24"/>
  <c r="A24" i="24"/>
  <c r="A25" i="24"/>
  <c r="A14" i="24"/>
  <c r="A13" i="24"/>
  <c r="A22" i="24"/>
  <c r="A21" i="24"/>
  <c r="A29" i="24"/>
  <c r="A27" i="24"/>
  <c r="A23" i="24"/>
  <c r="A12" i="24"/>
  <c r="A365" i="25" a="1"/>
  <c r="A129" i="25" a="1"/>
  <c r="A144" i="26" a="1"/>
  <c r="A224" i="26" a="1"/>
  <c r="A29" i="25" a="1"/>
  <c r="A84" i="25" a="1"/>
  <c r="A246" i="26" a="1"/>
  <c r="A268" i="26" a="1"/>
  <c r="A309" i="25" a="1"/>
  <c r="A227" i="25" a="1"/>
  <c r="A125" i="26" a="1"/>
  <c r="A65" i="26" a="1"/>
  <c r="A113" i="26" a="1"/>
  <c r="A196" i="26" a="1"/>
  <c r="A114" i="26" a="1"/>
  <c r="A176" i="26" a="1"/>
  <c r="A193" i="26" a="1"/>
  <c r="A69" i="25" a="1"/>
  <c r="A344" i="25" a="1"/>
  <c r="A11" i="26" a="1"/>
  <c r="A99" i="25" a="1"/>
  <c r="A199" i="25" a="1"/>
  <c r="A236" i="26" a="1"/>
  <c r="A214" i="26" a="1"/>
  <c r="A14" i="25" a="1"/>
  <c r="A71" i="26" a="1"/>
  <c r="A45" i="26" a="1"/>
  <c r="A65" i="25" a="1"/>
  <c r="A70" i="25" a="1"/>
  <c r="A80" i="26" a="1"/>
  <c r="A192" i="25" a="1"/>
  <c r="A255" i="25" a="1"/>
  <c r="A25" i="26" a="1"/>
  <c r="A251" i="25" a="1"/>
  <c r="A47" i="26" a="1"/>
  <c r="A180" i="25" a="1"/>
  <c r="A332" i="25" a="1"/>
  <c r="A270" i="26" a="1"/>
  <c r="A12" i="25" a="1"/>
  <c r="A94" i="26" a="1"/>
  <c r="A259" i="25" a="1"/>
  <c r="A227" i="26" a="1"/>
  <c r="A69" i="26" a="1"/>
  <c r="A168" i="26" a="1"/>
  <c r="A378" i="25" a="1"/>
  <c r="A215" i="25" a="1"/>
  <c r="A68" i="25" a="1"/>
  <c r="A222" i="26" a="1"/>
  <c r="A185" i="26" a="1"/>
  <c r="A291" i="25" a="1"/>
  <c r="A119" i="25" a="1"/>
  <c r="A58" i="26" a="1"/>
  <c r="A79" i="25" a="1"/>
  <c r="A339" i="25" a="1"/>
  <c r="A323" i="25" a="1"/>
  <c r="A241" i="25" a="1"/>
  <c r="A289" i="25" a="1"/>
  <c r="A48" i="26" a="1"/>
  <c r="A13" i="25" a="1"/>
  <c r="A382" i="25" a="1"/>
  <c r="A373" i="25" a="1"/>
  <c r="A104" i="25" a="1"/>
  <c r="A202" i="26" a="1"/>
  <c r="A92" i="25" a="1"/>
  <c r="A86" i="25" a="1"/>
  <c r="A134" i="25" a="1"/>
  <c r="A237" i="25" a="1"/>
  <c r="A372" i="25" a="1"/>
  <c r="A33" i="26" a="1"/>
  <c r="A116" i="25" a="1"/>
  <c r="A115" i="26" a="1"/>
  <c r="A223" i="25" a="1"/>
  <c r="A230" i="25" a="1"/>
  <c r="A64" i="25" a="1"/>
  <c r="A234" i="26" a="1"/>
  <c r="A123" i="26" a="1"/>
  <c r="A262" i="26" a="1"/>
  <c r="A16" i="25" a="1"/>
  <c r="A52" i="25" a="1"/>
  <c r="A343" i="25" a="1"/>
  <c r="A355" i="25" a="1"/>
  <c r="A293" i="26" a="1"/>
  <c r="A182" i="25" a="1"/>
  <c r="A232" i="26" a="1"/>
  <c r="A118" i="26" a="1"/>
  <c r="A156" i="25" a="1"/>
  <c r="A31" i="25" a="1"/>
  <c r="A248" i="26" a="1"/>
  <c r="A117" i="25" a="1"/>
  <c r="A101" i="26" a="1"/>
  <c r="A208" i="25" a="1"/>
  <c r="A348" i="25" a="1"/>
  <c r="A66" i="26" a="1"/>
  <c r="A230" i="26" a="1"/>
  <c r="A280" i="26" a="1"/>
  <c r="A142" i="26" a="1"/>
  <c r="A149" i="25" a="1"/>
  <c r="A248" i="25" a="1"/>
  <c r="A342" i="25" a="1"/>
  <c r="A209" i="25" a="1"/>
  <c r="A124" i="26" a="1"/>
  <c r="A153" i="25" a="1"/>
  <c r="A317" i="25" a="1"/>
  <c r="A129" i="26" a="1"/>
  <c r="A351" i="25" a="1"/>
  <c r="A281" i="25" a="1"/>
  <c r="A15" i="25" a="1"/>
  <c r="A286" i="26" a="1"/>
  <c r="A182" i="26" a="1"/>
  <c r="A273" i="26" a="1"/>
  <c r="A85" i="25" a="1"/>
  <c r="A146" i="26" a="1"/>
  <c r="A11" i="25" a="1"/>
  <c r="A361" i="25" a="1"/>
  <c r="A222" i="25" a="1"/>
  <c r="A174" i="26" a="1"/>
  <c r="A34" i="26" a="1"/>
  <c r="A120" i="26" a="1"/>
  <c r="A274" i="26" a="1"/>
  <c r="A205" i="25" a="1"/>
  <c r="A224" i="25" a="1"/>
  <c r="A30" i="25" a="1"/>
  <c r="A150" i="26" a="1"/>
  <c r="A349" i="25" a="1"/>
  <c r="A312" i="25" a="1"/>
  <c r="A347" i="25" a="1"/>
  <c r="A71" i="25" a="1"/>
  <c r="A110" i="25" a="1"/>
  <c r="A302" i="25" a="1"/>
  <c r="A306" i="25" a="1"/>
  <c r="A80" i="25" a="1"/>
  <c r="A34" i="25" a="1"/>
  <c r="A162" i="25" a="1"/>
  <c r="A354" i="25" a="1"/>
  <c r="A91" i="26" a="1"/>
  <c r="A188" i="26" a="1"/>
  <c r="A254" i="26" a="1"/>
  <c r="A314" i="25" a="1"/>
  <c r="A290" i="26" a="1"/>
  <c r="A299" i="25" a="1"/>
  <c r="A376" i="25" a="1"/>
  <c r="A318" i="25" a="1"/>
  <c r="A23" i="26" a="1"/>
  <c r="A194" i="26" a="1"/>
  <c r="A54" i="26" a="1"/>
  <c r="A166" i="26" a="1"/>
  <c r="A185" i="25" a="1"/>
  <c r="A233" i="26" a="1"/>
  <c r="A136" i="25" a="1"/>
  <c r="A75" i="26" a="1"/>
  <c r="A191" i="25" a="1"/>
  <c r="A209" i="26" a="1"/>
  <c r="A161" i="25" a="1"/>
  <c r="A191" i="26" a="1"/>
  <c r="A263" i="26" a="1"/>
  <c r="A140" i="26" a="1"/>
  <c r="A239" i="26" a="1"/>
  <c r="A23" i="25" a="1"/>
  <c r="A33" i="25" a="1"/>
  <c r="A148" i="25" a="1"/>
  <c r="A163" i="26" a="1"/>
  <c r="A315" i="25" a="1"/>
  <c r="A243" i="25" a="1"/>
  <c r="A107" i="26" a="1"/>
  <c r="A273" i="25" a="1"/>
  <c r="A155" i="25" a="1"/>
  <c r="A73" i="26" a="1"/>
  <c r="A262" i="25" a="1"/>
  <c r="A39" i="25" a="1"/>
  <c r="A183" i="25" a="1"/>
  <c r="A271" i="25" a="1"/>
  <c r="A24" i="26" a="1"/>
  <c r="A267" i="25" a="1"/>
  <c r="A307" i="25" a="1"/>
  <c r="A88" i="25" a="1"/>
  <c r="A110" i="26" a="1"/>
  <c r="A17" i="26" a="1"/>
  <c r="A210" i="26" a="1"/>
  <c r="A14" i="26" a="1"/>
  <c r="A152" i="25" a="1"/>
  <c r="A249" i="26" a="1"/>
  <c r="A103" i="25" a="1"/>
  <c r="A207" i="26" a="1"/>
  <c r="A105" i="26" a="1"/>
  <c r="A148" i="26" a="1"/>
  <c r="A206" i="26" a="1"/>
  <c r="A36" i="25" a="1"/>
  <c r="A292" i="25" a="1"/>
  <c r="A179" i="25" a="1"/>
  <c r="A266" i="26" a="1"/>
  <c r="A133" i="26" a="1"/>
  <c r="A61" i="26" a="1"/>
  <c r="A238" i="26" a="1"/>
  <c r="A211" i="26" a="1"/>
  <c r="A327" i="25" a="1"/>
  <c r="A163" i="25" a="1"/>
  <c r="A74" i="26" a="1"/>
  <c r="A56" i="25" a="1"/>
  <c r="A283" i="25" a="1"/>
  <c r="A190" i="26" a="1"/>
  <c r="A82" i="26" a="1"/>
  <c r="A112" i="26" a="1"/>
  <c r="A134" i="26" a="1"/>
  <c r="A179" i="26" a="1"/>
  <c r="A109" i="26" a="1"/>
  <c r="A271" i="26" a="1"/>
  <c r="A213" i="26" a="1"/>
  <c r="A140" i="25" a="1"/>
  <c r="A22" i="26" a="1"/>
  <c r="A213" i="25" a="1"/>
  <c r="A183" i="26" a="1"/>
  <c r="A55" i="26" a="1"/>
  <c r="A145" i="26" a="1"/>
  <c r="A320" i="25" a="1"/>
  <c r="A265" i="26" a="1"/>
  <c r="A293" i="25" a="1"/>
  <c r="A245" i="25" a="1"/>
  <c r="A38" i="26" a="1"/>
  <c r="A91" i="25" a="1"/>
  <c r="A70" i="26" a="1"/>
  <c r="A126" i="26" a="1"/>
  <c r="A154" i="26" a="1"/>
  <c r="A164" i="26" a="1"/>
  <c r="A245" i="26" a="1"/>
  <c r="A256" i="25" a="1"/>
  <c r="A132" i="26" a="1"/>
  <c r="A186" i="25" a="1"/>
  <c r="A137" i="26" a="1"/>
  <c r="A356" i="25" a="1"/>
  <c r="A258" i="26" a="1"/>
  <c r="A76" i="25" a="1"/>
  <c r="A59" i="26" a="1"/>
  <c r="A235" i="25" a="1"/>
  <c r="A97" i="26" a="1"/>
  <c r="A316" i="25" a="1"/>
  <c r="A35" i="25" a="1"/>
  <c r="A50" i="25" a="1"/>
  <c r="A55" i="25" a="1"/>
  <c r="A208" i="26" a="1"/>
  <c r="A180" i="26" a="1"/>
  <c r="A32" i="26" a="1"/>
  <c r="A94" i="25" a="1"/>
  <c r="A48" i="25" a="1"/>
  <c r="A297" i="25" a="1"/>
  <c r="A161" i="26" a="1"/>
  <c r="A12" i="26" a="1"/>
  <c r="A263" i="25" a="1"/>
  <c r="A195" i="25" a="1"/>
  <c r="A93" i="26" a="1"/>
  <c r="A298" i="25" a="1"/>
  <c r="A371" i="25" a="1"/>
  <c r="A128" i="26" a="1"/>
  <c r="A67" i="26" a="1"/>
  <c r="A128" i="25" a="1"/>
  <c r="A59" i="25" a="1"/>
  <c r="A226" i="25" a="1"/>
  <c r="A95" i="25" a="1"/>
  <c r="A158" i="26" a="1"/>
  <c r="A109" i="25" a="1"/>
  <c r="A264" i="25" a="1"/>
  <c r="A225" i="25" a="1"/>
  <c r="A225" i="26" a="1"/>
  <c r="A136" i="26" a="1"/>
  <c r="A207" i="25" a="1"/>
  <c r="A250" i="25" a="1"/>
  <c r="A43" i="26" a="1"/>
  <c r="A18" i="26" a="1"/>
  <c r="A170" i="25" a="1"/>
  <c r="A267" i="26" a="1"/>
  <c r="A272" i="26" a="1"/>
  <c r="A62" i="26" a="1"/>
  <c r="A130" i="26" a="1"/>
  <c r="A97" i="25" a="1"/>
  <c r="A286" i="25" a="1"/>
  <c r="A115" i="25" a="1"/>
  <c r="A42" i="25" a="1"/>
  <c r="A153" i="26" a="1"/>
  <c r="A210" i="25" a="1"/>
  <c r="A46" i="26" a="1"/>
  <c r="A108" i="25" a="1"/>
  <c r="A171" i="26" a="1"/>
  <c r="A363" i="25" a="1"/>
  <c r="A178" i="25" a="1"/>
  <c r="A200" i="26" a="1"/>
  <c r="A42" i="26" a="1"/>
  <c r="A257" i="25" a="1"/>
  <c r="A285" i="25" a="1"/>
  <c r="A167" i="26" a="1"/>
  <c r="A184" i="25" a="1"/>
  <c r="A89" i="26" a="1"/>
  <c r="A380" i="25" a="1"/>
  <c r="A197" i="26" a="1"/>
  <c r="A57" i="25" a="1"/>
  <c r="A107" i="25" a="1"/>
  <c r="A292" i="26" a="1"/>
  <c r="A189" i="26" a="1"/>
  <c r="A28" i="26" a="1"/>
  <c r="A102" i="25" a="1"/>
  <c r="A256" i="26" a="1"/>
  <c r="A334" i="25" a="1"/>
  <c r="A46" i="25" a="1"/>
  <c r="A131" i="26" a="1"/>
  <c r="A173" i="26" a="1"/>
  <c r="A238" i="25" a="1"/>
  <c r="A217" i="25" a="1"/>
  <c r="A243" i="26" a="1"/>
  <c r="A206" i="25" a="1"/>
  <c r="A178" i="26" a="1"/>
  <c r="A162" i="26" a="1"/>
  <c r="A199" i="26" a="1"/>
  <c r="A73" i="25" a="1"/>
  <c r="A78" i="25" a="1"/>
  <c r="A122" i="26" a="1"/>
  <c r="A203" i="26" a="1"/>
  <c r="A260" i="25" a="1"/>
  <c r="A28" i="25" a="1"/>
  <c r="A358" i="25" a="1"/>
  <c r="A303" i="25" a="1"/>
  <c r="A278" i="26" a="1"/>
  <c r="A106" i="25" a="1"/>
  <c r="A146" i="25" a="1"/>
  <c r="A275" i="26" a="1"/>
  <c r="A265" i="25" a="1"/>
  <c r="A259" i="26" a="1"/>
  <c r="A335" i="25" a="1"/>
  <c r="A328" i="25" a="1"/>
  <c r="A228" i="26" a="1"/>
  <c r="A276" i="26" a="1"/>
  <c r="A350" i="25" a="1"/>
  <c r="A341" i="25" a="1"/>
  <c r="A111" i="26" a="1"/>
  <c r="A255" i="26" a="1"/>
  <c r="A139" i="25" a="1"/>
  <c r="A296" i="25" a="1"/>
  <c r="A100" i="25" a="1"/>
  <c r="A123" i="25" a="1"/>
  <c r="A76" i="26" a="1"/>
  <c r="A53" i="26" a="1"/>
  <c r="A284" i="25" a="1"/>
  <c r="A96" i="26" a="1"/>
  <c r="A111" i="25" a="1"/>
  <c r="A63" i="26" a="1"/>
  <c r="A60" i="26" a="1"/>
  <c r="A272" i="25" a="1"/>
  <c r="A194" i="25" a="1"/>
  <c r="A229" i="25" a="1"/>
  <c r="A135" i="25" a="1"/>
  <c r="A87" i="26" a="1"/>
  <c r="A138" i="26" a="1"/>
  <c r="A202" i="25" a="1"/>
  <c r="A131" i="25" a="1"/>
  <c r="A198" i="26" a="1"/>
  <c r="A143" i="26" a="1"/>
  <c r="A141" i="26" a="1"/>
  <c r="A254" i="25" a="1"/>
  <c r="A295" i="26" a="1"/>
  <c r="A198" i="25" a="1"/>
  <c r="A160" i="26" a="1"/>
  <c r="A87" i="25" a="1"/>
  <c r="A269" i="25" a="1"/>
  <c r="A218" i="26" a="1"/>
  <c r="A247" i="25" a="1"/>
  <c r="A291" i="26" a="1"/>
  <c r="A149" i="26" a="1"/>
  <c r="A253" i="25" a="1"/>
  <c r="A231" i="25" a="1"/>
  <c r="A237" i="26" a="1"/>
  <c r="A282" i="25" a="1"/>
  <c r="A66" i="25" a="1"/>
  <c r="A240" i="26" a="1"/>
  <c r="A19" i="25" a="1"/>
  <c r="A24" i="25" a="1"/>
  <c r="A264" i="26" a="1"/>
  <c r="A20" i="26" a="1"/>
  <c r="A170" i="26" a="1"/>
  <c r="A29" i="26" a="1"/>
  <c r="A144" i="25" a="1"/>
  <c r="A366" i="25" a="1"/>
  <c r="A287" i="25" a="1"/>
  <c r="A51" i="25" a="1"/>
  <c r="A138" i="25" a="1"/>
  <c r="A379" i="25" a="1"/>
  <c r="A112" i="25" a="1"/>
  <c r="A167" i="25" a="1"/>
  <c r="A60" i="25" a="1"/>
  <c r="A217" i="26" a="1"/>
  <c r="A67" i="25" a="1"/>
  <c r="A92" i="26" a="1"/>
  <c r="A353" i="25" a="1"/>
  <c r="A346" i="25" a="1"/>
  <c r="A105" i="25" a="1"/>
  <c r="A288" i="26" a="1"/>
  <c r="A276" i="25" a="1"/>
  <c r="A165" i="25" a="1"/>
  <c r="A68" i="26" a="1"/>
  <c r="A79" i="26" a="1"/>
  <c r="A321" i="25" a="1"/>
  <c r="A133" i="25" a="1"/>
  <c r="A284" i="26" a="1"/>
  <c r="A36" i="26" a="1"/>
  <c r="A124" i="25" a="1"/>
  <c r="A147" i="26" a="1"/>
  <c r="A101" i="25" a="1"/>
  <c r="A27" i="26" a="1"/>
  <c r="A151" i="25" a="1"/>
  <c r="A155" i="26" a="1"/>
  <c r="A41" i="26" a="1"/>
  <c r="A137" i="25" a="1"/>
  <c r="A104" i="26" a="1"/>
  <c r="A278" i="25" a="1"/>
  <c r="A249" i="25" a="1"/>
  <c r="A169" i="26" a="1"/>
  <c r="A226" i="26" a="1"/>
  <c r="A81" i="26" a="1"/>
  <c r="A17" i="25" a="1"/>
  <c r="A18" i="25" a="1"/>
  <c r="A274" i="25" a="1"/>
  <c r="A151" i="26" a="1"/>
  <c r="A322" i="25" a="1"/>
  <c r="A231" i="26" a="1"/>
  <c r="A31" i="26" a="1"/>
  <c r="A72" i="26" a="1"/>
  <c r="A118" i="25" a="1"/>
  <c r="A150" i="25" a="1"/>
  <c r="A364" i="25" a="1"/>
  <c r="A204" i="26" a="1"/>
  <c r="A154" i="25" a="1"/>
  <c r="A116" i="26" a="1"/>
  <c r="A13" i="26" a="1"/>
  <c r="A221" i="26" a="1"/>
  <c r="A239" i="25" a="1"/>
  <c r="A44" i="26" a="1"/>
  <c r="A159" i="25" a="1"/>
  <c r="A189" i="25" a="1"/>
  <c r="A283" i="26" a="1"/>
  <c r="A27" i="25" a="1"/>
  <c r="A152" i="26" a="1"/>
  <c r="A308" i="25" a="1"/>
  <c r="A280" i="25" a="1"/>
  <c r="A43" i="25" a="1"/>
  <c r="A192" i="26" a="1"/>
  <c r="A235" i="26" a="1"/>
  <c r="A121" i="26" a="1"/>
  <c r="A165" i="26" a="1"/>
  <c r="A127" i="26" a="1"/>
  <c r="A53" i="25" a="1"/>
  <c r="A319" i="25" a="1"/>
  <c r="A126" i="25" a="1"/>
  <c r="A89" i="25" a="1"/>
  <c r="A325" i="25" a="1"/>
  <c r="A345" i="25" a="1"/>
  <c r="A236" i="25" a="1"/>
  <c r="A61" i="25" a="1"/>
  <c r="A52" i="26" a="1"/>
  <c r="A175" i="26" a="1"/>
  <c r="A102" i="26" a="1"/>
  <c r="A270" i="25" a="1"/>
  <c r="A106" i="26" a="1"/>
  <c r="A168" i="25" a="1"/>
  <c r="A181" i="26" a="1"/>
  <c r="A333" i="25" a="1"/>
  <c r="A35" i="26" a="1"/>
  <c r="A157" i="25" a="1"/>
  <c r="A32" i="25" a="1"/>
  <c r="A331" i="25" a="1"/>
  <c r="A90" i="25" a="1"/>
  <c r="A40" i="25" a="1"/>
  <c r="A85" i="26" a="1"/>
  <c r="A329" i="25" a="1"/>
  <c r="A49" i="26" a="1"/>
  <c r="A130" i="25" a="1"/>
  <c r="A139" i="26" a="1"/>
  <c r="A324" i="25" a="1"/>
  <c r="A22" i="25" a="1"/>
  <c r="A38" i="25" a="1"/>
  <c r="A246" i="25" a="1"/>
  <c r="A193" i="25" a="1"/>
  <c r="A187" i="25" a="1"/>
  <c r="A175" i="25" a="1"/>
  <c r="A21" i="26" a="1"/>
  <c r="A336" i="25" a="1"/>
  <c r="A374" i="25" a="1"/>
  <c r="A288" i="25" a="1"/>
  <c r="A127" i="25" a="1"/>
  <c r="A287" i="26" a="1"/>
  <c r="A157" i="26" a="1"/>
  <c r="A93" i="25" a="1"/>
  <c r="A215" i="26" a="1"/>
  <c r="A195" i="26" a="1"/>
  <c r="A359" i="25" a="1"/>
  <c r="A16" i="26" a="1"/>
  <c r="A181" i="25" a="1"/>
  <c r="A305" i="25" a="1"/>
  <c r="A229" i="26" a="1"/>
  <c r="A108" i="26" a="1"/>
  <c r="A50" i="26" a="1"/>
  <c r="A330" i="25" a="1"/>
  <c r="A220" i="25" a="1"/>
  <c r="A51" i="26" a="1"/>
  <c r="A218" i="25" a="1"/>
  <c r="A171" i="25" a="1"/>
  <c r="A190" i="25" a="1"/>
  <c r="A212" i="25" a="1"/>
  <c r="A132" i="25" a="1"/>
  <c r="A26" i="25" a="1"/>
  <c r="A121" i="25" a="1"/>
  <c r="A75" i="25" a="1"/>
  <c r="A100" i="26" a="1"/>
  <c r="A326" i="25" a="1"/>
  <c r="A145" i="25" a="1"/>
  <c r="A173" i="25" a="1"/>
  <c r="A113" i="25" a="1"/>
  <c r="A39" i="26" a="1"/>
  <c r="A234" i="25" a="1"/>
  <c r="A26" i="26" a="1"/>
  <c r="A368" i="25" a="1"/>
  <c r="A41" i="25" a="1"/>
  <c r="A186" i="26" a="1"/>
  <c r="A279" i="25" a="1"/>
  <c r="A212" i="26" a="1"/>
  <c r="A81" i="25" a="1"/>
  <c r="A88" i="26" a="1"/>
  <c r="A242" i="25" a="1"/>
  <c r="A122" i="25" a="1"/>
  <c r="A56" i="26" a="1"/>
  <c r="A244" i="26" a="1"/>
  <c r="A143" i="25" a="1"/>
  <c r="A228" i="25" a="1"/>
  <c r="A268" i="25" a="1"/>
  <c r="A201" i="25" a="1"/>
  <c r="A82" i="25" a="1"/>
  <c r="A83" i="25" a="1"/>
  <c r="A370" i="25" a="1"/>
  <c r="A172" i="26" a="1"/>
  <c r="A164" i="25" a="1"/>
  <c r="A266" i="25" a="1"/>
  <c r="A37" i="26" a="1"/>
  <c r="A103" i="26" a="1"/>
  <c r="A232" i="25" a="1"/>
  <c r="A200" i="25" a="1"/>
  <c r="A119" i="26" a="1"/>
  <c r="A375" i="25" a="1"/>
  <c r="A147" i="25" a="1"/>
  <c r="A54" i="25" a="1"/>
  <c r="A95" i="26" a="1"/>
  <c r="A337" i="25" a="1"/>
  <c r="A352" i="25" a="1"/>
  <c r="A74" i="25" a="1"/>
  <c r="A240" i="25" a="1"/>
  <c r="A184" i="26" a="1"/>
  <c r="A241" i="26" a="1"/>
  <c r="A20" i="25" a="1"/>
  <c r="A64" i="26" a="1"/>
  <c r="A282" i="26" a="1"/>
  <c r="A338" i="25" a="1"/>
  <c r="A37" i="25" a="1"/>
  <c r="A214" i="25" a="1"/>
  <c r="A63" i="25" a="1"/>
  <c r="A219" i="25" a="1"/>
  <c r="A277" i="26" a="1"/>
  <c r="A304" i="25" a="1"/>
  <c r="A220" i="26" a="1"/>
  <c r="A169" i="25" a="1"/>
  <c r="A294" i="25" a="1"/>
  <c r="A205" i="26" a="1"/>
  <c r="A47" i="25" a="1"/>
  <c r="A83" i="26" a="1"/>
  <c r="A204" i="25" a="1"/>
  <c r="A261" i="26" a="1"/>
  <c r="A77" i="26" a="1"/>
  <c r="A367" i="25" a="1"/>
  <c r="A117" i="26" a="1"/>
  <c r="A253" i="26" a="1"/>
  <c r="A25" i="25" a="1"/>
  <c r="A252" i="26" a="1"/>
  <c r="A219" i="26" a="1"/>
  <c r="A357" i="25" a="1"/>
  <c r="A45" i="25" a="1"/>
  <c r="A295" i="25" a="1"/>
  <c r="A250" i="26" a="1"/>
  <c r="A177" i="25" a="1"/>
  <c r="A289" i="26" a="1"/>
  <c r="A176" i="25" a="1"/>
  <c r="A159" i="26" a="1"/>
  <c r="A197" i="25" a="1"/>
  <c r="A44" i="25" a="1"/>
  <c r="A188" i="25" a="1"/>
  <c r="A156" i="26" a="1"/>
  <c r="A141" i="25" a="1"/>
  <c r="A125" i="25" a="1"/>
  <c r="A40" i="26" a="1"/>
  <c r="A301" i="25" a="1"/>
  <c r="A362" i="25" a="1"/>
  <c r="A120" i="25" a="1"/>
  <c r="A135" i="26" a="1"/>
  <c r="A279" i="26" a="1"/>
  <c r="A21" i="25" a="1"/>
  <c r="A98" i="25" a="1"/>
  <c r="A221" i="25" a="1"/>
  <c r="A294" i="26" a="1"/>
  <c r="A72" i="25" a="1"/>
  <c r="A58" i="25" a="1"/>
  <c r="A223" i="26" a="1"/>
  <c r="A381" i="25" a="1"/>
  <c r="A369" i="25" a="1"/>
  <c r="A30" i="26" a="1"/>
  <c r="A258" i="25" a="1"/>
  <c r="A166" i="25" a="1"/>
  <c r="A86" i="26" a="1"/>
  <c r="A203" i="25" a="1"/>
  <c r="A90" i="26" a="1"/>
  <c r="A257" i="26" a="1"/>
  <c r="A15" i="26" a="1"/>
  <c r="A19" i="26" a="1"/>
  <c r="A244" i="25" a="1"/>
  <c r="A96" i="25" a="1"/>
  <c r="A285" i="26" a="1"/>
  <c r="A260" i="26" a="1"/>
  <c r="A114" i="25" a="1"/>
  <c r="A216" i="25" a="1"/>
  <c r="A160" i="25" a="1"/>
  <c r="A340" i="25" a="1"/>
  <c r="A277" i="25" a="1"/>
  <c r="A98" i="26" a="1"/>
  <c r="A196" i="25" a="1"/>
  <c r="A242" i="26" a="1"/>
  <c r="A216" i="26" a="1"/>
  <c r="A252" i="25" a="1"/>
  <c r="A247" i="26" a="1"/>
  <c r="A275" i="25" a="1"/>
  <c r="A49" i="25" a="1"/>
  <c r="A310" i="25" a="1"/>
  <c r="A187" i="26" a="1"/>
  <c r="A57" i="26" a="1"/>
  <c r="I25" i="19"/>
  <c r="A233" i="25" a="1"/>
  <c r="A174" i="25" a="1"/>
  <c r="A311" i="25" a="1"/>
  <c r="A77" i="25" a="1"/>
  <c r="A172" i="25" a="1"/>
  <c r="A142" i="25" a="1"/>
  <c r="A360" i="25" a="1"/>
  <c r="A261" i="25" a="1"/>
  <c r="A251" i="26" a="1"/>
  <c r="A211" i="25" a="1"/>
  <c r="A99" i="26" a="1"/>
  <c r="A158" i="25" a="1"/>
  <c r="A300" i="25" a="1"/>
  <c r="A62" i="25" a="1"/>
  <c r="A269" i="26" a="1"/>
  <c r="A313" i="25" a="1"/>
  <c r="A84" i="26" a="1"/>
  <c r="A177" i="26" a="1"/>
  <c r="A281" i="26" a="1"/>
  <c r="A78" i="26" a="1"/>
  <c r="A201" i="26" a="1"/>
  <c r="A377" i="25" a="1"/>
  <c r="A290" i="25" a="1"/>
  <c r="A322" i="25" l="1"/>
  <c r="A223" i="26"/>
  <c r="A212" i="26"/>
  <c r="A295" i="25"/>
  <c r="A103" i="26"/>
  <c r="A192" i="25"/>
  <c r="A359" i="25"/>
  <c r="A82" i="25"/>
  <c r="A167" i="25"/>
  <c r="A318" i="25"/>
  <c r="A70" i="25"/>
  <c r="A19" i="26"/>
  <c r="A117" i="25"/>
  <c r="A180" i="26"/>
  <c r="A65" i="26"/>
  <c r="A119" i="26"/>
  <c r="A87" i="26"/>
  <c r="A238" i="26"/>
  <c r="A24" i="26"/>
  <c r="A168" i="25"/>
  <c r="A160" i="25"/>
  <c r="A63" i="26"/>
  <c r="A233" i="25"/>
  <c r="A214" i="26"/>
  <c r="A46" i="25"/>
  <c r="A216" i="26"/>
  <c r="A182" i="25"/>
  <c r="A358" i="25"/>
  <c r="A255" i="26"/>
  <c r="A187" i="26"/>
  <c r="A346" i="25"/>
  <c r="A115" i="25"/>
  <c r="A122" i="25"/>
  <c r="A261" i="25"/>
  <c r="A201" i="25"/>
  <c r="A113" i="25"/>
  <c r="A278" i="26"/>
  <c r="A91" i="25"/>
  <c r="A310" i="25"/>
  <c r="A314" i="25"/>
  <c r="A198" i="25"/>
  <c r="A59" i="26"/>
  <c r="A351" i="25"/>
  <c r="A105" i="25"/>
  <c r="A52" i="26"/>
  <c r="A66" i="26"/>
  <c r="A29" i="25"/>
  <c r="A380" i="25"/>
  <c r="A275" i="26"/>
  <c r="A258" i="25"/>
  <c r="A337" i="25"/>
  <c r="A245" i="26"/>
  <c r="A254" i="26"/>
  <c r="A202" i="25"/>
  <c r="A148" i="25"/>
  <c r="A277" i="26"/>
  <c r="A379" i="25"/>
  <c r="A178" i="26"/>
  <c r="A254" i="25"/>
  <c r="A312" i="25"/>
  <c r="A251" i="25"/>
  <c r="A189" i="26"/>
  <c r="A228" i="25"/>
  <c r="A323" i="25"/>
  <c r="A73" i="26"/>
  <c r="A199" i="26"/>
  <c r="A26" i="26"/>
  <c r="A81" i="25"/>
  <c r="A131" i="26"/>
  <c r="A53" i="26"/>
  <c r="A23" i="25"/>
  <c r="A48" i="25"/>
  <c r="A295" i="26"/>
  <c r="A253" i="25"/>
  <c r="A239" i="26"/>
  <c r="A99" i="25"/>
  <c r="A199" i="25"/>
  <c r="A326" i="25"/>
  <c r="A132" i="25"/>
  <c r="A234" i="25"/>
  <c r="A95" i="26"/>
  <c r="A15" i="26"/>
  <c r="A211" i="26"/>
  <c r="A184" i="25"/>
  <c r="A109" i="26"/>
  <c r="A101" i="26"/>
  <c r="A376" i="25"/>
  <c r="A85" i="25"/>
  <c r="A121" i="25"/>
  <c r="A275" i="25"/>
  <c r="A192" i="26"/>
  <c r="A135" i="25"/>
  <c r="A149" i="26"/>
  <c r="A298" i="25"/>
  <c r="A51" i="26"/>
  <c r="A110" i="26"/>
  <c r="A94" i="25"/>
  <c r="A244" i="26"/>
  <c r="A209" i="25"/>
  <c r="A18" i="26"/>
  <c r="A52" i="25"/>
  <c r="A89" i="25"/>
  <c r="A259" i="26"/>
  <c r="A134" i="25"/>
  <c r="A147" i="25"/>
  <c r="A242" i="26"/>
  <c r="A73" i="25"/>
  <c r="A96" i="25"/>
  <c r="A154" i="25"/>
  <c r="A194" i="25"/>
  <c r="A308" i="25"/>
  <c r="A170" i="26"/>
  <c r="A171" i="26"/>
  <c r="A155" i="25"/>
  <c r="A123" i="25"/>
  <c r="A287" i="26"/>
  <c r="A285" i="26"/>
  <c r="A108" i="26"/>
  <c r="A236" i="26"/>
  <c r="A283" i="26"/>
  <c r="A279" i="25"/>
  <c r="A206" i="25"/>
  <c r="A61" i="25"/>
  <c r="A139" i="26"/>
  <c r="A377" i="25"/>
  <c r="A36" i="25"/>
  <c r="A265" i="25"/>
  <c r="A102" i="25"/>
  <c r="A292" i="26"/>
  <c r="A78" i="25"/>
  <c r="A193" i="25"/>
  <c r="A247" i="25"/>
  <c r="A248" i="25"/>
  <c r="A135" i="26"/>
  <c r="A13" i="25"/>
  <c r="A348" i="25"/>
  <c r="A109" i="25"/>
  <c r="A195" i="25"/>
  <c r="A166" i="26"/>
  <c r="A200" i="25"/>
  <c r="A226" i="25"/>
  <c r="A90" i="26"/>
  <c r="A163" i="26"/>
  <c r="A164" i="26"/>
  <c r="A250" i="26"/>
  <c r="A280" i="25"/>
  <c r="A360" i="25"/>
  <c r="A112" i="26"/>
  <c r="A42" i="25"/>
  <c r="A31" i="26"/>
  <c r="A260" i="25"/>
  <c r="A256" i="26"/>
  <c r="A30" i="26"/>
  <c r="A264" i="26"/>
  <c r="A237" i="25"/>
  <c r="A129" i="26"/>
  <c r="A225" i="26"/>
  <c r="A338" i="25"/>
  <c r="A50" i="26"/>
  <c r="A80" i="25"/>
  <c r="A220" i="25"/>
  <c r="A124" i="25"/>
  <c r="A274" i="26"/>
  <c r="A229" i="25"/>
  <c r="A216" i="25"/>
  <c r="A106" i="25"/>
  <c r="A55" i="26"/>
  <c r="A26" i="25"/>
  <c r="A153" i="26"/>
  <c r="A205" i="26"/>
  <c r="A68" i="25"/>
  <c r="A75" i="26"/>
  <c r="A362" i="25"/>
  <c r="A77" i="26"/>
  <c r="A269" i="25"/>
  <c r="A40" i="25"/>
  <c r="A197" i="26"/>
  <c r="A378" i="25"/>
  <c r="A157" i="25"/>
  <c r="A12" i="26"/>
  <c r="A324" i="25"/>
  <c r="A309" i="25"/>
  <c r="A204" i="26"/>
  <c r="A188" i="26"/>
  <c r="A46" i="26"/>
  <c r="A179" i="26"/>
  <c r="A112" i="25"/>
  <c r="A185" i="25"/>
  <c r="A56" i="26"/>
  <c r="A25" i="26"/>
  <c r="A277" i="25"/>
  <c r="A256" i="25"/>
  <c r="A34" i="25"/>
  <c r="A33" i="26"/>
  <c r="A350" i="25"/>
  <c r="A50" i="25"/>
  <c r="A241" i="25"/>
  <c r="A119" i="25"/>
  <c r="A35" i="25"/>
  <c r="A292" i="25"/>
  <c r="A213" i="26"/>
  <c r="A237" i="26"/>
  <c r="A333" i="25"/>
  <c r="A142" i="26"/>
  <c r="A332" i="25"/>
  <c r="A69" i="26"/>
  <c r="A305" i="25"/>
  <c r="A282" i="26"/>
  <c r="A290" i="25"/>
  <c r="A291" i="25"/>
  <c r="A336" i="25"/>
  <c r="A344" i="25"/>
  <c r="A352" i="25"/>
  <c r="A238" i="25"/>
  <c r="A206" i="26"/>
  <c r="A372" i="25"/>
  <c r="A232" i="25"/>
  <c r="A42" i="26"/>
  <c r="A263" i="26"/>
  <c r="A72" i="25"/>
  <c r="A78" i="26"/>
  <c r="A71" i="26"/>
  <c r="A56" i="25"/>
  <c r="A285" i="25"/>
  <c r="A173" i="25"/>
  <c r="A241" i="26"/>
  <c r="A178" i="25"/>
  <c r="A252" i="25"/>
  <c r="A88" i="26"/>
  <c r="A190" i="25"/>
  <c r="A16" i="25"/>
  <c r="A196" i="26"/>
  <c r="A316" i="25"/>
  <c r="A191" i="26"/>
  <c r="A64" i="25"/>
  <c r="A270" i="25"/>
  <c r="A335" i="25"/>
  <c r="A114" i="26"/>
  <c r="A315" i="25"/>
  <c r="A61" i="26"/>
  <c r="A225" i="25"/>
  <c r="A224" i="25"/>
  <c r="A246" i="25"/>
  <c r="A126" i="26"/>
  <c r="A183" i="25"/>
  <c r="A31" i="25"/>
  <c r="A43" i="25"/>
  <c r="A342" i="25"/>
  <c r="A114" i="25"/>
  <c r="A274" i="25"/>
  <c r="A248" i="26"/>
  <c r="A60" i="26"/>
  <c r="A249" i="26"/>
  <c r="A108" i="25"/>
  <c r="A302" i="25"/>
  <c r="A230" i="26"/>
  <c r="A99" i="26"/>
  <c r="A266" i="26"/>
  <c r="A70" i="26"/>
  <c r="A287" i="25"/>
  <c r="A101" i="25"/>
  <c r="A226" i="26"/>
  <c r="A217" i="25"/>
  <c r="A169" i="25"/>
  <c r="A327" i="25"/>
  <c r="A152" i="25"/>
  <c r="A212" i="25"/>
  <c r="A294" i="26"/>
  <c r="A176" i="25"/>
  <c r="A265" i="26"/>
  <c r="A347" i="25"/>
  <c r="A282" i="25"/>
  <c r="A62" i="26"/>
  <c r="A243" i="26"/>
  <c r="A262" i="25"/>
  <c r="A353" i="25"/>
  <c r="A65" i="25"/>
  <c r="A51" i="25"/>
  <c r="A29" i="26"/>
  <c r="A222" i="26"/>
  <c r="A27" i="26"/>
  <c r="A57" i="26"/>
  <c r="A171" i="25"/>
  <c r="A182" i="26"/>
  <c r="A174" i="25"/>
  <c r="A86" i="26"/>
  <c r="A227" i="25"/>
  <c r="A228" i="26"/>
  <c r="A286" i="25"/>
  <c r="A249" i="25"/>
  <c r="A41" i="26"/>
  <c r="A143" i="25"/>
  <c r="A355" i="25"/>
  <c r="A159" i="25"/>
  <c r="A116" i="26"/>
  <c r="A242" i="25"/>
  <c r="A141" i="26"/>
  <c r="A169" i="26"/>
  <c r="A179" i="25"/>
  <c r="A92" i="26"/>
  <c r="A69" i="25"/>
  <c r="A321" i="25"/>
  <c r="A58" i="25"/>
  <c r="A259" i="25"/>
  <c r="A283" i="25"/>
  <c r="A363" i="25"/>
  <c r="A113" i="26"/>
  <c r="A145" i="25"/>
  <c r="A180" i="25"/>
  <c r="A58" i="26"/>
  <c r="A30" i="25"/>
  <c r="A229" i="26"/>
  <c r="A208" i="26"/>
  <c r="A161" i="25"/>
  <c r="A33" i="25"/>
  <c r="A189" i="25"/>
  <c r="A214" i="25"/>
  <c r="A142" i="25"/>
  <c r="A120" i="26"/>
  <c r="A271" i="25"/>
  <c r="A43" i="26"/>
  <c r="A68" i="26"/>
  <c r="A20" i="26"/>
  <c r="A83" i="26"/>
  <c r="A18" i="25"/>
  <c r="A162" i="26"/>
  <c r="A354" i="25"/>
  <c r="A313" i="25"/>
  <c r="A196" i="25"/>
  <c r="A95" i="25"/>
  <c r="A92" i="25"/>
  <c r="A167" i="26"/>
  <c r="A246" i="26"/>
  <c r="A290" i="26"/>
  <c r="A96" i="26"/>
  <c r="A194" i="26"/>
  <c r="A188" i="25"/>
  <c r="A103" i="25"/>
  <c r="A191" i="25"/>
  <c r="A62" i="25"/>
  <c r="A328" i="25"/>
  <c r="A20" i="25"/>
  <c r="A22" i="26"/>
  <c r="A366" i="25"/>
  <c r="A111" i="26"/>
  <c r="A133" i="25"/>
  <c r="A204" i="25"/>
  <c r="A54" i="26"/>
  <c r="A32" i="26"/>
  <c r="A53" i="25"/>
  <c r="A301" i="25"/>
  <c r="A186" i="25"/>
  <c r="A240" i="26"/>
  <c r="A47" i="25"/>
  <c r="A118" i="25"/>
  <c r="A375" i="25"/>
  <c r="A83" i="25"/>
  <c r="A89" i="26"/>
  <c r="A381" i="25"/>
  <c r="A156" i="26"/>
  <c r="A141" i="25"/>
  <c r="A41" i="25"/>
  <c r="A261" i="26"/>
  <c r="A158" i="26"/>
  <c r="A293" i="26"/>
  <c r="A37" i="26"/>
  <c r="A90" i="25"/>
  <c r="A223" i="25"/>
  <c r="A293" i="25"/>
  <c r="A36" i="26"/>
  <c r="A165" i="25"/>
  <c r="A98" i="25"/>
  <c r="A148" i="26"/>
  <c r="A17" i="26"/>
  <c r="A341" i="25"/>
  <c r="A137" i="25"/>
  <c r="A343" i="25"/>
  <c r="A54" i="25"/>
  <c r="A82" i="26"/>
  <c r="A32" i="25"/>
  <c r="A133" i="26"/>
  <c r="A176" i="26"/>
  <c r="A268" i="25"/>
  <c r="A131" i="25"/>
  <c r="A71" i="25"/>
  <c r="A28" i="25"/>
  <c r="A306" i="25"/>
  <c r="A125" i="26"/>
  <c r="A330" i="25"/>
  <c r="A45" i="25"/>
  <c r="A23" i="26"/>
  <c r="A299" i="25"/>
  <c r="A325" i="25"/>
  <c r="A356" i="25"/>
  <c r="A273" i="25"/>
  <c r="A153" i="25"/>
  <c r="A373" i="25"/>
  <c r="A369" i="25"/>
  <c r="A86" i="25"/>
  <c r="A40" i="26"/>
  <c r="A35" i="26"/>
  <c r="A84" i="26"/>
  <c r="A85" i="26"/>
  <c r="A205" i="25"/>
  <c r="A115" i="26"/>
  <c r="A75" i="25"/>
  <c r="A267" i="25"/>
  <c r="A21" i="26"/>
  <c r="A187" i="25"/>
  <c r="A236" i="25"/>
  <c r="A127" i="26"/>
  <c r="A130" i="26"/>
  <c r="A11" i="25"/>
  <c r="A195" i="26"/>
  <c r="A162" i="25"/>
  <c r="A163" i="25"/>
  <c r="A320" i="25"/>
  <c r="A181" i="25"/>
  <c r="A80" i="26"/>
  <c r="A317" i="25"/>
  <c r="A175" i="26"/>
  <c r="A150" i="26"/>
  <c r="A267" i="26"/>
  <c r="A300" i="25"/>
  <c r="A27" i="25"/>
  <c r="A186" i="26"/>
  <c r="A374" i="25"/>
  <c r="A49" i="25"/>
  <c r="A276" i="26"/>
  <c r="A25" i="25"/>
  <c r="A294" i="25"/>
  <c r="A190" i="26"/>
  <c r="A231" i="25"/>
  <c r="A207" i="25"/>
  <c r="A220" i="26"/>
  <c r="A64" i="26"/>
  <c r="A234" i="26"/>
  <c r="A239" i="25"/>
  <c r="A215" i="26"/>
  <c r="A382" i="25"/>
  <c r="A219" i="25"/>
  <c r="A145" i="26"/>
  <c r="A280" i="26"/>
  <c r="A370" i="25"/>
  <c r="A150" i="25"/>
  <c r="A297" i="25"/>
  <c r="A100" i="25"/>
  <c r="A48" i="26"/>
  <c r="A203" i="26"/>
  <c r="A93" i="25"/>
  <c r="A213" i="25"/>
  <c r="A345" i="25"/>
  <c r="A232" i="26"/>
  <c r="A146" i="26"/>
  <c r="A125" i="25"/>
  <c r="A128" i="26"/>
  <c r="A247" i="26"/>
  <c r="A273" i="26"/>
  <c r="A262" i="26"/>
  <c r="A116" i="25"/>
  <c r="A364" i="25"/>
  <c r="A44" i="26"/>
  <c r="A129" i="25"/>
  <c r="A124" i="26"/>
  <c r="A137" i="26"/>
  <c r="A97" i="25"/>
  <c r="A91" i="26"/>
  <c r="A170" i="25"/>
  <c r="A63" i="25"/>
  <c r="A207" i="26"/>
  <c r="A77" i="25"/>
  <c r="A197" i="25"/>
  <c r="A84" i="25"/>
  <c r="A146" i="25"/>
  <c r="A155" i="26"/>
  <c r="A244" i="25"/>
  <c r="A143" i="26"/>
  <c r="A255" i="25"/>
  <c r="A151" i="26"/>
  <c r="A138" i="26"/>
  <c r="A88" i="25"/>
  <c r="A168" i="26"/>
  <c r="A201" i="26"/>
  <c r="A289" i="26"/>
  <c r="A38" i="26"/>
  <c r="A219" i="26"/>
  <c r="A154" i="26"/>
  <c r="A158" i="25"/>
  <c r="A202" i="26"/>
  <c r="A175" i="25"/>
  <c r="A164" i="25"/>
  <c r="A307" i="25"/>
  <c r="A138" i="25"/>
  <c r="A59" i="25"/>
  <c r="A140" i="25"/>
  <c r="A251" i="26"/>
  <c r="A117" i="26"/>
  <c r="A67" i="26"/>
  <c r="A208" i="25"/>
  <c r="A39" i="25"/>
  <c r="A67" i="25"/>
  <c r="A72" i="26"/>
  <c r="A257" i="25"/>
  <c r="A221" i="26"/>
  <c r="A93" i="26"/>
  <c r="A193" i="26"/>
  <c r="A270" i="26"/>
  <c r="A200" i="26"/>
  <c r="A144" i="25"/>
  <c r="A174" i="26"/>
  <c r="A49" i="26"/>
  <c r="A157" i="26"/>
  <c r="A13" i="26"/>
  <c r="A288" i="26"/>
  <c r="A260" i="26"/>
  <c r="A296" i="25"/>
  <c r="A284" i="25"/>
  <c r="A102" i="26"/>
  <c r="A284" i="26"/>
  <c r="A209" i="26"/>
  <c r="A107" i="26"/>
  <c r="A227" i="26"/>
  <c r="A276" i="25"/>
  <c r="A121" i="26"/>
  <c r="A233" i="26"/>
  <c r="A371" i="25"/>
  <c r="A173" i="26"/>
  <c r="A340" i="25"/>
  <c r="A185" i="26"/>
  <c r="A104" i="26"/>
  <c r="A22" i="25"/>
  <c r="A210" i="26"/>
  <c r="A21" i="25"/>
  <c r="A177" i="25"/>
  <c r="A126" i="25"/>
  <c r="A14" i="26"/>
  <c r="A24" i="25"/>
  <c r="A272" i="26"/>
  <c r="A160" i="26"/>
  <c r="A47" i="26"/>
  <c r="A230" i="25"/>
  <c r="A218" i="26"/>
  <c r="A245" i="25"/>
  <c r="A132" i="26"/>
  <c r="A60" i="25"/>
  <c r="A224" i="26"/>
  <c r="A365" i="25"/>
  <c r="A319" i="25"/>
  <c r="A149" i="25"/>
  <c r="A257" i="26"/>
  <c r="A74" i="25"/>
  <c r="A339" i="25"/>
  <c r="A76" i="26"/>
  <c r="A288" i="25"/>
  <c r="A177" i="26"/>
  <c r="A217" i="26"/>
  <c r="A134" i="26"/>
  <c r="A12" i="25"/>
  <c r="A286" i="26"/>
  <c r="A122" i="26"/>
  <c r="A331" i="25"/>
  <c r="A161" i="26"/>
  <c r="A17" i="25"/>
  <c r="A203" i="25"/>
  <c r="A349" i="25"/>
  <c r="A136" i="26"/>
  <c r="A243" i="25"/>
  <c r="A39" i="26"/>
  <c r="A16" i="26"/>
  <c r="A111" i="25"/>
  <c r="A166" i="25"/>
  <c r="A44" i="25"/>
  <c r="A222" i="25"/>
  <c r="A231" i="26"/>
  <c r="A127" i="25"/>
  <c r="A152" i="26"/>
  <c r="A218" i="25"/>
  <c r="A105" i="26"/>
  <c r="A147" i="26"/>
  <c r="A76" i="25"/>
  <c r="A55" i="25"/>
  <c r="A252" i="26"/>
  <c r="A221" i="25"/>
  <c r="A281" i="25"/>
  <c r="A183" i="26"/>
  <c r="A304" i="25"/>
  <c r="A279" i="26"/>
  <c r="A253" i="26"/>
  <c r="A159" i="26"/>
  <c r="A123" i="26"/>
  <c r="A361" i="25"/>
  <c r="A303" i="25"/>
  <c r="A368" i="25"/>
  <c r="A156" i="25"/>
  <c r="A210" i="25"/>
  <c r="A130" i="25"/>
  <c r="A38" i="25"/>
  <c r="A94" i="26"/>
  <c r="A184" i="26"/>
  <c r="A81" i="26"/>
  <c r="A263" i="25"/>
  <c r="A11" i="26"/>
  <c r="A100" i="26"/>
  <c r="A45" i="26"/>
  <c r="A269" i="26"/>
  <c r="A172" i="26"/>
  <c r="A329" i="25"/>
  <c r="A235" i="25"/>
  <c r="A264" i="25"/>
  <c r="A291" i="26"/>
  <c r="A281" i="26"/>
  <c r="A128" i="25"/>
  <c r="A140" i="26"/>
  <c r="A258" i="26"/>
  <c r="A107" i="25"/>
  <c r="A15" i="25"/>
  <c r="A98" i="26"/>
  <c r="A14" i="25"/>
  <c r="A79" i="25"/>
  <c r="A266" i="25"/>
  <c r="A144" i="26"/>
  <c r="A151" i="25"/>
  <c r="A66" i="25"/>
  <c r="A215" i="25"/>
  <c r="A272" i="25"/>
  <c r="A334" i="25"/>
  <c r="A74" i="26"/>
  <c r="A57" i="25"/>
  <c r="A79" i="26"/>
  <c r="A357" i="25"/>
  <c r="A97" i="26"/>
  <c r="A240" i="25"/>
  <c r="A104" i="25"/>
  <c r="A181" i="26"/>
  <c r="A250" i="25"/>
  <c r="A106" i="26"/>
  <c r="A34" i="26"/>
  <c r="A37" i="25"/>
  <c r="A139" i="25"/>
  <c r="A28" i="26"/>
  <c r="A235" i="26"/>
  <c r="A268" i="26"/>
  <c r="A120" i="25"/>
  <c r="A136" i="25"/>
  <c r="A289" i="25"/>
  <c r="A87" i="25"/>
  <c r="A198" i="26"/>
  <c r="A110" i="25"/>
  <c r="A165" i="26"/>
  <c r="A19" i="25"/>
  <c r="A278" i="25"/>
  <c r="A211" i="25"/>
  <c r="A271" i="26"/>
  <c r="A367" i="25"/>
  <c r="A118" i="26"/>
  <c r="A311" i="25"/>
  <c r="A172"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9B8161D3-C4AB-44AE-A226-4773140A56D4}">
      <text>
        <r>
          <rPr>
            <sz val="9"/>
            <color indexed="81"/>
            <rFont val="MS P 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3DEF94F8-1F3B-4C63-BC97-1D16BAC7EF2F}">
      <text>
        <r>
          <rPr>
            <sz val="9"/>
            <color indexed="81"/>
            <rFont val="MS P 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6255B5F8-E86D-47F5-BB0F-AB0E273F9964}">
      <text>
        <r>
          <rPr>
            <sz val="9"/>
            <color indexed="81"/>
            <rFont val="MS P ゴシック"/>
            <family val="3"/>
            <charset val="128"/>
          </rPr>
          <t>ケースNoは数値で以下の形式で付与する.
　A-B-C
A：確認観点2の項目が変わったらインクリメント
B：確認観点3の項目が変わったらインクリメント
C：テスト内容が変わったらインクリメント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<sst xmlns="http://schemas.openxmlformats.org/spreadsheetml/2006/main" count="1604" uniqueCount="593">
  <si>
    <t>更新者：</t>
    <rPh sb="0" eb="3">
      <t>コウシンシャ</t>
    </rPh>
    <phoneticPr fontId="2"/>
  </si>
  <si>
    <t>更新日：</t>
    <rPh sb="0" eb="3">
      <t>コウシンビ</t>
    </rPh>
    <phoneticPr fontId="2"/>
  </si>
  <si>
    <t>テスト内容</t>
    <rPh sb="3" eb="5">
      <t>ナイヨウ</t>
    </rPh>
    <phoneticPr fontId="2"/>
  </si>
  <si>
    <t>想定結果</t>
    <rPh sb="0" eb="2">
      <t>ソウテイ</t>
    </rPh>
    <rPh sb="2" eb="4">
      <t>ケッカ</t>
    </rPh>
    <phoneticPr fontId="2"/>
  </si>
  <si>
    <t>単体テスト仕様書(リクエスト単体テスト)</t>
    <rPh sb="0" eb="2">
      <t>タンタイ</t>
    </rPh>
    <rPh sb="5" eb="7">
      <t>シヨウ</t>
    </rPh>
    <rPh sb="7" eb="8">
      <t>ショ</t>
    </rPh>
    <rPh sb="14" eb="16">
      <t>タンタイ</t>
    </rPh>
    <phoneticPr fontId="2"/>
  </si>
  <si>
    <t>実施者</t>
    <rPh sb="0" eb="2">
      <t>ジッシ</t>
    </rPh>
    <rPh sb="2" eb="3">
      <t>シャ</t>
    </rPh>
    <phoneticPr fontId="2"/>
  </si>
  <si>
    <t>実施結果</t>
    <rPh sb="0" eb="2">
      <t>ジッシ</t>
    </rPh>
    <rPh sb="2" eb="4">
      <t>ケッカ</t>
    </rPh>
    <phoneticPr fontId="2"/>
  </si>
  <si>
    <t>確認者</t>
    <rPh sb="0" eb="2">
      <t>カクニン</t>
    </rPh>
    <rPh sb="2" eb="3">
      <t>シャ</t>
    </rPh>
    <phoneticPr fontId="2"/>
  </si>
  <si>
    <t>確認日</t>
    <rPh sb="0" eb="2">
      <t>カクニン</t>
    </rPh>
    <rPh sb="2" eb="3">
      <t>ビ</t>
    </rPh>
    <phoneticPr fontId="2"/>
  </si>
  <si>
    <t>区分</t>
    <rPh sb="0" eb="2">
      <t>クブン</t>
    </rPh>
    <phoneticPr fontId="4"/>
  </si>
  <si>
    <t>確認観点1</t>
    <rPh sb="0" eb="2">
      <t>カクニン</t>
    </rPh>
    <rPh sb="2" eb="4">
      <t>カンテン</t>
    </rPh>
    <phoneticPr fontId="4"/>
  </si>
  <si>
    <t>確認観点2</t>
    <rPh sb="0" eb="2">
      <t>カクニン</t>
    </rPh>
    <rPh sb="2" eb="4">
      <t>カンテン</t>
    </rPh>
    <phoneticPr fontId="4"/>
  </si>
  <si>
    <t>対応設計書</t>
    <rPh sb="0" eb="2">
      <t>タイオウ</t>
    </rPh>
    <rPh sb="2" eb="4">
      <t>セッケイ</t>
    </rPh>
    <rPh sb="4" eb="5">
      <t>ショ</t>
    </rPh>
    <phoneticPr fontId="4"/>
  </si>
  <si>
    <t>対応箇所</t>
    <rPh sb="0" eb="2">
      <t>タイオウ</t>
    </rPh>
    <rPh sb="2" eb="4">
      <t>カショ</t>
    </rPh>
    <phoneticPr fontId="4"/>
  </si>
  <si>
    <t>実施日</t>
    <rPh sb="0" eb="3">
      <t>ジッシビ</t>
    </rPh>
    <phoneticPr fontId="2"/>
  </si>
  <si>
    <t>機能名：</t>
    <rPh sb="0" eb="3">
      <t>キノウメイ</t>
    </rPh>
    <phoneticPr fontId="2"/>
  </si>
  <si>
    <t>取引名：</t>
    <rPh sb="0" eb="3">
      <t>トリヒキメイ</t>
    </rPh>
    <phoneticPr fontId="2"/>
  </si>
  <si>
    <t>テストターゲット名：</t>
    <rPh sb="8" eb="9">
      <t>メイ</t>
    </rPh>
    <phoneticPr fontId="2"/>
  </si>
  <si>
    <t>作成者：</t>
    <rPh sb="0" eb="3">
      <t>サクセイシャ</t>
    </rPh>
    <phoneticPr fontId="2"/>
  </si>
  <si>
    <t>作成日：</t>
    <rPh sb="0" eb="3">
      <t>サクセイビ</t>
    </rPh>
    <phoneticPr fontId="2"/>
  </si>
  <si>
    <t>実施日</t>
    <rPh sb="0" eb="2">
      <t>ジッシ</t>
    </rPh>
    <rPh sb="2" eb="3">
      <t>ヒ</t>
    </rPh>
    <phoneticPr fontId="2"/>
  </si>
  <si>
    <t>単体テスト仕様書(取引単体テスト)</t>
    <rPh sb="0" eb="2">
      <t>タンタイ</t>
    </rPh>
    <rPh sb="5" eb="7">
      <t>シヨウ</t>
    </rPh>
    <rPh sb="7" eb="8">
      <t>ショ</t>
    </rPh>
    <rPh sb="9" eb="11">
      <t>トリヒキ</t>
    </rPh>
    <rPh sb="11" eb="13">
      <t>タンタイ</t>
    </rPh>
    <phoneticPr fontId="2"/>
  </si>
  <si>
    <t>ケースNo</t>
    <phoneticPr fontId="4"/>
  </si>
  <si>
    <t>単体テスト仕様書(クラス単体テスト)</t>
    <rPh sb="0" eb="2">
      <t>タンタイ</t>
    </rPh>
    <rPh sb="5" eb="7">
      <t>シヨウ</t>
    </rPh>
    <rPh sb="7" eb="8">
      <t>ショ</t>
    </rPh>
    <rPh sb="12" eb="14">
      <t>タンタイ</t>
    </rPh>
    <phoneticPr fontId="2"/>
  </si>
  <si>
    <t>精査エラー</t>
    <rPh sb="0" eb="2">
      <t>セイサ</t>
    </rPh>
    <phoneticPr fontId="2"/>
  </si>
  <si>
    <t>実行結果</t>
    <rPh sb="0" eb="2">
      <t>ジッコウ</t>
    </rPh>
    <rPh sb="2" eb="4">
      <t>ケッカ</t>
    </rPh>
    <phoneticPr fontId="2"/>
  </si>
  <si>
    <t>確認観点3</t>
    <rPh sb="0" eb="2">
      <t>カクニン</t>
    </rPh>
    <rPh sb="2" eb="4">
      <t>カンテン</t>
    </rPh>
    <phoneticPr fontId="4"/>
  </si>
  <si>
    <t>取引実行確認</t>
    <rPh sb="0" eb="2">
      <t>トリヒキ</t>
    </rPh>
    <rPh sb="2" eb="4">
      <t>ジッコウ</t>
    </rPh>
    <rPh sb="4" eb="6">
      <t>カクニン</t>
    </rPh>
    <phoneticPr fontId="2"/>
  </si>
  <si>
    <t>正常取引</t>
    <rPh sb="0" eb="2">
      <t>セイジョウ</t>
    </rPh>
    <rPh sb="2" eb="4">
      <t>トリヒキ</t>
    </rPh>
    <phoneticPr fontId="2"/>
  </si>
  <si>
    <t>戻るイベント</t>
    <rPh sb="0" eb="1">
      <t>モド</t>
    </rPh>
    <phoneticPr fontId="2"/>
  </si>
  <si>
    <t>検索結果0件</t>
    <rPh sb="0" eb="2">
      <t>ケンサク</t>
    </rPh>
    <rPh sb="2" eb="4">
      <t>ケッカ</t>
    </rPh>
    <rPh sb="5" eb="6">
      <t>ケン</t>
    </rPh>
    <phoneticPr fontId="2"/>
  </si>
  <si>
    <t>サブウィンドウ連携</t>
    <rPh sb="7" eb="9">
      <t>レンケイ</t>
    </rPh>
    <phoneticPr fontId="2"/>
  </si>
  <si>
    <t>異常取引</t>
    <rPh sb="0" eb="2">
      <t>イジョウ</t>
    </rPh>
    <rPh sb="2" eb="4">
      <t>トリヒキ</t>
    </rPh>
    <phoneticPr fontId="2"/>
  </si>
  <si>
    <t>検索結果上限超過エラー</t>
    <rPh sb="0" eb="2">
      <t>ケンサク</t>
    </rPh>
    <rPh sb="2" eb="4">
      <t>ケッカ</t>
    </rPh>
    <rPh sb="4" eb="6">
      <t>ジョウゲン</t>
    </rPh>
    <rPh sb="6" eb="8">
      <t>チョウカ</t>
    </rPh>
    <phoneticPr fontId="2"/>
  </si>
  <si>
    <t>排他制御エラー</t>
    <rPh sb="0" eb="2">
      <t>ハイタ</t>
    </rPh>
    <rPh sb="2" eb="4">
      <t>セイギョ</t>
    </rPh>
    <phoneticPr fontId="2"/>
  </si>
  <si>
    <t>ページング処理、ソート処理　など</t>
    <rPh sb="11" eb="13">
      <t>ショリ</t>
    </rPh>
    <phoneticPr fontId="2"/>
  </si>
  <si>
    <t>-</t>
    <phoneticPr fontId="2"/>
  </si>
  <si>
    <t>画面遷移パターン</t>
    <rPh sb="0" eb="2">
      <t>ガメン</t>
    </rPh>
    <rPh sb="2" eb="4">
      <t>センイ</t>
    </rPh>
    <phoneticPr fontId="2"/>
  </si>
  <si>
    <t>その他エラー</t>
    <rPh sb="2" eb="3">
      <t>タ</t>
    </rPh>
    <phoneticPr fontId="2"/>
  </si>
  <si>
    <t>その他のイベント</t>
    <phoneticPr fontId="2"/>
  </si>
  <si>
    <t>異常取引→正常取引　など</t>
    <phoneticPr fontId="2"/>
  </si>
  <si>
    <t>取引の連続実行</t>
    <rPh sb="0" eb="2">
      <t>トリヒキ</t>
    </rPh>
    <rPh sb="3" eb="5">
      <t>レンゾク</t>
    </rPh>
    <rPh sb="5" eb="7">
      <t>ジッコウ</t>
    </rPh>
    <phoneticPr fontId="2"/>
  </si>
  <si>
    <t>第１．０版</t>
    <rPh sb="0" eb="1">
      <t>ダイ</t>
    </rPh>
    <rPh sb="4" eb="5">
      <t>ハン</t>
    </rPh>
    <phoneticPr fontId="12"/>
  </si>
  <si>
    <t>[会社名]</t>
    <rPh sb="1" eb="4">
      <t>カイシャメイ</t>
    </rPh>
    <phoneticPr fontId="12"/>
  </si>
  <si>
    <t>[部門名]</t>
    <rPh sb="1" eb="4">
      <t>ブモンメイ</t>
    </rPh>
    <phoneticPr fontId="12"/>
  </si>
  <si>
    <t>PJ名</t>
  </si>
  <si>
    <t>成果物名</t>
  </si>
  <si>
    <t>作成</t>
  </si>
  <si>
    <t>システム名</t>
  </si>
  <si>
    <t>変更</t>
  </si>
  <si>
    <t>サブシステム名</t>
  </si>
  <si>
    <t>変更履歴（ 1　/ 1 ）</t>
  </si>
  <si>
    <t>No.</t>
    <phoneticPr fontId="4"/>
  </si>
  <si>
    <t>版数</t>
    <rPh sb="0" eb="2">
      <t>ハンスウ</t>
    </rPh>
    <phoneticPr fontId="4"/>
  </si>
  <si>
    <t>変更日</t>
    <rPh sb="0" eb="3">
      <t>ヘンコウビ</t>
    </rPh>
    <phoneticPr fontId="4"/>
  </si>
  <si>
    <t>変更箇所（項番等）</t>
    <rPh sb="0" eb="2">
      <t>ヘンコウ</t>
    </rPh>
    <rPh sb="2" eb="4">
      <t>カショ</t>
    </rPh>
    <rPh sb="5" eb="8">
      <t>コウバンナド</t>
    </rPh>
    <phoneticPr fontId="4"/>
  </si>
  <si>
    <t>変更内容</t>
    <rPh sb="0" eb="2">
      <t>ヘンコウ</t>
    </rPh>
    <rPh sb="2" eb="4">
      <t>ナイヨウ</t>
    </rPh>
    <phoneticPr fontId="4"/>
  </si>
  <si>
    <t>担当者</t>
    <rPh sb="0" eb="3">
      <t>タントウシャ</t>
    </rPh>
    <phoneticPr fontId="4"/>
  </si>
  <si>
    <t>単体テスト仕様書(画面)</t>
    <rPh sb="9" eb="11">
      <t>ガメン</t>
    </rPh>
    <phoneticPr fontId="2"/>
  </si>
  <si>
    <t>大項目</t>
    <rPh sb="0" eb="1">
      <t>ダイ</t>
    </rPh>
    <rPh sb="1" eb="3">
      <t>コウモク</t>
    </rPh>
    <phoneticPr fontId="3"/>
  </si>
  <si>
    <t>中項目</t>
    <rPh sb="0" eb="1">
      <t>チュウ</t>
    </rPh>
    <rPh sb="1" eb="3">
      <t>コウモク</t>
    </rPh>
    <phoneticPr fontId="3"/>
  </si>
  <si>
    <t>小項目</t>
    <rPh sb="0" eb="1">
      <t>ショウ</t>
    </rPh>
    <rPh sb="1" eb="3">
      <t>コウモク</t>
    </rPh>
    <phoneticPr fontId="3"/>
  </si>
  <si>
    <t>詳細</t>
    <rPh sb="0" eb="2">
      <t>ショウサイ</t>
    </rPh>
    <phoneticPr fontId="1"/>
  </si>
  <si>
    <t>観点</t>
    <rPh sb="0" eb="2">
      <t>カンテン</t>
    </rPh>
    <phoneticPr fontId="2"/>
  </si>
  <si>
    <t>対象外理由</t>
    <rPh sb="0" eb="3">
      <t>タイショウガイ</t>
    </rPh>
    <rPh sb="3" eb="5">
      <t>リユウ</t>
    </rPh>
    <phoneticPr fontId="2"/>
  </si>
  <si>
    <t>対応設計書</t>
    <rPh sb="0" eb="2">
      <t>タイオウ</t>
    </rPh>
    <rPh sb="2" eb="4">
      <t>セッケイ</t>
    </rPh>
    <rPh sb="4" eb="5">
      <t>ショ</t>
    </rPh>
    <phoneticPr fontId="2"/>
  </si>
  <si>
    <t>対応箇所</t>
    <rPh sb="0" eb="2">
      <t>タイオウ</t>
    </rPh>
    <rPh sb="2" eb="4">
      <t>カショ</t>
    </rPh>
    <phoneticPr fontId="2"/>
  </si>
  <si>
    <t>バリデーション</t>
  </si>
  <si>
    <t>単項目バリデーション</t>
    <rPh sb="0" eb="1">
      <t>タン</t>
    </rPh>
    <rPh sb="1" eb="3">
      <t>コウモク</t>
    </rPh>
    <phoneticPr fontId="19"/>
  </si>
  <si>
    <t>必須バリデーション</t>
  </si>
  <si>
    <t>必須項目</t>
    <rPh sb="0" eb="2">
      <t>ヒッス</t>
    </rPh>
    <rPh sb="2" eb="4">
      <t>コウモク</t>
    </rPh>
    <phoneticPr fontId="19"/>
  </si>
  <si>
    <t>必須項目が未入力の場合、エラーとなること。</t>
    <rPh sb="0" eb="2">
      <t>ヒッス</t>
    </rPh>
    <rPh sb="2" eb="4">
      <t>コウモク</t>
    </rPh>
    <rPh sb="5" eb="8">
      <t>ミニュウリョク</t>
    </rPh>
    <rPh sb="9" eb="11">
      <t>バアイ</t>
    </rPh>
    <phoneticPr fontId="4"/>
  </si>
  <si>
    <t>任意項目</t>
    <rPh sb="0" eb="2">
      <t>ニンイ</t>
    </rPh>
    <rPh sb="2" eb="4">
      <t>コウモク</t>
    </rPh>
    <phoneticPr fontId="19"/>
  </si>
  <si>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19"/>
  </si>
  <si>
    <t>文字列長バリデーション</t>
    <rPh sb="0" eb="3">
      <t>モジレツ</t>
    </rPh>
    <rPh sb="3" eb="4">
      <t>チョウ</t>
    </rPh>
    <phoneticPr fontId="2"/>
  </si>
  <si>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</si>
  <si>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19"/>
  </si>
  <si>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19"/>
  </si>
  <si>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19"/>
  </si>
  <si>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19"/>
  </si>
  <si>
    <t>サロゲートペア文字を許容する設計となっている場合、サロゲートペア文字を含んだ値が入力された結果がエラーとならないこと。</t>
    <rPh sb="38" eb="39">
      <t>アタイ</t>
    </rPh>
    <rPh sb="40" eb="42">
      <t>ニュウリョク</t>
    </rPh>
    <phoneticPr fontId="19"/>
  </si>
  <si>
    <t>数値バリデーション</t>
    <rPh sb="0" eb="2">
      <t>スウチ</t>
    </rPh>
    <phoneticPr fontId="2"/>
  </si>
  <si>
    <t>桁数</t>
    <rPh sb="0" eb="2">
      <t>ケタスウ</t>
    </rPh>
    <phoneticPr fontId="2"/>
  </si>
  <si>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19"/>
  </si>
  <si>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19"/>
  </si>
  <si>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19"/>
  </si>
  <si>
    <t>有効範囲</t>
    <rPh sb="0" eb="2">
      <t>ユウコウ</t>
    </rPh>
    <rPh sb="2" eb="4">
      <t>ハンイ</t>
    </rPh>
    <phoneticPr fontId="19"/>
  </si>
  <si>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19"/>
  </si>
  <si>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19"/>
  </si>
  <si>
    <t>数値項目に有効範囲の下限値が入力された場合、エラーとならないこと。</t>
    <rPh sb="10" eb="12">
      <t>カゲン</t>
    </rPh>
    <phoneticPr fontId="2"/>
  </si>
  <si>
    <t>数値項目に有効範囲の下限値－1が入力された場合、エラーとなること。</t>
    <rPh sb="10" eb="12">
      <t>カゲン</t>
    </rPh>
    <phoneticPr fontId="2"/>
  </si>
  <si>
    <t>文字種バリデーション</t>
    <rPh sb="0" eb="3">
      <t>モジシュ</t>
    </rPh>
    <phoneticPr fontId="2"/>
  </si>
  <si>
    <t>許容対象の文字が入力された場合、エラーとならないこと。</t>
    <rPh sb="0" eb="2">
      <t>キョヨウ</t>
    </rPh>
    <rPh sb="2" eb="4">
      <t>タイショウ</t>
    </rPh>
    <rPh sb="5" eb="7">
      <t>モジ</t>
    </rPh>
    <rPh sb="8" eb="10">
      <t>ニュウリョク</t>
    </rPh>
    <rPh sb="13" eb="15">
      <t>バアイ</t>
    </rPh>
    <phoneticPr fontId="19"/>
  </si>
  <si>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19"/>
  </si>
  <si>
    <t>その他のバリデーション</t>
    <rPh sb="2" eb="3">
      <t>タ</t>
    </rPh>
    <phoneticPr fontId="19"/>
  </si>
  <si>
    <t>コード値</t>
    <rPh sb="3" eb="4">
      <t>チ</t>
    </rPh>
    <phoneticPr fontId="19"/>
  </si>
  <si>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19"/>
  </si>
  <si>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19"/>
  </si>
  <si>
    <t>日付</t>
    <rPh sb="0" eb="2">
      <t>ヒヅケ</t>
    </rPh>
    <phoneticPr fontId="19"/>
  </si>
  <si>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19"/>
  </si>
  <si>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19"/>
  </si>
  <si>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19"/>
  </si>
  <si>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19"/>
  </si>
  <si>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</si>
  <si>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1"/>
  </si>
  <si>
    <t>メールアドレス項目に無効な値が入力された場合、エラーとなること。</t>
    <rPh sb="7" eb="9">
      <t>コウモク</t>
    </rPh>
    <rPh sb="10" eb="12">
      <t>ムコウ</t>
    </rPh>
    <rPh sb="13" eb="14">
      <t>アタイ</t>
    </rPh>
    <rPh sb="15" eb="17">
      <t>ニュウリョク</t>
    </rPh>
    <rPh sb="20" eb="22">
      <t>バアイ</t>
    </rPh>
    <phoneticPr fontId="21"/>
  </si>
  <si>
    <t>アプリケーション固有のバリデーション</t>
    <rPh sb="8" eb="10">
      <t>コユウ</t>
    </rPh>
    <phoneticPr fontId="19"/>
  </si>
  <si>
    <t>アプリケーション固有のバリデーションがある場合、バリデーションの結果が［システム機能設計書の記載通り］であること。</t>
    <phoneticPr fontId="19"/>
  </si>
  <si>
    <t>相関バリデーション</t>
    <rPh sb="0" eb="2">
      <t>ソウカン</t>
    </rPh>
    <phoneticPr fontId="2"/>
  </si>
  <si>
    <t>特定の条件により必須・任意が変わる項目について、該当項目が必須となっている状態で、値が未入力の場合、エラーとなること。</t>
    <rPh sb="29" eb="31">
      <t>ヒッス</t>
    </rPh>
    <phoneticPr fontId="19"/>
  </si>
  <si>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</si>
  <si>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19"/>
  </si>
  <si>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19"/>
  </si>
  <si>
    <t>DBとの相関バリデーション</t>
    <rPh sb="4" eb="6">
      <t>ソウカン</t>
    </rPh>
    <phoneticPr fontId="19"/>
  </si>
  <si>
    <t>有効なレコードが存在する場合、エラーとならないこと。</t>
  </si>
  <si>
    <t>有効なレコードが存在しない場合、エラーとなること。</t>
  </si>
  <si>
    <t>DB操作</t>
    <rPh sb="2" eb="4">
      <t>ソウサ</t>
    </rPh>
    <phoneticPr fontId="19"/>
  </si>
  <si>
    <t>共通</t>
    <rPh sb="0" eb="2">
      <t>キョウツウ</t>
    </rPh>
    <phoneticPr fontId="2"/>
  </si>
  <si>
    <t>検索/更新/削除条件</t>
    <rPh sb="0" eb="2">
      <t>ケンサク</t>
    </rPh>
    <rPh sb="3" eb="5">
      <t>コウシン</t>
    </rPh>
    <rPh sb="6" eb="8">
      <t>サクジョ</t>
    </rPh>
    <rPh sb="8" eb="10">
      <t>ジョウケン</t>
    </rPh>
    <phoneticPr fontId="2"/>
  </si>
  <si>
    <t>単一条件</t>
    <rPh sb="0" eb="2">
      <t>タンイツ</t>
    </rPh>
    <rPh sb="2" eb="4">
      <t>ジョウケン</t>
    </rPh>
    <phoneticPr fontId="19"/>
  </si>
  <si>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19"/>
  </si>
  <si>
    <t>無効な値が条件に指定された場合、レコードが取得、更新、削除されないこと。</t>
    <rPh sb="0" eb="2">
      <t>ムコウ</t>
    </rPh>
    <rPh sb="3" eb="4">
      <t>アタイ</t>
    </rPh>
    <rPh sb="5" eb="7">
      <t>ジョウケン</t>
    </rPh>
    <rPh sb="8" eb="10">
      <t>シテイ</t>
    </rPh>
    <rPh sb="13" eb="15">
      <t>バアイ</t>
    </rPh>
    <phoneticPr fontId="19"/>
  </si>
  <si>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19"/>
  </si>
  <si>
    <t>複数条件</t>
    <rPh sb="0" eb="2">
      <t>フクスウ</t>
    </rPh>
    <rPh sb="2" eb="4">
      <t>ジョウケン</t>
    </rPh>
    <phoneticPr fontId="19"/>
  </si>
  <si>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19"/>
  </si>
  <si>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19"/>
  </si>
  <si>
    <t>完全一致</t>
    <rPh sb="0" eb="2">
      <t>カンゼン</t>
    </rPh>
    <rPh sb="2" eb="4">
      <t>イッチ</t>
    </rPh>
    <phoneticPr fontId="2"/>
  </si>
  <si>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</si>
  <si>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</si>
  <si>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19"/>
  </si>
  <si>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</si>
  <si>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</si>
  <si>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</si>
  <si>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</si>
  <si>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</si>
  <si>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</si>
  <si>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19"/>
  </si>
  <si>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19"/>
  </si>
  <si>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</si>
  <si>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2"/>
  </si>
  <si>
    <t>件数上限</t>
    <rPh sb="0" eb="2">
      <t>ケンスウ</t>
    </rPh>
    <rPh sb="2" eb="4">
      <t>ジョウゲン</t>
    </rPh>
    <phoneticPr fontId="19"/>
  </si>
  <si>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19"/>
  </si>
  <si>
    <t>登録/更新内容</t>
    <rPh sb="0" eb="2">
      <t>トウロク</t>
    </rPh>
    <rPh sb="3" eb="5">
      <t>コウシン</t>
    </rPh>
    <rPh sb="5" eb="7">
      <t>ナイヨウ</t>
    </rPh>
    <phoneticPr fontId="2"/>
  </si>
  <si>
    <t>全項目に値が指定された場合、レコードが登録されること。</t>
  </si>
  <si>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</si>
  <si>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</si>
  <si>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</si>
  <si>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2"/>
  </si>
  <si>
    <t>編集仕様</t>
    <rPh sb="0" eb="2">
      <t>ヘンシュウ</t>
    </rPh>
    <rPh sb="2" eb="4">
      <t>シヨウ</t>
    </rPh>
    <phoneticPr fontId="19"/>
  </si>
  <si>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</si>
  <si>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19"/>
  </si>
  <si>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19"/>
  </si>
  <si>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19"/>
  </si>
  <si>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19"/>
  </si>
  <si>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19"/>
  </si>
  <si>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19"/>
  </si>
  <si>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19"/>
  </si>
  <si>
    <t>データ型</t>
    <rPh sb="3" eb="4">
      <t>ガタ</t>
    </rPh>
    <phoneticPr fontId="19"/>
  </si>
  <si>
    <t>カラムのデータ型に合わせて、指定された値が登録、更新されること。</t>
    <rPh sb="7" eb="8">
      <t>カタ</t>
    </rPh>
    <rPh sb="9" eb="10">
      <t>ア</t>
    </rPh>
    <rPh sb="14" eb="16">
      <t>シテイ</t>
    </rPh>
    <phoneticPr fontId="19"/>
  </si>
  <si>
    <t>桁数</t>
    <rPh sb="0" eb="2">
      <t>ケタスウ</t>
    </rPh>
    <phoneticPr fontId="19"/>
  </si>
  <si>
    <t>最大長が指定された場合、登録、更新されること。</t>
    <rPh sb="0" eb="2">
      <t>サイダイ</t>
    </rPh>
    <rPh sb="2" eb="3">
      <t>チョウ</t>
    </rPh>
    <rPh sb="4" eb="6">
      <t>シテイ</t>
    </rPh>
    <rPh sb="9" eb="11">
      <t>バアイ</t>
    </rPh>
    <phoneticPr fontId="19"/>
  </si>
  <si>
    <t>最大長＋1が指定された場合、登録、更新されないこと。</t>
    <rPh sb="0" eb="2">
      <t>サイダイ</t>
    </rPh>
    <rPh sb="2" eb="3">
      <t>チョウ</t>
    </rPh>
    <rPh sb="6" eb="8">
      <t>シテイ</t>
    </rPh>
    <rPh sb="11" eb="13">
      <t>バアイ</t>
    </rPh>
    <phoneticPr fontId="19"/>
  </si>
  <si>
    <t>最小長が指定された場合、登録、更新されること。</t>
    <rPh sb="0" eb="2">
      <t>サイショウ</t>
    </rPh>
    <rPh sb="2" eb="3">
      <t>チョウ</t>
    </rPh>
    <rPh sb="4" eb="6">
      <t>シテイ</t>
    </rPh>
    <rPh sb="9" eb="11">
      <t>バアイ</t>
    </rPh>
    <phoneticPr fontId="19"/>
  </si>
  <si>
    <t>最小長－1が指定された場合、登録、更新されないこと。</t>
    <rPh sb="0" eb="2">
      <t>サイショウ</t>
    </rPh>
    <rPh sb="2" eb="3">
      <t>チョウ</t>
    </rPh>
    <rPh sb="6" eb="8">
      <t>シテイ</t>
    </rPh>
    <rPh sb="11" eb="13">
      <t>バアイ</t>
    </rPh>
    <phoneticPr fontId="19"/>
  </si>
  <si>
    <t>サロゲートペア文字を許容する設計となっている場合、サロゲートペア文字を含む値が登録、更新されること。</t>
    <rPh sb="39" eb="41">
      <t>トウロク</t>
    </rPh>
    <rPh sb="42" eb="44">
      <t>コウシン</t>
    </rPh>
    <phoneticPr fontId="19"/>
  </si>
  <si>
    <t>検索</t>
    <rPh sb="0" eb="2">
      <t>ケンサク</t>
    </rPh>
    <phoneticPr fontId="19"/>
  </si>
  <si>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19"/>
  </si>
  <si>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19"/>
  </si>
  <si>
    <t>件数</t>
    <rPh sb="0" eb="2">
      <t>ケンスウ</t>
    </rPh>
    <phoneticPr fontId="19"/>
  </si>
  <si>
    <t>期待したレコード件数を取得できること。</t>
    <rPh sb="0" eb="2">
      <t>キタイ</t>
    </rPh>
    <rPh sb="8" eb="10">
      <t>ケンスウ</t>
    </rPh>
    <rPh sb="11" eb="13">
      <t>シュトク</t>
    </rPh>
    <phoneticPr fontId="19"/>
  </si>
  <si>
    <t>結合</t>
    <rPh sb="0" eb="2">
      <t>ケツゴウ</t>
    </rPh>
    <phoneticPr fontId="19"/>
  </si>
  <si>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19"/>
  </si>
  <si>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19"/>
  </si>
  <si>
    <t>ソート順</t>
    <rPh sb="3" eb="4">
      <t>ジュン</t>
    </rPh>
    <phoneticPr fontId="19"/>
  </si>
  <si>
    <t>ORDER BY句に指定した条件でソートされた結果を取得できること。</t>
    <rPh sb="8" eb="9">
      <t>ク</t>
    </rPh>
    <rPh sb="10" eb="12">
      <t>シテイ</t>
    </rPh>
    <rPh sb="14" eb="16">
      <t>ジョウケン</t>
    </rPh>
    <rPh sb="23" eb="25">
      <t>ケッカ</t>
    </rPh>
    <rPh sb="26" eb="28">
      <t>シュトク</t>
    </rPh>
    <phoneticPr fontId="19"/>
  </si>
  <si>
    <t>グループ化</t>
    <rPh sb="4" eb="5">
      <t>カ</t>
    </rPh>
    <phoneticPr fontId="19"/>
  </si>
  <si>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19"/>
  </si>
  <si>
    <t>登録</t>
  </si>
  <si>
    <t>登録対象のテーブルに期待したレコードが追加されること。</t>
    <rPh sb="0" eb="2">
      <t>トウロク</t>
    </rPh>
    <rPh sb="2" eb="4">
      <t>タイショウ</t>
    </rPh>
    <rPh sb="10" eb="12">
      <t>キタイ</t>
    </rPh>
    <rPh sb="19" eb="21">
      <t>ツイカ</t>
    </rPh>
    <phoneticPr fontId="19"/>
  </si>
  <si>
    <t>期待したレコード件数を登録できること。</t>
    <rPh sb="0" eb="2">
      <t>キタイ</t>
    </rPh>
    <rPh sb="8" eb="10">
      <t>ケンスウ</t>
    </rPh>
    <rPh sb="11" eb="13">
      <t>トウロク</t>
    </rPh>
    <phoneticPr fontId="19"/>
  </si>
  <si>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</si>
  <si>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19"/>
  </si>
  <si>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</si>
  <si>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19"/>
  </si>
  <si>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19"/>
  </si>
  <si>
    <t>期待したレコード件数を更新できること。</t>
    <rPh sb="0" eb="2">
      <t>キタイ</t>
    </rPh>
    <rPh sb="8" eb="10">
      <t>ケンスウ</t>
    </rPh>
    <rPh sb="11" eb="13">
      <t>コウシン</t>
    </rPh>
    <phoneticPr fontId="19"/>
  </si>
  <si>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19"/>
  </si>
  <si>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19"/>
  </si>
  <si>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19"/>
  </si>
  <si>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</si>
  <si>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</si>
  <si>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19"/>
  </si>
  <si>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19"/>
  </si>
  <si>
    <t>期待したレコード件数を論理削除できること。</t>
    <rPh sb="0" eb="2">
      <t>キタイ</t>
    </rPh>
    <rPh sb="8" eb="10">
      <t>ケンスウ</t>
    </rPh>
    <rPh sb="11" eb="13">
      <t>ロンリ</t>
    </rPh>
    <rPh sb="13" eb="15">
      <t>サクジョ</t>
    </rPh>
    <phoneticPr fontId="19"/>
  </si>
  <si>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19"/>
  </si>
  <si>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19"/>
  </si>
  <si>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</si>
  <si>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19"/>
  </si>
  <si>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19"/>
  </si>
  <si>
    <t>期待したレコード件数を物理削除できること。</t>
    <rPh sb="0" eb="2">
      <t>キタイ</t>
    </rPh>
    <rPh sb="8" eb="10">
      <t>ケンスウ</t>
    </rPh>
    <rPh sb="11" eb="13">
      <t>ブツリ</t>
    </rPh>
    <rPh sb="13" eb="15">
      <t>サクジョ</t>
    </rPh>
    <phoneticPr fontId="19"/>
  </si>
  <si>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19"/>
  </si>
  <si>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19"/>
  </si>
  <si>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19"/>
  </si>
  <si>
    <t>DB制御</t>
    <rPh sb="2" eb="4">
      <t>セイギョ</t>
    </rPh>
    <phoneticPr fontId="19"/>
  </si>
  <si>
    <t>更新順序</t>
    <rPh sb="0" eb="2">
      <t>コウシン</t>
    </rPh>
    <rPh sb="2" eb="4">
      <t>ジュンジョ</t>
    </rPh>
    <phoneticPr fontId="2"/>
  </si>
  <si>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2"/>
  </si>
  <si>
    <t>排他制御</t>
    <rPh sb="0" eb="2">
      <t>ハイタ</t>
    </rPh>
    <rPh sb="2" eb="4">
      <t>セイギョ</t>
    </rPh>
    <phoneticPr fontId="19"/>
  </si>
  <si>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19"/>
  </si>
  <si>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19"/>
  </si>
  <si>
    <t>ロールバック</t>
  </si>
  <si>
    <t>エラーが発生した場合、ロールバックされること。</t>
    <rPh sb="4" eb="6">
      <t>ハッセイ</t>
    </rPh>
    <rPh sb="8" eb="10">
      <t>バアイ</t>
    </rPh>
    <phoneticPr fontId="19"/>
  </si>
  <si>
    <t>コミット</t>
  </si>
  <si>
    <t>コミットタイミングが［方式設計書の記載通り］であること。</t>
    <rPh sb="11" eb="13">
      <t>ホウシキ</t>
    </rPh>
    <rPh sb="13" eb="16">
      <t>セッケイショ</t>
    </rPh>
    <rPh sb="17" eb="19">
      <t>キサイ</t>
    </rPh>
    <rPh sb="19" eb="20">
      <t>ドオ</t>
    </rPh>
    <phoneticPr fontId="2"/>
  </si>
  <si>
    <t>コミットの単位が［方式設計書の記載通り］であること。</t>
    <rPh sb="9" eb="14">
      <t>ホウシキセッケイショ</t>
    </rPh>
    <rPh sb="15" eb="17">
      <t>キサイ</t>
    </rPh>
    <rPh sb="17" eb="18">
      <t>ドオ</t>
    </rPh>
    <phoneticPr fontId="2"/>
  </si>
  <si>
    <t>ファイル取込</t>
    <rPh sb="4" eb="6">
      <t>トリコミ</t>
    </rPh>
    <phoneticPr fontId="2"/>
  </si>
  <si>
    <t>実行結果</t>
    <rPh sb="0" eb="2">
      <t>ジッコウ</t>
    </rPh>
    <rPh sb="2" eb="4">
      <t>ケッカ</t>
    </rPh>
    <phoneticPr fontId="19"/>
  </si>
  <si>
    <t>取り込まれたファイルの格納先が［システム機能設計書/共通コンポーネント設計書の記載通り］であること。</t>
    <rPh sb="0" eb="1">
      <t>ト</t>
    </rPh>
    <rPh sb="2" eb="3">
      <t>コ</t>
    </rPh>
    <rPh sb="11" eb="13">
      <t>カクノウ</t>
    </rPh>
    <rPh sb="13" eb="14">
      <t>サキ</t>
    </rPh>
    <phoneticPr fontId="2"/>
  </si>
  <si>
    <t>※ファイルアップロードを含む</t>
  </si>
  <si>
    <t>取り込まれたファイルが、指定のファイル名で格納されること。</t>
    <rPh sb="12" eb="14">
      <t>シテイ</t>
    </rPh>
    <rPh sb="19" eb="20">
      <t>メイ</t>
    </rPh>
    <rPh sb="21" eb="23">
      <t>カクノウ</t>
    </rPh>
    <phoneticPr fontId="2"/>
  </si>
  <si>
    <t>取り込まれたファイルのアクセス権限が［システム機能設計書/共通コンポーネント設計書の記載通り］であること。</t>
    <rPh sb="15" eb="17">
      <t>ケンゲン</t>
    </rPh>
    <phoneticPr fontId="2"/>
  </si>
  <si>
    <t>取り込まれたファイルの所有権が［システム機能設計書/共通コンポーネント設計書の記載通り］であること。</t>
    <rPh sb="11" eb="13">
      <t>ショユウ</t>
    </rPh>
    <phoneticPr fontId="2"/>
  </si>
  <si>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19"/>
  </si>
  <si>
    <t>取り込まれたファイルに含まれるレコードの長さが最大長＋1の場合、エラーとなること。</t>
    <rPh sb="11" eb="12">
      <t>フク</t>
    </rPh>
    <rPh sb="20" eb="21">
      <t>ナガ</t>
    </rPh>
    <rPh sb="23" eb="25">
      <t>サイダイ</t>
    </rPh>
    <rPh sb="29" eb="31">
      <t>バアイ</t>
    </rPh>
    <phoneticPr fontId="19"/>
  </si>
  <si>
    <t>取り込まれたファイルに含まれるレコードの長さが最小長の場合、エラーとならないこと。</t>
    <rPh sb="11" eb="12">
      <t>フク</t>
    </rPh>
    <rPh sb="20" eb="21">
      <t>ナガ</t>
    </rPh>
    <rPh sb="23" eb="25">
      <t>サイショウ</t>
    </rPh>
    <rPh sb="27" eb="29">
      <t>バアイ</t>
    </rPh>
    <phoneticPr fontId="19"/>
  </si>
  <si>
    <t>取り込まれたファイルに含まれるレコードの長さが最小長-1の場合、エラーとなること。</t>
    <rPh sb="11" eb="12">
      <t>フク</t>
    </rPh>
    <rPh sb="20" eb="21">
      <t>ナガ</t>
    </rPh>
    <rPh sb="23" eb="25">
      <t>サイショウ</t>
    </rPh>
    <rPh sb="29" eb="31">
      <t>バアイ</t>
    </rPh>
    <phoneticPr fontId="19"/>
  </si>
  <si>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19"/>
  </si>
  <si>
    <t>レコード件数</t>
    <rPh sb="4" eb="6">
      <t>ケンスウ</t>
    </rPh>
    <phoneticPr fontId="19"/>
  </si>
  <si>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19"/>
  </si>
  <si>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19"/>
  </si>
  <si>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19"/>
  </si>
  <si>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19"/>
  </si>
  <si>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19"/>
  </si>
  <si>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</si>
  <si>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19"/>
  </si>
  <si>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19"/>
  </si>
  <si>
    <t>フォーマット定義</t>
    <rPh sb="6" eb="8">
      <t>テイギ</t>
    </rPh>
    <phoneticPr fontId="19"/>
  </si>
  <si>
    <t>レコード構成</t>
    <rPh sb="4" eb="6">
      <t>コウセイ</t>
    </rPh>
    <phoneticPr fontId="19"/>
  </si>
  <si>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19"/>
  </si>
  <si>
    <t>ファイルサイズ</t>
  </si>
  <si>
    <t>取り込まれたファイルのサイズをバリデーションする場合、有効なサイズのファイルがエラーとならないこと。</t>
    <rPh sb="24" eb="26">
      <t>バアイ</t>
    </rPh>
    <rPh sb="27" eb="29">
      <t>ユウコウ</t>
    </rPh>
    <phoneticPr fontId="19"/>
  </si>
  <si>
    <t>取り込まれたファイルのサイズバリデーションする場合、無効なサイズのファイルがエラーとなること。</t>
    <rPh sb="23" eb="25">
      <t>バアイ</t>
    </rPh>
    <rPh sb="26" eb="28">
      <t>ムコウ</t>
    </rPh>
    <phoneticPr fontId="19"/>
  </si>
  <si>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19"/>
  </si>
  <si>
    <t>ファイル出力</t>
    <rPh sb="4" eb="6">
      <t>シュツリョク</t>
    </rPh>
    <phoneticPr fontId="2"/>
  </si>
  <si>
    <t>出力したファイルが、指定したディレクトリに格納されること。</t>
    <rPh sb="10" eb="12">
      <t>シテイ</t>
    </rPh>
    <rPh sb="21" eb="23">
      <t>カクノウ</t>
    </rPh>
    <phoneticPr fontId="2"/>
  </si>
  <si>
    <t>※ファイルダウンロードを含む</t>
    <rPh sb="12" eb="13">
      <t>フク</t>
    </rPh>
    <phoneticPr fontId="19"/>
  </si>
  <si>
    <t>出力したファイルが、指定したファイル名で格納されること。</t>
    <rPh sb="10" eb="12">
      <t>シテイ</t>
    </rPh>
    <rPh sb="18" eb="19">
      <t>メイ</t>
    </rPh>
    <rPh sb="20" eb="22">
      <t>カクノウ</t>
    </rPh>
    <phoneticPr fontId="2"/>
  </si>
  <si>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</si>
  <si>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2"/>
  </si>
  <si>
    <t>ファイル名</t>
    <rPh sb="4" eb="5">
      <t>メイ</t>
    </rPh>
    <phoneticPr fontId="2"/>
  </si>
  <si>
    <t>ファイル保存先を指定するダイアログボックスにデフォルトファイル名が表示されること。</t>
    <rPh sb="4" eb="6">
      <t>ホゾン</t>
    </rPh>
    <rPh sb="6" eb="7">
      <t>サキ</t>
    </rPh>
    <rPh sb="8" eb="10">
      <t>シテイ</t>
    </rPh>
    <rPh sb="33" eb="35">
      <t>ヒョウジ</t>
    </rPh>
    <phoneticPr fontId="19"/>
  </si>
  <si>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19"/>
  </si>
  <si>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19"/>
  </si>
  <si>
    <t>データ出力</t>
    <rPh sb="3" eb="5">
      <t>シュツリョク</t>
    </rPh>
    <phoneticPr fontId="19"/>
  </si>
  <si>
    <t>文字コード</t>
    <rPh sb="0" eb="2">
      <t>モジ</t>
    </rPh>
    <phoneticPr fontId="19"/>
  </si>
  <si>
    <t>出力したファイルの文字コードが［外部インターフェース設計書/サブシステムインターフェース設計書の記載通り］であること。</t>
    <rPh sb="9" eb="11">
      <t>モジ</t>
    </rPh>
    <phoneticPr fontId="19"/>
  </si>
  <si>
    <t>改行コード</t>
    <rPh sb="0" eb="2">
      <t>カイギョウ</t>
    </rPh>
    <phoneticPr fontId="19"/>
  </si>
  <si>
    <t>出力したファイルの改行コードが［外部インターフェース設計書/サブシステムインターフェース設計書の記載通り］であること。</t>
    <rPh sb="9" eb="11">
      <t>カイギョウ</t>
    </rPh>
    <phoneticPr fontId="19"/>
  </si>
  <si>
    <t>区切り文字</t>
    <rPh sb="0" eb="2">
      <t>クギ</t>
    </rPh>
    <rPh sb="3" eb="5">
      <t>モジ</t>
    </rPh>
    <phoneticPr fontId="19"/>
  </si>
  <si>
    <t>出力したファイルの区切り文字が［外部インターフェース設計書/サブシステムインターフェース設計書の記載通り］であること。</t>
    <rPh sb="9" eb="11">
      <t>クギ</t>
    </rPh>
    <rPh sb="12" eb="14">
      <t>モジ</t>
    </rPh>
    <phoneticPr fontId="19"/>
  </si>
  <si>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19"/>
  </si>
  <si>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</si>
  <si>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19"/>
  </si>
  <si>
    <t>レイアウト</t>
  </si>
  <si>
    <t>帳票の場合、出力したレイアウトが［帳票設計書の記載通り］であること。</t>
    <rPh sb="6" eb="8">
      <t>シュツリョク</t>
    </rPh>
    <rPh sb="23" eb="25">
      <t>キサイ</t>
    </rPh>
    <rPh sb="25" eb="26">
      <t>ドオ</t>
    </rPh>
    <phoneticPr fontId="19"/>
  </si>
  <si>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19"/>
  </si>
  <si>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2"/>
  </si>
  <si>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2"/>
  </si>
  <si>
    <t>帳票の場合、文字スタイル（太字斜体など）が［帳票設計書の記載通り］であること。</t>
    <rPh sb="6" eb="8">
      <t>モジ</t>
    </rPh>
    <rPh sb="13" eb="15">
      <t>フトジ</t>
    </rPh>
    <rPh sb="15" eb="17">
      <t>シャタイ</t>
    </rPh>
    <phoneticPr fontId="2"/>
  </si>
  <si>
    <t>帳票の場合、文字色が［帳票設計書の記載通り］であること。</t>
    <rPh sb="6" eb="8">
      <t>モジ</t>
    </rPh>
    <rPh sb="8" eb="9">
      <t>イロ</t>
    </rPh>
    <phoneticPr fontId="19"/>
  </si>
  <si>
    <t>出力内容</t>
    <rPh sb="0" eb="2">
      <t>シュツリョク</t>
    </rPh>
    <rPh sb="2" eb="4">
      <t>ナイヨウ</t>
    </rPh>
    <phoneticPr fontId="2"/>
  </si>
  <si>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2"/>
  </si>
  <si>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19"/>
  </si>
  <si>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19"/>
  </si>
  <si>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</si>
  <si>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</si>
  <si>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</si>
  <si>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19"/>
  </si>
  <si>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19"/>
  </si>
  <si>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19"/>
  </si>
  <si>
    <t>取得した値に改行、タブ、メタキャラクタが含まれる場合、出力された値がエンコーディング、サニタイジングされること。</t>
    <rPh sb="27" eb="29">
      <t>シュツリョク</t>
    </rPh>
    <phoneticPr fontId="19"/>
  </si>
  <si>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19"/>
  </si>
  <si>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19"/>
  </si>
  <si>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19"/>
  </si>
  <si>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2"/>
  </si>
  <si>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2"/>
  </si>
  <si>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2"/>
  </si>
  <si>
    <t>出力するレコードの長さが最大の場合、エラーとならないこと。</t>
    <rPh sb="0" eb="2">
      <t>シュツリョク</t>
    </rPh>
    <rPh sb="9" eb="10">
      <t>ナガ</t>
    </rPh>
    <rPh sb="12" eb="14">
      <t>サイダイ</t>
    </rPh>
    <rPh sb="15" eb="17">
      <t>バアイ</t>
    </rPh>
    <phoneticPr fontId="19"/>
  </si>
  <si>
    <t>出力するレコードの長さが最小の場合、エラーとならないこと。</t>
    <rPh sb="0" eb="2">
      <t>シュツリョク</t>
    </rPh>
    <rPh sb="9" eb="10">
      <t>ナガ</t>
    </rPh>
    <rPh sb="12" eb="14">
      <t>サイショウ</t>
    </rPh>
    <rPh sb="15" eb="17">
      <t>バアイ</t>
    </rPh>
    <phoneticPr fontId="19"/>
  </si>
  <si>
    <t>サロゲートペア文字を許容する設計となっている場合、サロゲートペア文字を含むレコードを出力した結果がエラーとならないこと。</t>
    <rPh sb="42" eb="44">
      <t>シュツリョク</t>
    </rPh>
    <phoneticPr fontId="19"/>
  </si>
  <si>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2"/>
  </si>
  <si>
    <t>ファイルに期待通りの件数分、レコードが出力されること。</t>
    <rPh sb="5" eb="7">
      <t>キタイ</t>
    </rPh>
    <rPh sb="7" eb="8">
      <t>ドオ</t>
    </rPh>
    <rPh sb="10" eb="12">
      <t>ケンスウ</t>
    </rPh>
    <rPh sb="12" eb="13">
      <t>ブン</t>
    </rPh>
    <rPh sb="19" eb="21">
      <t>シュツリョク</t>
    </rPh>
    <phoneticPr fontId="19"/>
  </si>
  <si>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19"/>
  </si>
  <si>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19"/>
  </si>
  <si>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19"/>
  </si>
  <si>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19"/>
  </si>
  <si>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19"/>
  </si>
  <si>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19"/>
  </si>
  <si>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19"/>
  </si>
  <si>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19"/>
  </si>
  <si>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19"/>
  </si>
  <si>
    <t>画像</t>
    <rPh sb="0" eb="2">
      <t>ガゾウ</t>
    </rPh>
    <phoneticPr fontId="19"/>
  </si>
  <si>
    <t>出力された画像が［システム機能設計書/共通コンポーネント設計書/帳票設計書の記載通り］であること。</t>
    <rPh sb="0" eb="2">
      <t>シュツリョク</t>
    </rPh>
    <phoneticPr fontId="19"/>
  </si>
  <si>
    <t>ファイル操作</t>
    <rPh sb="4" eb="6">
      <t>ソウサ</t>
    </rPh>
    <phoneticPr fontId="2"/>
  </si>
  <si>
    <t>削除</t>
    <rPh sb="0" eb="2">
      <t>サクジョ</t>
    </rPh>
    <phoneticPr fontId="2"/>
  </si>
  <si>
    <t>ファイルが削除されること。</t>
  </si>
  <si>
    <t>移動・リネーム</t>
    <rPh sb="0" eb="2">
      <t>イドウ</t>
    </rPh>
    <phoneticPr fontId="2"/>
  </si>
  <si>
    <t>ファイルが移動、リネームされること。</t>
  </si>
  <si>
    <t>コピー</t>
  </si>
  <si>
    <t>ファイルがコピーされること。</t>
  </si>
  <si>
    <t>メール処理</t>
    <rPh sb="3" eb="5">
      <t>ショリ</t>
    </rPh>
    <phoneticPr fontId="19"/>
  </si>
  <si>
    <t>送信・転送</t>
    <rPh sb="0" eb="2">
      <t>ソウシン</t>
    </rPh>
    <rPh sb="3" eb="5">
      <t>テンソウ</t>
    </rPh>
    <phoneticPr fontId="19"/>
  </si>
  <si>
    <t>指定した宛先（メールアドレス）への送信、転送が正常終了すること。</t>
    <rPh sb="0" eb="2">
      <t>シテイ</t>
    </rPh>
    <rPh sb="4" eb="6">
      <t>アテサキ</t>
    </rPh>
    <rPh sb="25" eb="27">
      <t>シュウリョウ</t>
    </rPh>
    <phoneticPr fontId="2"/>
  </si>
  <si>
    <t>宛先（メールアドレス）に最大長がセットされた場合、送信、転送が正常終了すること。</t>
    <rPh sb="0" eb="2">
      <t>アテサキ</t>
    </rPh>
    <phoneticPr fontId="2"/>
  </si>
  <si>
    <t>件名に最大長がセットされた場合、送信、転送が正常終了すること。</t>
    <rPh sb="0" eb="2">
      <t>ケンメイ</t>
    </rPh>
    <phoneticPr fontId="2"/>
  </si>
  <si>
    <t>編集</t>
    <rPh sb="0" eb="2">
      <t>ヘンシュウ</t>
    </rPh>
    <phoneticPr fontId="19"/>
  </si>
  <si>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2"/>
  </si>
  <si>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2"/>
  </si>
  <si>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19"/>
  </si>
  <si>
    <t>メール編集</t>
    <rPh sb="3" eb="5">
      <t>ヘンシュウ</t>
    </rPh>
    <phoneticPr fontId="2"/>
  </si>
  <si>
    <t>ヘッダ</t>
  </si>
  <si>
    <t>設定</t>
    <rPh sb="0" eb="2">
      <t>セッテイ</t>
    </rPh>
    <phoneticPr fontId="19"/>
  </si>
  <si>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2"/>
  </si>
  <si>
    <t>ヘッダの宛先（Cc）に［メール設計書の記載通りの値］が設定されること。</t>
    <rPh sb="4" eb="6">
      <t>アテサキ</t>
    </rPh>
    <rPh sb="27" eb="29">
      <t>セッテイ</t>
    </rPh>
    <phoneticPr fontId="2"/>
  </si>
  <si>
    <t>ヘッダの宛先（Bcc）に［メール設計書の記載通りの値］が設定されること。</t>
    <rPh sb="4" eb="6">
      <t>アテサキ</t>
    </rPh>
    <rPh sb="28" eb="30">
      <t>セッテイ</t>
    </rPh>
    <phoneticPr fontId="2"/>
  </si>
  <si>
    <t>ヘッダの送信元（From）に［メール設計書の記載通りの値］が設定されること。</t>
    <rPh sb="4" eb="7">
      <t>ソウシンモト</t>
    </rPh>
    <rPh sb="30" eb="32">
      <t>セッテイ</t>
    </rPh>
    <phoneticPr fontId="2"/>
  </si>
  <si>
    <t>ヘッダの返信先（Reply-to）に［メール設計書の記載通りの値］が設定されること。</t>
    <rPh sb="4" eb="6">
      <t>ヘンシン</t>
    </rPh>
    <rPh sb="6" eb="7">
      <t>サキ</t>
    </rPh>
    <rPh sb="34" eb="36">
      <t>セッテイ</t>
    </rPh>
    <phoneticPr fontId="2"/>
  </si>
  <si>
    <t>ヘッダの差戻し先（Retuern-path）に［メール設計書の記載通りの値］が設定されること。</t>
    <rPh sb="4" eb="6">
      <t>サシモド</t>
    </rPh>
    <rPh sb="7" eb="8">
      <t>サキ</t>
    </rPh>
    <rPh sb="39" eb="41">
      <t>セッテイ</t>
    </rPh>
    <phoneticPr fontId="2"/>
  </si>
  <si>
    <t>ヘッダのContent-Typeに［メール設計書の記載通りの値］が設定されること。</t>
    <rPh sb="33" eb="35">
      <t>セッテイ</t>
    </rPh>
    <phoneticPr fontId="2"/>
  </si>
  <si>
    <t>エンコーディング</t>
  </si>
  <si>
    <t>ヘッダがエンコードされること。</t>
  </si>
  <si>
    <t>件名</t>
    <rPh sb="0" eb="2">
      <t>ケンメイ</t>
    </rPh>
    <phoneticPr fontId="2"/>
  </si>
  <si>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2"/>
  </si>
  <si>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19"/>
  </si>
  <si>
    <t>埋め込み必須項目が未入力の場合、エラーとなること。</t>
    <rPh sb="0" eb="1">
      <t>ウ</t>
    </rPh>
    <rPh sb="2" eb="3">
      <t>コ</t>
    </rPh>
    <rPh sb="4" eb="6">
      <t>ヒッス</t>
    </rPh>
    <rPh sb="6" eb="8">
      <t>コウモク</t>
    </rPh>
    <rPh sb="9" eb="12">
      <t>ミニュウリョク</t>
    </rPh>
    <rPh sb="13" eb="15">
      <t>バアイ</t>
    </rPh>
    <phoneticPr fontId="19"/>
  </si>
  <si>
    <t>埋め込み任意項目が未入力の場合、エラーとならないこと。</t>
    <rPh sb="0" eb="1">
      <t>ウ</t>
    </rPh>
    <rPh sb="2" eb="3">
      <t>コ</t>
    </rPh>
    <rPh sb="4" eb="6">
      <t>ニンイ</t>
    </rPh>
    <rPh sb="6" eb="8">
      <t>コウモク</t>
    </rPh>
    <rPh sb="9" eb="12">
      <t>ミニュウリョク</t>
    </rPh>
    <rPh sb="13" eb="15">
      <t>バアイ</t>
    </rPh>
    <phoneticPr fontId="19"/>
  </si>
  <si>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19"/>
  </si>
  <si>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</si>
  <si>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</si>
  <si>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</si>
  <si>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</si>
  <si>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19"/>
  </si>
  <si>
    <t>取得した値をマスキングする設計となっている場合、件名に設定された値がマスキングされること。</t>
    <rPh sb="0" eb="2">
      <t>シュトク</t>
    </rPh>
    <rPh sb="4" eb="5">
      <t>アタイ</t>
    </rPh>
    <rPh sb="13" eb="15">
      <t>セッケイ</t>
    </rPh>
    <rPh sb="21" eb="23">
      <t>バアイ</t>
    </rPh>
    <phoneticPr fontId="19"/>
  </si>
  <si>
    <t>取得した値に改行、タブ、メタキャラクタが含まれる場合、件名に設定された値がエンコーディング、サニタイジングされること。</t>
    <rPh sb="27" eb="29">
      <t>ケンメイ</t>
    </rPh>
    <rPh sb="30" eb="32">
      <t>セッテイ</t>
    </rPh>
    <phoneticPr fontId="19"/>
  </si>
  <si>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19"/>
  </si>
  <si>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</si>
  <si>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2"/>
  </si>
  <si>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19"/>
  </si>
  <si>
    <t>本文のデザインが［メール設計書の記載通り］であること。</t>
    <rPh sb="0" eb="2">
      <t>ホンブン</t>
    </rPh>
    <rPh sb="12" eb="15">
      <t>セッケイショ</t>
    </rPh>
    <rPh sb="16" eb="18">
      <t>キサイ</t>
    </rPh>
    <rPh sb="18" eb="19">
      <t>ドオ</t>
    </rPh>
    <phoneticPr fontId="19"/>
  </si>
  <si>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19"/>
  </si>
  <si>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19"/>
  </si>
  <si>
    <t>取得した値を編集する処理が分岐する設計となっている場合、本文に設定された値が［システム機能設計書/共通コンポーネント設計書/メール設計書の記載通り］であること。</t>
    <phoneticPr fontId="2"/>
  </si>
  <si>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</si>
  <si>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</si>
  <si>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</si>
  <si>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19"/>
  </si>
  <si>
    <t>取得した値をマスキングする設計となっている場合、本文に設定された値がマスキングされること。</t>
    <rPh sb="0" eb="2">
      <t>シュトク</t>
    </rPh>
    <rPh sb="4" eb="5">
      <t>アタイ</t>
    </rPh>
    <rPh sb="13" eb="15">
      <t>セッケイ</t>
    </rPh>
    <rPh sb="21" eb="23">
      <t>バアイ</t>
    </rPh>
    <phoneticPr fontId="19"/>
  </si>
  <si>
    <t>取得した値に改行、タブ、メタキャラクタが含まれる場合、本文に設定された値がエンコーディング、サニタイジングされること。</t>
    <rPh sb="27" eb="29">
      <t>ホンブン</t>
    </rPh>
    <rPh sb="30" eb="32">
      <t>セッテイ</t>
    </rPh>
    <phoneticPr fontId="19"/>
  </si>
  <si>
    <t>データ件数</t>
    <rPh sb="3" eb="5">
      <t>ケンスウ</t>
    </rPh>
    <phoneticPr fontId="19"/>
  </si>
  <si>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19"/>
  </si>
  <si>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19"/>
  </si>
  <si>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2"/>
  </si>
  <si>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</si>
  <si>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19"/>
  </si>
  <si>
    <t>ファイルを添付する場合、指定したファイルが添付されること。</t>
    <rPh sb="5" eb="7">
      <t>テンプ</t>
    </rPh>
    <rPh sb="9" eb="11">
      <t>バアイ</t>
    </rPh>
    <rPh sb="12" eb="14">
      <t>シテイ</t>
    </rPh>
    <rPh sb="21" eb="23">
      <t>テンプ</t>
    </rPh>
    <phoneticPr fontId="19"/>
  </si>
  <si>
    <t>受信処理</t>
    <rPh sb="0" eb="2">
      <t>ジュシン</t>
    </rPh>
    <rPh sb="2" eb="4">
      <t>ショリ</t>
    </rPh>
    <phoneticPr fontId="19"/>
  </si>
  <si>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19"/>
  </si>
  <si>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19"/>
  </si>
  <si>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19"/>
  </si>
  <si>
    <t>受信した電文の長さが最小長の場合、エラーとならないこと。</t>
    <rPh sb="10" eb="12">
      <t>サイショウ</t>
    </rPh>
    <rPh sb="12" eb="13">
      <t>チョウ</t>
    </rPh>
    <rPh sb="14" eb="16">
      <t>バアイ</t>
    </rPh>
    <phoneticPr fontId="19"/>
  </si>
  <si>
    <t>受信した電文の長さが最小長-1の場合、エラーとなること。</t>
    <rPh sb="10" eb="12">
      <t>サイショウ</t>
    </rPh>
    <rPh sb="12" eb="13">
      <t>チョウ</t>
    </rPh>
    <rPh sb="16" eb="18">
      <t>バアイ</t>
    </rPh>
    <phoneticPr fontId="19"/>
  </si>
  <si>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19"/>
  </si>
  <si>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19"/>
  </si>
  <si>
    <t>受信した電文のレコードが0件の場合、［システム機能設計書/共通コンポーネント設計書の記載通りの挙動］となること。</t>
    <rPh sb="13" eb="14">
      <t>ケン</t>
    </rPh>
    <rPh sb="15" eb="17">
      <t>バアイ</t>
    </rPh>
    <phoneticPr fontId="19"/>
  </si>
  <si>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19"/>
  </si>
  <si>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19"/>
  </si>
  <si>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19"/>
  </si>
  <si>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19"/>
  </si>
  <si>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19"/>
  </si>
  <si>
    <t>送信処理</t>
    <rPh sb="0" eb="2">
      <t>ソウシン</t>
    </rPh>
    <rPh sb="2" eb="4">
      <t>ショリ</t>
    </rPh>
    <phoneticPr fontId="19"/>
  </si>
  <si>
    <t>実行結果</t>
    <rPh sb="0" eb="4">
      <t>ジッコウケッカ</t>
    </rPh>
    <phoneticPr fontId="19"/>
  </si>
  <si>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19"/>
  </si>
  <si>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19"/>
  </si>
  <si>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19"/>
  </si>
  <si>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19"/>
  </si>
  <si>
    <t>電文編集</t>
    <rPh sb="0" eb="2">
      <t>デンブン</t>
    </rPh>
    <rPh sb="2" eb="4">
      <t>ヘンシュウ</t>
    </rPh>
    <phoneticPr fontId="19"/>
  </si>
  <si>
    <t>送信した電文の文字コードが［外部インターフェース設計書/サブシステムインターフェース設計書の記載通り］であること。</t>
    <rPh sb="7" eb="9">
      <t>モジ</t>
    </rPh>
    <phoneticPr fontId="19"/>
  </si>
  <si>
    <t>送信した電文の区切り文字が［外部インターフェース設計書/サブシステムインターフェース設計書の記載通り］であること。</t>
    <rPh sb="7" eb="9">
      <t>クギ</t>
    </rPh>
    <rPh sb="10" eb="12">
      <t>モジ</t>
    </rPh>
    <phoneticPr fontId="19"/>
  </si>
  <si>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19"/>
  </si>
  <si>
    <t>送信した電文の項目並び順が［外部インターフェース設計書/サブシステムインターフェース設計書の記載通り］であること。</t>
    <rPh sb="7" eb="9">
      <t>コウモク</t>
    </rPh>
    <rPh sb="9" eb="10">
      <t>ナラ</t>
    </rPh>
    <rPh sb="11" eb="12">
      <t>ジュン</t>
    </rPh>
    <phoneticPr fontId="19"/>
  </si>
  <si>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2"/>
  </si>
  <si>
    <t>デフォルト値を送信する項目の場合、デフォルト値が送信されること。</t>
    <rPh sb="7" eb="9">
      <t>ソウシン</t>
    </rPh>
    <rPh sb="11" eb="13">
      <t>コウモク</t>
    </rPh>
    <rPh sb="14" eb="16">
      <t>バアイ</t>
    </rPh>
    <rPh sb="22" eb="23">
      <t>チ</t>
    </rPh>
    <rPh sb="24" eb="26">
      <t>ソウシン</t>
    </rPh>
    <phoneticPr fontId="19"/>
  </si>
  <si>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19"/>
  </si>
  <si>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</si>
  <si>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</si>
  <si>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</si>
  <si>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19"/>
  </si>
  <si>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19"/>
  </si>
  <si>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19"/>
  </si>
  <si>
    <t>取得した値に改行、タブ、メタキャラクタが含まれる場合、送信された値がエンコーディング、サニタイジングされること。</t>
    <rPh sb="27" eb="29">
      <t>ソウシン</t>
    </rPh>
    <phoneticPr fontId="19"/>
  </si>
  <si>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19"/>
  </si>
  <si>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19"/>
  </si>
  <si>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19"/>
  </si>
  <si>
    <t>送信項目の値が最大長の場合、エラーとならないこと。</t>
    <rPh sb="0" eb="2">
      <t>ソウシン</t>
    </rPh>
    <rPh sb="2" eb="4">
      <t>コウモク</t>
    </rPh>
    <rPh sb="5" eb="6">
      <t>アタイ</t>
    </rPh>
    <rPh sb="7" eb="9">
      <t>サイダイ</t>
    </rPh>
    <rPh sb="9" eb="10">
      <t>チョウ</t>
    </rPh>
    <rPh sb="11" eb="13">
      <t>バアイ</t>
    </rPh>
    <phoneticPr fontId="22"/>
  </si>
  <si>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2"/>
  </si>
  <si>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2"/>
  </si>
  <si>
    <t>送信する電文の長さが最大の場合、エラーとならないこと。</t>
    <rPh sb="0" eb="2">
      <t>ソウシン</t>
    </rPh>
    <rPh sb="4" eb="6">
      <t>デンブン</t>
    </rPh>
    <rPh sb="7" eb="8">
      <t>ナガ</t>
    </rPh>
    <rPh sb="10" eb="12">
      <t>サイダイ</t>
    </rPh>
    <rPh sb="13" eb="15">
      <t>バアイ</t>
    </rPh>
    <phoneticPr fontId="19"/>
  </si>
  <si>
    <t>送信する電文の長さが最小の場合、エラーとならないこと。</t>
    <rPh sb="0" eb="2">
      <t>ソウシン</t>
    </rPh>
    <rPh sb="4" eb="6">
      <t>デンブン</t>
    </rPh>
    <rPh sb="7" eb="8">
      <t>ナガ</t>
    </rPh>
    <rPh sb="10" eb="12">
      <t>サイショウ</t>
    </rPh>
    <rPh sb="13" eb="15">
      <t>バアイ</t>
    </rPh>
    <phoneticPr fontId="19"/>
  </si>
  <si>
    <t>サロゲートペア文字を許容する設計となっている場合、サロゲートペア文字を含む電文を送信した結果がエラーとならないこと。</t>
    <rPh sb="37" eb="39">
      <t>デンブン</t>
    </rPh>
    <rPh sb="40" eb="42">
      <t>ソウシン</t>
    </rPh>
    <phoneticPr fontId="19"/>
  </si>
  <si>
    <t>期待通りの件数分、レコードが送信されること。</t>
    <rPh sb="5" eb="7">
      <t>ケンスウ</t>
    </rPh>
    <rPh sb="7" eb="8">
      <t>ブン</t>
    </rPh>
    <phoneticPr fontId="19"/>
  </si>
  <si>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19"/>
  </si>
  <si>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19"/>
  </si>
  <si>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19"/>
  </si>
  <si>
    <t>送信するレコードが0件の場合、［システム機能設計書/共通コンポーネント設計書の記載通りの挙動］となること。</t>
    <rPh sb="0" eb="2">
      <t>ソウシン</t>
    </rPh>
    <rPh sb="10" eb="11">
      <t>ケン</t>
    </rPh>
    <rPh sb="12" eb="14">
      <t>バアイ</t>
    </rPh>
    <phoneticPr fontId="19"/>
  </si>
  <si>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19"/>
  </si>
  <si>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19"/>
  </si>
  <si>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19"/>
  </si>
  <si>
    <t>送信するレコードのソート順が［システム機能設計書/共通コンポーネント設計書の記載通り］であること。</t>
    <rPh sb="0" eb="2">
      <t>ソウシン</t>
    </rPh>
    <rPh sb="12" eb="13">
      <t>ジュン</t>
    </rPh>
    <phoneticPr fontId="19"/>
  </si>
  <si>
    <t>ログ出力</t>
    <rPh sb="2" eb="4">
      <t>シュツリョク</t>
    </rPh>
    <phoneticPr fontId="19"/>
  </si>
  <si>
    <t>ファイル操作</t>
    <rPh sb="4" eb="6">
      <t>ソウサ</t>
    </rPh>
    <phoneticPr fontId="19"/>
  </si>
  <si>
    <t>ログファイルの格納先が［方式設計書の記載通り］であること。</t>
    <rPh sb="7" eb="9">
      <t>カクノウ</t>
    </rPh>
    <rPh sb="9" eb="10">
      <t>サキ</t>
    </rPh>
    <rPh sb="12" eb="17">
      <t>ホウシキセッケイショ</t>
    </rPh>
    <rPh sb="18" eb="20">
      <t>キサイ</t>
    </rPh>
    <rPh sb="20" eb="21">
      <t>トオ</t>
    </rPh>
    <phoneticPr fontId="2"/>
  </si>
  <si>
    <t>ログファイルのファイル名が［方式設計書の記載通り］であること。</t>
    <rPh sb="11" eb="12">
      <t>メイ</t>
    </rPh>
    <rPh sb="14" eb="19">
      <t>ホウシキセッケイショ</t>
    </rPh>
    <rPh sb="20" eb="23">
      <t>キサイドオ</t>
    </rPh>
    <phoneticPr fontId="2"/>
  </si>
  <si>
    <t>ログファイルのアクセス権限が［方式設計書の記載通り］であること。</t>
    <rPh sb="11" eb="13">
      <t>ケンゲン</t>
    </rPh>
    <phoneticPr fontId="2"/>
  </si>
  <si>
    <t>ログファイルの所有権が［方式設計書の記載通り］であること。</t>
    <rPh sb="7" eb="10">
      <t>ショユウケン</t>
    </rPh>
    <phoneticPr fontId="2"/>
  </si>
  <si>
    <t>ログ編集</t>
    <rPh sb="2" eb="4">
      <t>ヘンシュウ</t>
    </rPh>
    <phoneticPr fontId="19"/>
  </si>
  <si>
    <t>ログファイルの文字コードが［方式設計書の記載通り］であること。</t>
    <rPh sb="14" eb="16">
      <t>ホウシキ</t>
    </rPh>
    <rPh sb="16" eb="19">
      <t>セッケイショ</t>
    </rPh>
    <rPh sb="20" eb="22">
      <t>キサイ</t>
    </rPh>
    <rPh sb="22" eb="23">
      <t>ドオ</t>
    </rPh>
    <phoneticPr fontId="19"/>
  </si>
  <si>
    <t>ログファイルの改行コードが［方式設計書の記載通り］であること。</t>
    <rPh sb="7" eb="9">
      <t>カイギョウ</t>
    </rPh>
    <phoneticPr fontId="19"/>
  </si>
  <si>
    <t>ログファイルの区切り文字が［方式設計書の記載通り］であること。</t>
    <rPh sb="7" eb="9">
      <t>クギ</t>
    </rPh>
    <rPh sb="10" eb="12">
      <t>モジ</t>
    </rPh>
    <phoneticPr fontId="19"/>
  </si>
  <si>
    <t>ログファイルの項目並び順が［方式設計書の記載通り］であること。</t>
    <rPh sb="7" eb="9">
      <t>コウモク</t>
    </rPh>
    <rPh sb="9" eb="10">
      <t>ナラ</t>
    </rPh>
    <rPh sb="11" eb="12">
      <t>ジュン</t>
    </rPh>
    <phoneticPr fontId="19"/>
  </si>
  <si>
    <t>出力内容</t>
    <rPh sb="0" eb="2">
      <t>シュツリョク</t>
    </rPh>
    <rPh sb="2" eb="4">
      <t>ナイヨウ</t>
    </rPh>
    <phoneticPr fontId="19"/>
  </si>
  <si>
    <t>編集仕様</t>
    <rPh sb="0" eb="2">
      <t>ヘンシュウ</t>
    </rPh>
    <rPh sb="2" eb="4">
      <t>シヨウ</t>
    </rPh>
    <phoneticPr fontId="2"/>
  </si>
  <si>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19"/>
  </si>
  <si>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19"/>
  </si>
  <si>
    <t>取得した値を変換する設計となっている場合、出力された値が［システム機能設計書/共通コンポーネント設計書の記載通り］であること。</t>
    <rPh sb="21" eb="23">
      <t>シュツリョク</t>
    </rPh>
    <rPh sb="26" eb="27">
      <t>アタイ</t>
    </rPh>
    <phoneticPr fontId="19"/>
  </si>
  <si>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</si>
  <si>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19"/>
  </si>
  <si>
    <t>取得した値をマスキングする設計となっている場合、出力された値がマスキングされること。</t>
    <rPh sb="0" eb="2">
      <t>シュトク</t>
    </rPh>
    <rPh sb="4" eb="5">
      <t>アタイ</t>
    </rPh>
    <rPh sb="13" eb="15">
      <t>セッケイ</t>
    </rPh>
    <rPh sb="21" eb="23">
      <t>バアイ</t>
    </rPh>
    <phoneticPr fontId="19"/>
  </si>
  <si>
    <t>-</t>
    <phoneticPr fontId="19"/>
  </si>
  <si>
    <t>エラー</t>
    <phoneticPr fontId="19"/>
  </si>
  <si>
    <t>画面表示</t>
    <rPh sb="0" eb="2">
      <t>ガメン</t>
    </rPh>
    <rPh sb="2" eb="4">
      <t>ヒョウジ</t>
    </rPh>
    <phoneticPr fontId="2"/>
  </si>
  <si>
    <t>表示結果</t>
    <rPh sb="0" eb="2">
      <t>ヒョウジ</t>
    </rPh>
    <rPh sb="2" eb="4">
      <t>ケッカ</t>
    </rPh>
    <phoneticPr fontId="2"/>
  </si>
  <si>
    <t>画面レイアウト</t>
    <rPh sb="0" eb="2">
      <t>ガメン</t>
    </rPh>
    <phoneticPr fontId="19"/>
  </si>
  <si>
    <t>画面の幅が［UI標準の記載通り］であること。</t>
    <rPh sb="0" eb="2">
      <t>ガメン</t>
    </rPh>
    <rPh sb="3" eb="4">
      <t>ハバ</t>
    </rPh>
    <rPh sb="8" eb="10">
      <t>ヒョウジュン</t>
    </rPh>
    <rPh sb="11" eb="13">
      <t>キサイ</t>
    </rPh>
    <rPh sb="13" eb="14">
      <t>ドオ</t>
    </rPh>
    <phoneticPr fontId="2"/>
  </si>
  <si>
    <t>画面の高さが［UI標準の記載通り］であること。</t>
    <rPh sb="0" eb="2">
      <t>ガメン</t>
    </rPh>
    <rPh sb="3" eb="4">
      <t>タカ</t>
    </rPh>
    <rPh sb="9" eb="11">
      <t>ヒョウジュン</t>
    </rPh>
    <rPh sb="12" eb="14">
      <t>キサイ</t>
    </rPh>
    <rPh sb="14" eb="15">
      <t>ドオ</t>
    </rPh>
    <phoneticPr fontId="2"/>
  </si>
  <si>
    <t>画面のタイトルが［UI標準の記載通り］であること。</t>
    <rPh sb="0" eb="2">
      <t>ガメン</t>
    </rPh>
    <rPh sb="11" eb="13">
      <t>ヒョウジュン</t>
    </rPh>
    <rPh sb="14" eb="16">
      <t>キサイ</t>
    </rPh>
    <rPh sb="16" eb="17">
      <t>ドオ</t>
    </rPh>
    <phoneticPr fontId="2"/>
  </si>
  <si>
    <t>画面のヘッダーが［UI標準の記載通り］であること。</t>
    <rPh sb="0" eb="2">
      <t>ガメン</t>
    </rPh>
    <rPh sb="11" eb="13">
      <t>ヒョウジュン</t>
    </rPh>
    <rPh sb="14" eb="16">
      <t>キサイ</t>
    </rPh>
    <rPh sb="16" eb="17">
      <t>ドオ</t>
    </rPh>
    <phoneticPr fontId="2"/>
  </si>
  <si>
    <t>画面のフッターが［UI標準の記載通り］であること。</t>
    <rPh sb="0" eb="2">
      <t>ガメン</t>
    </rPh>
    <rPh sb="11" eb="13">
      <t>ヒョウジュン</t>
    </rPh>
    <rPh sb="14" eb="16">
      <t>キサイ</t>
    </rPh>
    <rPh sb="16" eb="17">
      <t>ドオ</t>
    </rPh>
    <phoneticPr fontId="2"/>
  </si>
  <si>
    <t>画面のメニューが［UI標準の記載通り］であること。</t>
    <phoneticPr fontId="2"/>
  </si>
  <si>
    <t>画面の縦スクロールが［UI標準の記載通り］であること。</t>
    <rPh sb="0" eb="2">
      <t>ガメン</t>
    </rPh>
    <rPh sb="3" eb="4">
      <t>タテ</t>
    </rPh>
    <rPh sb="13" eb="15">
      <t>ヒョウジュン</t>
    </rPh>
    <rPh sb="16" eb="18">
      <t>キサイ</t>
    </rPh>
    <rPh sb="18" eb="19">
      <t>ドオ</t>
    </rPh>
    <phoneticPr fontId="2"/>
  </si>
  <si>
    <t>画面の横スクロールが［UI標準の記載通り］であること。</t>
    <rPh sb="0" eb="2">
      <t>ガメン</t>
    </rPh>
    <rPh sb="3" eb="4">
      <t>ヨコ</t>
    </rPh>
    <rPh sb="13" eb="15">
      <t>ヒョウジュン</t>
    </rPh>
    <rPh sb="16" eb="18">
      <t>キサイ</t>
    </rPh>
    <rPh sb="18" eb="19">
      <t>ドオ</t>
    </rPh>
    <phoneticPr fontId="2"/>
  </si>
  <si>
    <t>フォントが［UI標準の記載通り］であること。</t>
    <rPh sb="8" eb="10">
      <t>ヒョウジュン</t>
    </rPh>
    <rPh sb="11" eb="13">
      <t>キサイ</t>
    </rPh>
    <rPh sb="13" eb="14">
      <t>ドオ</t>
    </rPh>
    <phoneticPr fontId="2"/>
  </si>
  <si>
    <t>文字スタイル（太字斜体など）が［UI標準の記載通り］であること。</t>
    <rPh sb="0" eb="2">
      <t>モジ</t>
    </rPh>
    <rPh sb="7" eb="9">
      <t>フトジ</t>
    </rPh>
    <rPh sb="9" eb="11">
      <t>シャタイ</t>
    </rPh>
    <rPh sb="18" eb="20">
      <t>ヒョウジュン</t>
    </rPh>
    <rPh sb="21" eb="23">
      <t>キサイ</t>
    </rPh>
    <rPh sb="23" eb="24">
      <t>ドオ</t>
    </rPh>
    <phoneticPr fontId="2"/>
  </si>
  <si>
    <t>文字サイズが［UI標準の記載通り］であること。</t>
    <rPh sb="0" eb="2">
      <t>モジ</t>
    </rPh>
    <rPh sb="9" eb="11">
      <t>ヒョウジュン</t>
    </rPh>
    <rPh sb="12" eb="14">
      <t>キサイ</t>
    </rPh>
    <rPh sb="14" eb="15">
      <t>ドオ</t>
    </rPh>
    <phoneticPr fontId="2"/>
  </si>
  <si>
    <t>文字色が［UI標準の記載通り］であること。</t>
    <rPh sb="0" eb="2">
      <t>モジ</t>
    </rPh>
    <rPh sb="2" eb="3">
      <t>イロ</t>
    </rPh>
    <rPh sb="7" eb="9">
      <t>ヒョウジュン</t>
    </rPh>
    <rPh sb="10" eb="12">
      <t>キサイ</t>
    </rPh>
    <rPh sb="12" eb="13">
      <t>ドオ</t>
    </rPh>
    <phoneticPr fontId="2"/>
  </si>
  <si>
    <t>背景色が［UI標準の記載通り］であること。</t>
    <rPh sb="0" eb="2">
      <t>ハイケイ</t>
    </rPh>
    <rPh sb="2" eb="3">
      <t>イロ</t>
    </rPh>
    <rPh sb="7" eb="9">
      <t>ヒョウジュン</t>
    </rPh>
    <rPh sb="10" eb="12">
      <t>キサイ</t>
    </rPh>
    <rPh sb="12" eb="13">
      <t>ドオ</t>
    </rPh>
    <phoneticPr fontId="2"/>
  </si>
  <si>
    <t>表示項目の名称が［システム機能設計書の記載通り］であること。</t>
    <rPh sb="0" eb="2">
      <t>ヒョウジ</t>
    </rPh>
    <rPh sb="2" eb="4">
      <t>コウモク</t>
    </rPh>
    <rPh sb="5" eb="7">
      <t>メイショウ</t>
    </rPh>
    <rPh sb="13" eb="15">
      <t>キノウ</t>
    </rPh>
    <rPh sb="15" eb="17">
      <t>セッケイ</t>
    </rPh>
    <rPh sb="17" eb="18">
      <t>ショ</t>
    </rPh>
    <rPh sb="19" eb="21">
      <t>キサイ</t>
    </rPh>
    <rPh sb="21" eb="22">
      <t>ドオ</t>
    </rPh>
    <phoneticPr fontId="2"/>
  </si>
  <si>
    <t>固定表示文言が［システム機能設計書の記載通り］であること。</t>
    <rPh sb="0" eb="2">
      <t>コテイ</t>
    </rPh>
    <rPh sb="2" eb="4">
      <t>ヒョウジ</t>
    </rPh>
    <rPh sb="4" eb="6">
      <t>モンゴン</t>
    </rPh>
    <rPh sb="12" eb="14">
      <t>キノウ</t>
    </rPh>
    <rPh sb="14" eb="16">
      <t>セッケイ</t>
    </rPh>
    <rPh sb="16" eb="17">
      <t>ショ</t>
    </rPh>
    <rPh sb="18" eb="20">
      <t>キサイ</t>
    </rPh>
    <rPh sb="20" eb="21">
      <t>ドオ</t>
    </rPh>
    <phoneticPr fontId="2"/>
  </si>
  <si>
    <t>表示メッセージが［システム機能設計書の記載通り］であること。</t>
    <rPh sb="0" eb="2">
      <t>ヒョウジ</t>
    </rPh>
    <rPh sb="13" eb="15">
      <t>キノウ</t>
    </rPh>
    <rPh sb="15" eb="17">
      <t>セッケイ</t>
    </rPh>
    <rPh sb="17" eb="18">
      <t>ショ</t>
    </rPh>
    <rPh sb="19" eb="21">
      <t>キサイ</t>
    </rPh>
    <rPh sb="21" eb="22">
      <t>ドオ</t>
    </rPh>
    <phoneticPr fontId="2"/>
  </si>
  <si>
    <t>各UI部品の表示位置が［システム機能設計書の記載通り］であること。</t>
    <rPh sb="0" eb="1">
      <t>カク</t>
    </rPh>
    <rPh sb="3" eb="5">
      <t>ブヒン</t>
    </rPh>
    <rPh sb="6" eb="8">
      <t>ヒョウジ</t>
    </rPh>
    <rPh sb="8" eb="10">
      <t>イチ</t>
    </rPh>
    <rPh sb="16" eb="18">
      <t>キノウ</t>
    </rPh>
    <rPh sb="18" eb="20">
      <t>セッケイ</t>
    </rPh>
    <rPh sb="20" eb="21">
      <t>ショ</t>
    </rPh>
    <rPh sb="22" eb="24">
      <t>キサイ</t>
    </rPh>
    <rPh sb="24" eb="25">
      <t>ドオ</t>
    </rPh>
    <phoneticPr fontId="2"/>
  </si>
  <si>
    <t>各UI部品の表示サイズ（幅、高さ、行数）が［システム機能設計書の記載通り］であること。</t>
    <rPh sb="0" eb="1">
      <t>カク</t>
    </rPh>
    <rPh sb="3" eb="5">
      <t>ブヒン</t>
    </rPh>
    <rPh sb="6" eb="8">
      <t>ヒョウジ</t>
    </rPh>
    <rPh sb="12" eb="13">
      <t>ハバ</t>
    </rPh>
    <rPh sb="14" eb="15">
      <t>タカ</t>
    </rPh>
    <rPh sb="17" eb="19">
      <t>ギョウスウ</t>
    </rPh>
    <rPh sb="26" eb="28">
      <t>キノウ</t>
    </rPh>
    <rPh sb="28" eb="30">
      <t>セッケイ</t>
    </rPh>
    <rPh sb="30" eb="31">
      <t>ショ</t>
    </rPh>
    <rPh sb="32" eb="34">
      <t>キサイ</t>
    </rPh>
    <rPh sb="34" eb="35">
      <t>ドオ</t>
    </rPh>
    <phoneticPr fontId="2"/>
  </si>
  <si>
    <t>必須/任意の表示が［システム機能設計書の記載通り］であること。</t>
    <rPh sb="0" eb="2">
      <t>ヒッス</t>
    </rPh>
    <rPh sb="3" eb="5">
      <t>ニンイ</t>
    </rPh>
    <rPh sb="6" eb="8">
      <t>ヒョウジ</t>
    </rPh>
    <rPh sb="14" eb="16">
      <t>キノウ</t>
    </rPh>
    <rPh sb="16" eb="18">
      <t>セッケイ</t>
    </rPh>
    <rPh sb="18" eb="19">
      <t>ショ</t>
    </rPh>
    <rPh sb="20" eb="22">
      <t>キサイ</t>
    </rPh>
    <rPh sb="22" eb="23">
      <t>ドオ</t>
    </rPh>
    <phoneticPr fontId="2"/>
  </si>
  <si>
    <t>画像の表示が［システム機能設計書の記載通り］であること。</t>
    <rPh sb="0" eb="2">
      <t>ガゾウ</t>
    </rPh>
    <rPh sb="3" eb="5">
      <t>ヒョウジ</t>
    </rPh>
    <rPh sb="11" eb="13">
      <t>キノウ</t>
    </rPh>
    <rPh sb="13" eb="15">
      <t>セッケイ</t>
    </rPh>
    <rPh sb="15" eb="16">
      <t>ショ</t>
    </rPh>
    <rPh sb="17" eb="19">
      <t>キサイ</t>
    </rPh>
    <rPh sb="19" eb="20">
      <t>ドオ</t>
    </rPh>
    <phoneticPr fontId="2"/>
  </si>
  <si>
    <t>バナー広告の表示が［システム機能設計書の記載通り］であること。</t>
    <rPh sb="3" eb="5">
      <t>コウコク</t>
    </rPh>
    <rPh sb="6" eb="8">
      <t>ヒョウジ</t>
    </rPh>
    <rPh sb="14" eb="16">
      <t>キノウ</t>
    </rPh>
    <rPh sb="16" eb="18">
      <t>セッケイ</t>
    </rPh>
    <rPh sb="18" eb="19">
      <t>ショ</t>
    </rPh>
    <rPh sb="20" eb="22">
      <t>キサイ</t>
    </rPh>
    <rPh sb="22" eb="23">
      <t>ドオ</t>
    </rPh>
    <phoneticPr fontId="2"/>
  </si>
  <si>
    <t>活性/非活性</t>
    <rPh sb="0" eb="2">
      <t>カッセイ</t>
    </rPh>
    <rPh sb="3" eb="4">
      <t>ヒ</t>
    </rPh>
    <rPh sb="4" eb="6">
      <t>カッセイ</t>
    </rPh>
    <phoneticPr fontId="19"/>
  </si>
  <si>
    <t>活性となる状態の場合、該当UI部品が活性となっていること。</t>
    <rPh sb="0" eb="2">
      <t>カッセイ</t>
    </rPh>
    <rPh sb="5" eb="7">
      <t>ジョウタイ</t>
    </rPh>
    <rPh sb="8" eb="10">
      <t>バアイ</t>
    </rPh>
    <rPh sb="11" eb="13">
      <t>ガイトウ</t>
    </rPh>
    <rPh sb="15" eb="17">
      <t>ブヒン</t>
    </rPh>
    <rPh sb="18" eb="20">
      <t>カッセイ</t>
    </rPh>
    <phoneticPr fontId="19"/>
  </si>
  <si>
    <t>非活性となる状態の場合、該当UI部品が非活性となっていること。</t>
    <rPh sb="0" eb="1">
      <t>ヒ</t>
    </rPh>
    <rPh sb="1" eb="3">
      <t>カッセイ</t>
    </rPh>
    <rPh sb="6" eb="8">
      <t>ジョウタイ</t>
    </rPh>
    <rPh sb="9" eb="11">
      <t>バアイ</t>
    </rPh>
    <rPh sb="12" eb="14">
      <t>ガイトウ</t>
    </rPh>
    <rPh sb="19" eb="20">
      <t>ヒ</t>
    </rPh>
    <rPh sb="20" eb="22">
      <t>カッセイ</t>
    </rPh>
    <phoneticPr fontId="19"/>
  </si>
  <si>
    <t>表示/非表示</t>
    <rPh sb="0" eb="2">
      <t>ヒョウジ</t>
    </rPh>
    <rPh sb="3" eb="6">
      <t>ヒヒョウジ</t>
    </rPh>
    <phoneticPr fontId="19"/>
  </si>
  <si>
    <t>表示の状態の場合、該当項目、文言が表示されること。</t>
    <rPh sb="0" eb="2">
      <t>ヒョウジ</t>
    </rPh>
    <rPh sb="3" eb="5">
      <t>ジョウタイ</t>
    </rPh>
    <rPh sb="6" eb="8">
      <t>バアイ</t>
    </rPh>
    <rPh sb="9" eb="11">
      <t>ガイトウ</t>
    </rPh>
    <rPh sb="11" eb="13">
      <t>コウモク</t>
    </rPh>
    <rPh sb="14" eb="16">
      <t>モンゴン</t>
    </rPh>
    <rPh sb="17" eb="19">
      <t>ヒョウジ</t>
    </rPh>
    <phoneticPr fontId="19"/>
  </si>
  <si>
    <t>非表示の状態の場合、該当項目、文言が表示されないこと。</t>
    <rPh sb="0" eb="1">
      <t>ヒ</t>
    </rPh>
    <rPh sb="1" eb="3">
      <t>ヒョウジ</t>
    </rPh>
    <rPh sb="4" eb="6">
      <t>ジョウタイ</t>
    </rPh>
    <rPh sb="7" eb="9">
      <t>バアイ</t>
    </rPh>
    <rPh sb="10" eb="12">
      <t>ガイトウ</t>
    </rPh>
    <rPh sb="12" eb="14">
      <t>コウモク</t>
    </rPh>
    <rPh sb="15" eb="17">
      <t>モンゴン</t>
    </rPh>
    <rPh sb="18" eb="20">
      <t>ヒョウジ</t>
    </rPh>
    <phoneticPr fontId="19"/>
  </si>
  <si>
    <t>ランダム表示</t>
    <rPh sb="4" eb="6">
      <t>ヒョウジ</t>
    </rPh>
    <phoneticPr fontId="19"/>
  </si>
  <si>
    <t>該当項目について、ランダム表示処理ができること。</t>
    <rPh sb="0" eb="2">
      <t>ガイトウ</t>
    </rPh>
    <rPh sb="2" eb="4">
      <t>コウモク</t>
    </rPh>
    <rPh sb="13" eb="15">
      <t>ヒョウジ</t>
    </rPh>
    <rPh sb="15" eb="17">
      <t>ショリ</t>
    </rPh>
    <phoneticPr fontId="19"/>
  </si>
  <si>
    <t>エラーの場合、そのエラーに対応した画面レイアウトが表示されること。</t>
    <rPh sb="4" eb="6">
      <t>バアイ</t>
    </rPh>
    <rPh sb="13" eb="15">
      <t>タイオウ</t>
    </rPh>
    <rPh sb="17" eb="19">
      <t>ガメン</t>
    </rPh>
    <rPh sb="25" eb="27">
      <t>ヒョウジ</t>
    </rPh>
    <phoneticPr fontId="21"/>
  </si>
  <si>
    <t>エラーの場合、そのエラーに対応したエラーメッセージが表示されること。</t>
    <rPh sb="4" eb="6">
      <t>バアイ</t>
    </rPh>
    <rPh sb="13" eb="15">
      <t>タイオウ</t>
    </rPh>
    <rPh sb="26" eb="28">
      <t>ヒョウジ</t>
    </rPh>
    <phoneticPr fontId="19"/>
  </si>
  <si>
    <t>複数の単項目バリデーションを実施し、その結果をまとめて表示する画面に対し、エラーが複数件発生した場合、対象のエラーがすべて送出されること。</t>
    <rPh sb="27" eb="29">
      <t>ヒョウジ</t>
    </rPh>
    <rPh sb="31" eb="33">
      <t>ガメン</t>
    </rPh>
    <phoneticPr fontId="19"/>
  </si>
  <si>
    <t>複数の単項目バリデーションを実施し、その結果をまとめて表示する画面に対し、エラーが複数件発生した場合、エラーメッセージのソート順が［システム機能設計書の記載通り］であること。</t>
    <rPh sb="63" eb="64">
      <t>ジュン</t>
    </rPh>
    <phoneticPr fontId="19"/>
  </si>
  <si>
    <t>複数の相関バリデーションを実施し、その結果をまとめて表示する画面に対し、エラーが複数件発生した場合、対象のエラーがすべて送出されること。</t>
    <rPh sb="3" eb="5">
      <t>ソウカン</t>
    </rPh>
    <rPh sb="26" eb="28">
      <t>ヒョウジ</t>
    </rPh>
    <rPh sb="30" eb="32">
      <t>ガメン</t>
    </rPh>
    <phoneticPr fontId="19"/>
  </si>
  <si>
    <t>複数の相関バリデーションを実施し、その結果をまとめて表示する画面に対し、エラーが複数件発生した場合、エラーメッセージのソート順が［システム機能設計書の記載通り］であること。</t>
    <rPh sb="3" eb="5">
      <t>ソウカン</t>
    </rPh>
    <rPh sb="62" eb="63">
      <t>ジュン</t>
    </rPh>
    <phoneticPr fontId="19"/>
  </si>
  <si>
    <t>DBとの相関バリデーションを複数実施し、その結果をまとめて表示する画面に対し、エラーが複数件発生した場合、対象のエラーがすべて送出されること。</t>
    <rPh sb="29" eb="31">
      <t>ヒョウジ</t>
    </rPh>
    <rPh sb="33" eb="35">
      <t>ガメン</t>
    </rPh>
    <phoneticPr fontId="19"/>
  </si>
  <si>
    <t>DBとの相関バリデーションを複数実施し、その結果をまとめて表示する画面に対し、エラーが複数件発生した場合、エラーメッセージのソート順が［システム機能設計書の記載通り］であること。</t>
    <rPh sb="65" eb="66">
      <t>ジュン</t>
    </rPh>
    <phoneticPr fontId="19"/>
  </si>
  <si>
    <t>タイムアウトした場合、［システム機能設計書/UI標準の記載通りの挙動］となること。</t>
    <rPh sb="8" eb="10">
      <t>バアイ</t>
    </rPh>
    <phoneticPr fontId="19"/>
  </si>
  <si>
    <t>スタイルシート</t>
    <phoneticPr fontId="2"/>
  </si>
  <si>
    <t>スタイルシートが［システム機能設計書/UI標準の記載通りの挙動］となること。</t>
    <rPh sb="13" eb="15">
      <t>キノウ</t>
    </rPh>
    <rPh sb="15" eb="17">
      <t>セッケイ</t>
    </rPh>
    <rPh sb="17" eb="18">
      <t>ショ</t>
    </rPh>
    <rPh sb="21" eb="23">
      <t>ヒョウジュン</t>
    </rPh>
    <rPh sb="24" eb="26">
      <t>キサイ</t>
    </rPh>
    <rPh sb="26" eb="27">
      <t>ドオ</t>
    </rPh>
    <rPh sb="29" eb="31">
      <t>キョドウ</t>
    </rPh>
    <phoneticPr fontId="2"/>
  </si>
  <si>
    <t>JavaScriptエラー</t>
    <phoneticPr fontId="19"/>
  </si>
  <si>
    <t>JavaScriptエラーが発生しないこと。</t>
    <rPh sb="14" eb="16">
      <t>ハッセイ</t>
    </rPh>
    <phoneticPr fontId="19"/>
  </si>
  <si>
    <t>UI部品</t>
    <rPh sb="2" eb="4">
      <t>ブヒン</t>
    </rPh>
    <phoneticPr fontId="19"/>
  </si>
  <si>
    <t>使用しているUI部品の種類が、［システム機能設計書の記載通り］であること。</t>
    <rPh sb="0" eb="2">
      <t>シヨウ</t>
    </rPh>
    <rPh sb="8" eb="10">
      <t>ブヒン</t>
    </rPh>
    <rPh sb="11" eb="13">
      <t>シュルイ</t>
    </rPh>
    <phoneticPr fontId="19"/>
  </si>
  <si>
    <t>データ</t>
    <phoneticPr fontId="19"/>
  </si>
  <si>
    <t>UI部品で表示するデフォルト値が［システム機能設計書の記載通り］であること。</t>
    <rPh sb="2" eb="4">
      <t>ブヒン</t>
    </rPh>
    <rPh sb="5" eb="7">
      <t>ヒョウジ</t>
    </rPh>
    <rPh sb="14" eb="15">
      <t>チ</t>
    </rPh>
    <phoneticPr fontId="19"/>
  </si>
  <si>
    <t>UI部品で表示するデータの取得元が［システム機能設計書の記載通り］であること。</t>
    <rPh sb="2" eb="4">
      <t>ブヒン</t>
    </rPh>
    <rPh sb="5" eb="7">
      <t>ヒョウジ</t>
    </rPh>
    <rPh sb="13" eb="15">
      <t>シュトク</t>
    </rPh>
    <rPh sb="15" eb="16">
      <t>モト</t>
    </rPh>
    <phoneticPr fontId="19"/>
  </si>
  <si>
    <t>UI部品で表示するデータの編集仕様が［システム機能設計書の記載通り］であること。</t>
    <rPh sb="2" eb="4">
      <t>ブヒン</t>
    </rPh>
    <rPh sb="5" eb="7">
      <t>ヒョウジ</t>
    </rPh>
    <rPh sb="13" eb="15">
      <t>ヘンシュウ</t>
    </rPh>
    <rPh sb="15" eb="17">
      <t>シヨウ</t>
    </rPh>
    <phoneticPr fontId="19"/>
  </si>
  <si>
    <t>UI部品で表示するデータのソート順が［システム機能設計書の記載通り］であること。</t>
    <rPh sb="2" eb="4">
      <t>ブヒン</t>
    </rPh>
    <rPh sb="5" eb="7">
      <t>ヒョウジ</t>
    </rPh>
    <rPh sb="16" eb="17">
      <t>ジュン</t>
    </rPh>
    <phoneticPr fontId="19"/>
  </si>
  <si>
    <t>一覧</t>
    <rPh sb="0" eb="2">
      <t>イチラン</t>
    </rPh>
    <phoneticPr fontId="2"/>
  </si>
  <si>
    <t>一覧の表示可能件数が上限以内であること。</t>
    <rPh sb="0" eb="2">
      <t>イチラン</t>
    </rPh>
    <rPh sb="5" eb="7">
      <t>カノウ</t>
    </rPh>
    <rPh sb="10" eb="12">
      <t>ジョウゲン</t>
    </rPh>
    <phoneticPr fontId="2"/>
  </si>
  <si>
    <t>一覧の表示件数が上限を超えた場合、ページングされること。</t>
    <rPh sb="0" eb="2">
      <t>イチラン</t>
    </rPh>
    <rPh sb="3" eb="5">
      <t>ヒョウジ</t>
    </rPh>
    <rPh sb="5" eb="7">
      <t>ケンスウ</t>
    </rPh>
    <rPh sb="8" eb="10">
      <t>ジョウゲン</t>
    </rPh>
    <rPh sb="11" eb="12">
      <t>コ</t>
    </rPh>
    <rPh sb="14" eb="16">
      <t>バアイ</t>
    </rPh>
    <phoneticPr fontId="19"/>
  </si>
  <si>
    <t>一覧に表示されるデータのソート順が［システム機能設計書の記載通り］であること。</t>
    <rPh sb="0" eb="2">
      <t>イチラン</t>
    </rPh>
    <rPh sb="3" eb="5">
      <t>ヒョウジ</t>
    </rPh>
    <rPh sb="15" eb="16">
      <t>ジュン</t>
    </rPh>
    <phoneticPr fontId="19"/>
  </si>
  <si>
    <t>画面表示データ</t>
    <rPh sb="0" eb="2">
      <t>ガメン</t>
    </rPh>
    <rPh sb="2" eb="4">
      <t>ヒョウジ</t>
    </rPh>
    <phoneticPr fontId="2"/>
  </si>
  <si>
    <t>画面に表示されるデータの取得元が［システム機能設計書の記載通り］であること。</t>
    <rPh sb="0" eb="2">
      <t>ガメン</t>
    </rPh>
    <rPh sb="3" eb="5">
      <t>ヒョウジ</t>
    </rPh>
    <rPh sb="12" eb="14">
      <t>シュトク</t>
    </rPh>
    <rPh sb="14" eb="15">
      <t>モト</t>
    </rPh>
    <phoneticPr fontId="19"/>
  </si>
  <si>
    <t>画面に表示されるデータが最大長の場合、エラーとならないこと。</t>
    <rPh sb="0" eb="2">
      <t>ガメン</t>
    </rPh>
    <rPh sb="3" eb="5">
      <t>ヒョウジ</t>
    </rPh>
    <rPh sb="12" eb="14">
      <t>サイダイ</t>
    </rPh>
    <rPh sb="14" eb="15">
      <t>チョウ</t>
    </rPh>
    <rPh sb="16" eb="18">
      <t>バアイ</t>
    </rPh>
    <phoneticPr fontId="19"/>
  </si>
  <si>
    <t>画面に表示されるデータが最大長の場合、レイアウト崩れがないこと。</t>
    <rPh sb="0" eb="2">
      <t>ガメン</t>
    </rPh>
    <rPh sb="3" eb="5">
      <t>ヒョウジ</t>
    </rPh>
    <rPh sb="12" eb="14">
      <t>サイダイ</t>
    </rPh>
    <rPh sb="14" eb="15">
      <t>チョウ</t>
    </rPh>
    <rPh sb="16" eb="18">
      <t>バアイ</t>
    </rPh>
    <rPh sb="24" eb="25">
      <t>クズ</t>
    </rPh>
    <phoneticPr fontId="19"/>
  </si>
  <si>
    <t>画面に表示されるデータが最小長の場合、エラーとならないこと。</t>
    <rPh sb="0" eb="2">
      <t>ガメン</t>
    </rPh>
    <rPh sb="3" eb="5">
      <t>ヒョウジ</t>
    </rPh>
    <rPh sb="12" eb="14">
      <t>サイショウ</t>
    </rPh>
    <rPh sb="14" eb="15">
      <t>チョウ</t>
    </rPh>
    <rPh sb="16" eb="18">
      <t>バアイ</t>
    </rPh>
    <phoneticPr fontId="19"/>
  </si>
  <si>
    <t>画面に表示されるデータが取得できない場合、［システム機能設計書の記載通りの挙動］となること。</t>
    <rPh sb="0" eb="2">
      <t>ガメン</t>
    </rPh>
    <rPh sb="3" eb="5">
      <t>ヒョウジ</t>
    </rPh>
    <rPh sb="12" eb="14">
      <t>シュトク</t>
    </rPh>
    <rPh sb="18" eb="20">
      <t>バアイ</t>
    </rPh>
    <rPh sb="26" eb="31">
      <t>キノウセッケイショ</t>
    </rPh>
    <rPh sb="32" eb="35">
      <t>キサイドオ</t>
    </rPh>
    <rPh sb="37" eb="39">
      <t>キョドウ</t>
    </rPh>
    <phoneticPr fontId="19"/>
  </si>
  <si>
    <t>サロゲートペア文字を許容する設計となっている場合、サロゲートペア文字を含む値を表示した結果がエラーとならないこと。</t>
    <rPh sb="39" eb="41">
      <t>ヒョウジ</t>
    </rPh>
    <phoneticPr fontId="19"/>
  </si>
  <si>
    <t>画面に表示されるデータの件数が最大件数の場合、エラーとならないこと。</t>
    <rPh sb="0" eb="2">
      <t>ガメン</t>
    </rPh>
    <rPh sb="3" eb="5">
      <t>ヒョウジ</t>
    </rPh>
    <rPh sb="12" eb="14">
      <t>ケンスウ</t>
    </rPh>
    <rPh sb="15" eb="17">
      <t>サイダイ</t>
    </rPh>
    <rPh sb="17" eb="19">
      <t>ケンスウ</t>
    </rPh>
    <rPh sb="20" eb="22">
      <t>バアイ</t>
    </rPh>
    <phoneticPr fontId="19"/>
  </si>
  <si>
    <t>画面に表示されるデータの件数が最大件数+1の場合、［システム機能設計書の記載通りの挙動］となること。</t>
    <rPh sb="0" eb="2">
      <t>ガメン</t>
    </rPh>
    <rPh sb="3" eb="5">
      <t>ヒョウジ</t>
    </rPh>
    <rPh sb="12" eb="14">
      <t>ケンスウ</t>
    </rPh>
    <rPh sb="15" eb="17">
      <t>サイダイ</t>
    </rPh>
    <rPh sb="17" eb="19">
      <t>ケンスウ</t>
    </rPh>
    <rPh sb="22" eb="24">
      <t>バアイ</t>
    </rPh>
    <phoneticPr fontId="19"/>
  </si>
  <si>
    <t>画面に表示されるデータの件数が最小件数の場合、エラーとならないこと。</t>
    <rPh sb="0" eb="2">
      <t>ガメン</t>
    </rPh>
    <rPh sb="3" eb="5">
      <t>ヒョウジ</t>
    </rPh>
    <rPh sb="12" eb="14">
      <t>ケンスウ</t>
    </rPh>
    <rPh sb="15" eb="17">
      <t>サイショウ</t>
    </rPh>
    <rPh sb="17" eb="19">
      <t>ケンスウ</t>
    </rPh>
    <rPh sb="20" eb="22">
      <t>バアイ</t>
    </rPh>
    <phoneticPr fontId="19"/>
  </si>
  <si>
    <t>画面に表示されるデータの件数が最小件数-1の場合、［システム機能設計書の記載通りの挙動］となること。</t>
    <rPh sb="0" eb="2">
      <t>ガメン</t>
    </rPh>
    <rPh sb="3" eb="5">
      <t>ヒョウジ</t>
    </rPh>
    <rPh sb="12" eb="14">
      <t>ケンスウ</t>
    </rPh>
    <rPh sb="15" eb="17">
      <t>サイショウ</t>
    </rPh>
    <rPh sb="17" eb="19">
      <t>ケンスウ</t>
    </rPh>
    <rPh sb="22" eb="24">
      <t>バアイ</t>
    </rPh>
    <phoneticPr fontId="19"/>
  </si>
  <si>
    <t>画面に表示されるデータの件数が0件の場合、［システム機能設計書の記載通りの挙動］となること。</t>
    <rPh sb="0" eb="2">
      <t>ガメン</t>
    </rPh>
    <rPh sb="3" eb="5">
      <t>ヒョウジ</t>
    </rPh>
    <rPh sb="12" eb="14">
      <t>ケンスウ</t>
    </rPh>
    <rPh sb="16" eb="17">
      <t>ケン</t>
    </rPh>
    <rPh sb="18" eb="20">
      <t>バアイ</t>
    </rPh>
    <phoneticPr fontId="19"/>
  </si>
  <si>
    <t>画面に表示されるデータの編集仕様が［システム機能設計書の記載通り］であること。</t>
    <rPh sb="12" eb="14">
      <t>ヘンシュウ</t>
    </rPh>
    <rPh sb="14" eb="16">
      <t>シヨウ</t>
    </rPh>
    <rPh sb="22" eb="24">
      <t>キノウ</t>
    </rPh>
    <rPh sb="24" eb="26">
      <t>セッケイ</t>
    </rPh>
    <rPh sb="26" eb="27">
      <t>ショ</t>
    </rPh>
    <rPh sb="28" eb="30">
      <t>キサイ</t>
    </rPh>
    <rPh sb="30" eb="31">
      <t>ドオ</t>
    </rPh>
    <phoneticPr fontId="19"/>
  </si>
  <si>
    <t>画面に表示されるデータのソート順が［システム機能設計書の記載通り］であること。</t>
    <rPh sb="15" eb="16">
      <t>ジュン</t>
    </rPh>
    <rPh sb="22" eb="24">
      <t>キノウ</t>
    </rPh>
    <rPh sb="24" eb="26">
      <t>セッケイ</t>
    </rPh>
    <rPh sb="26" eb="27">
      <t>ショ</t>
    </rPh>
    <rPh sb="28" eb="30">
      <t>キサイ</t>
    </rPh>
    <rPh sb="30" eb="31">
      <t>ドオ</t>
    </rPh>
    <phoneticPr fontId="19"/>
  </si>
  <si>
    <t>画面に表示されるデータに改行が含まれる場合、［システム機能設計書の記載通りの挙動］となること。</t>
    <rPh sb="0" eb="2">
      <t>ガメン</t>
    </rPh>
    <rPh sb="3" eb="5">
      <t>ヒョウジ</t>
    </rPh>
    <rPh sb="12" eb="14">
      <t>カイギョウ</t>
    </rPh>
    <rPh sb="15" eb="16">
      <t>フク</t>
    </rPh>
    <rPh sb="19" eb="21">
      <t>バアイ</t>
    </rPh>
    <phoneticPr fontId="19"/>
  </si>
  <si>
    <t>取得した値を変換する設計となっている場合、表示された値が［システム機能設計書の記載通り］であること。</t>
    <rPh sb="21" eb="23">
      <t>ヒョウジ</t>
    </rPh>
    <phoneticPr fontId="19"/>
  </si>
  <si>
    <t>取得した値を編集する処理が分岐する設計となっている場合、表示された値が［システム機能設計書の記載通り］であること。</t>
    <rPh sb="6" eb="8">
      <t>ヘンシュウ</t>
    </rPh>
    <rPh sb="10" eb="12">
      <t>ショリ</t>
    </rPh>
    <rPh sb="13" eb="15">
      <t>ブンキ</t>
    </rPh>
    <rPh sb="17" eb="19">
      <t>セッケイ</t>
    </rPh>
    <rPh sb="25" eb="27">
      <t>バアイ</t>
    </rPh>
    <phoneticPr fontId="19"/>
  </si>
  <si>
    <t>ループ処理によって、取得した値の編集を繰り返す設計となっている場合、表示された値が［システム機能設計書の記載通り］であること。</t>
    <phoneticPr fontId="19"/>
  </si>
  <si>
    <t>取得した値を使用して計算する設計となっている場合、表示された値が［システム機能設計書の記載通り］であること。</t>
    <rPh sb="0" eb="2">
      <t>シュトク</t>
    </rPh>
    <rPh sb="4" eb="5">
      <t>アタイ</t>
    </rPh>
    <rPh sb="6" eb="8">
      <t>シヨウ</t>
    </rPh>
    <rPh sb="10" eb="12">
      <t>ケイサン</t>
    </rPh>
    <rPh sb="14" eb="16">
      <t>セッケイ</t>
    </rPh>
    <rPh sb="22" eb="24">
      <t>バアイ</t>
    </rPh>
    <phoneticPr fontId="19"/>
  </si>
  <si>
    <t>取得した値を連結する設計となっている場合、表示された値が［システム機能設計書の記載通り］であること。</t>
    <rPh sb="0" eb="2">
      <t>シュトク</t>
    </rPh>
    <rPh sb="4" eb="5">
      <t>アタイ</t>
    </rPh>
    <rPh sb="6" eb="8">
      <t>レンケツ</t>
    </rPh>
    <rPh sb="10" eb="12">
      <t>セッケイ</t>
    </rPh>
    <rPh sb="18" eb="20">
      <t>バアイ</t>
    </rPh>
    <phoneticPr fontId="19"/>
  </si>
  <si>
    <t>取得した値を暗号化する設計となっている場合、表示された値が暗号化されること。</t>
    <rPh sb="0" eb="2">
      <t>シュトク</t>
    </rPh>
    <rPh sb="4" eb="5">
      <t>アタイ</t>
    </rPh>
    <rPh sb="6" eb="9">
      <t>アンゴウカ</t>
    </rPh>
    <rPh sb="11" eb="13">
      <t>セッケイ</t>
    </rPh>
    <rPh sb="19" eb="21">
      <t>バアイ</t>
    </rPh>
    <rPh sb="22" eb="24">
      <t>ヒョウジ</t>
    </rPh>
    <rPh sb="27" eb="28">
      <t>アタイ</t>
    </rPh>
    <rPh sb="29" eb="32">
      <t>アンゴウカ</t>
    </rPh>
    <phoneticPr fontId="19"/>
  </si>
  <si>
    <t>取得した値をマスキングする設計となっている場合、表示された値がマスキングされること。</t>
    <rPh sb="0" eb="2">
      <t>シュトク</t>
    </rPh>
    <rPh sb="4" eb="5">
      <t>アタイ</t>
    </rPh>
    <rPh sb="13" eb="15">
      <t>セッケイ</t>
    </rPh>
    <rPh sb="21" eb="23">
      <t>バアイ</t>
    </rPh>
    <rPh sb="24" eb="26">
      <t>ヒョウジ</t>
    </rPh>
    <rPh sb="29" eb="30">
      <t>アタイ</t>
    </rPh>
    <phoneticPr fontId="19"/>
  </si>
  <si>
    <t>画面操作</t>
  </si>
  <si>
    <t>イベント実行結果</t>
    <rPh sb="4" eb="6">
      <t>ジッコウ</t>
    </rPh>
    <rPh sb="6" eb="8">
      <t>ケッカ</t>
    </rPh>
    <phoneticPr fontId="19"/>
  </si>
  <si>
    <t>入力済みの項目をクリアする処理がある場合、対象項目がクリアされること。</t>
    <phoneticPr fontId="2"/>
  </si>
  <si>
    <t>表示されたデータをソートする処理がある場合、ソート順が［UI標準/システム機能設計書の記載通り］であること。</t>
    <phoneticPr fontId="2"/>
  </si>
  <si>
    <t>ブラウザのウィンドウサイズについて、変更可否が［UI標準の記載通り］であること。</t>
    <phoneticPr fontId="2"/>
  </si>
  <si>
    <t>ブラウザのウィンドウサイズを変更して、レイアウト崩れがないこと。</t>
    <phoneticPr fontId="2"/>
  </si>
  <si>
    <t>フォーカスの移動（Tabキー押下による入力フィールドの移動）が、［UI標準の記載通り］であること。</t>
    <phoneticPr fontId="2"/>
  </si>
  <si>
    <t>UI部品</t>
    <phoneticPr fontId="2"/>
  </si>
  <si>
    <t>ボタンは、二度押し防止の制御がされていること。</t>
  </si>
  <si>
    <t>ラジオボタンで選択可能なデータは1つであること。</t>
  </si>
  <si>
    <t>テキスト入力が可能なUI部品は、デフォルトで指定された入力方式（ひらがな入力など）が［UI標準の記載通り］であること。</t>
  </si>
  <si>
    <t>テキスト入力が可能なUI部品に最大長を入力した場合、レイアウト崩れがないこと。</t>
  </si>
  <si>
    <t>ページングされた一覧がページ切り替えできること。</t>
  </si>
  <si>
    <t>遷移結果</t>
  </si>
  <si>
    <t>画面遷移</t>
    <rPh sb="0" eb="2">
      <t>ガメン</t>
    </rPh>
    <rPh sb="2" eb="4">
      <t>センイ</t>
    </rPh>
    <phoneticPr fontId="19"/>
  </si>
  <si>
    <t>正常処理時の遷移先URLが［画面遷移図の記載通り］であること。</t>
    <phoneticPr fontId="2"/>
  </si>
  <si>
    <t>異常処理時の遷移先URLが［画面遷移図の記載通り］であること。</t>
  </si>
  <si>
    <t>遷移先の画面が同ウィンドウで開かれること。</t>
  </si>
  <si>
    <t>遷移先の画面が別ウィンドウで開かれること。</t>
  </si>
  <si>
    <t>ブラウザの「戻る」ボタン押下時の遷移が［画面遷移図の記載通り］であること。</t>
  </si>
  <si>
    <t>異常処理後の正常処理など、処理の連続実行を行った場合の遷移が［画面遷移図の記載通り］であること。</t>
  </si>
  <si>
    <t>URL直接アクセス</t>
  </si>
  <si>
    <t>URLを直接指定しアクセスした場合の遷移が［画面遷移図の記載通り］であること。</t>
  </si>
  <si>
    <t>HTTPステータス</t>
  </si>
  <si>
    <t>画面遷移の結果に応じたHTTPステータスコードとなること。</t>
  </si>
  <si>
    <t>ブラウザキャッシュ</t>
  </si>
  <si>
    <t>ブラウザのキャッシュ保持が［UI標準の記載通り］であること。</t>
    <phoneticPr fontId="2"/>
  </si>
  <si>
    <t>データベースアクセス</t>
    <phoneticPr fontId="21"/>
  </si>
  <si>
    <t>DB操作</t>
    <rPh sb="2" eb="4">
      <t>ソウサ</t>
    </rPh>
    <phoneticPr fontId="21"/>
  </si>
  <si>
    <t>二重サブミット防止</t>
    <rPh sb="0" eb="2">
      <t>ニジュウ</t>
    </rPh>
    <rPh sb="7" eb="9">
      <t>ボウシ</t>
    </rPh>
    <phoneticPr fontId="21"/>
  </si>
  <si>
    <t>DB更新後、一度前画面に戻り、再びDB更新のある画面へ遷移した場合、再度DBが更新されないこと。</t>
    <rPh sb="2" eb="4">
      <t>コウシン</t>
    </rPh>
    <rPh sb="4" eb="5">
      <t>ゴ</t>
    </rPh>
    <rPh sb="6" eb="8">
      <t>イチド</t>
    </rPh>
    <rPh sb="8" eb="9">
      <t>ゼン</t>
    </rPh>
    <rPh sb="9" eb="11">
      <t>ガメン</t>
    </rPh>
    <rPh sb="12" eb="13">
      <t>モド</t>
    </rPh>
    <rPh sb="15" eb="16">
      <t>フタタ</t>
    </rPh>
    <rPh sb="19" eb="21">
      <t>コウシン</t>
    </rPh>
    <rPh sb="24" eb="26">
      <t>ガメン</t>
    </rPh>
    <rPh sb="27" eb="29">
      <t>センイ</t>
    </rPh>
    <rPh sb="31" eb="33">
      <t>バアイ</t>
    </rPh>
    <rPh sb="34" eb="36">
      <t>サイド</t>
    </rPh>
    <rPh sb="39" eb="41">
      <t>コウシン</t>
    </rPh>
    <phoneticPr fontId="21"/>
  </si>
  <si>
    <t>DB更新後、同画面の更新を行った場合、再度DBが更新されないこと。</t>
    <rPh sb="2" eb="4">
      <t>コウシン</t>
    </rPh>
    <rPh sb="4" eb="5">
      <t>ゴ</t>
    </rPh>
    <rPh sb="6" eb="7">
      <t>ドウ</t>
    </rPh>
    <rPh sb="7" eb="9">
      <t>ガメン</t>
    </rPh>
    <rPh sb="10" eb="12">
      <t>コウシン</t>
    </rPh>
    <rPh sb="13" eb="14">
      <t>オコナ</t>
    </rPh>
    <rPh sb="16" eb="18">
      <t>バアイ</t>
    </rPh>
    <rPh sb="19" eb="21">
      <t>サイド</t>
    </rPh>
    <rPh sb="24" eb="26">
      <t>コウシン</t>
    </rPh>
    <phoneticPr fontId="21"/>
  </si>
  <si>
    <t>ケースNo.</t>
    <phoneticPr fontId="4"/>
  </si>
  <si>
    <t>サンプルプロジェクト</t>
    <phoneticPr fontId="2"/>
  </si>
  <si>
    <t>サンプルシステム</t>
    <phoneticPr fontId="2"/>
  </si>
  <si>
    <t>プロジェクト管理システム</t>
    <rPh sb="6" eb="8">
      <t>カンリ</t>
    </rPh>
    <phoneticPr fontId="2"/>
  </si>
  <si>
    <t>サブシステム名：プロジェクト管理システム</t>
    <rPh sb="6" eb="7">
      <t>メイ</t>
    </rPh>
    <phoneticPr fontId="2"/>
  </si>
  <si>
    <t>アノテーションを机上確認するため対象外</t>
    <rPh sb="8" eb="10">
      <t>キジョウ</t>
    </rPh>
    <rPh sb="10" eb="12">
      <t>カクニン</t>
    </rPh>
    <rPh sb="16" eb="19">
      <t>タイショウガイ</t>
    </rPh>
    <phoneticPr fontId="2"/>
  </si>
  <si>
    <t>共通コンポーネントのクラス単体テストで実施するため対象外</t>
    <rPh sb="0" eb="2">
      <t>キョウツウ</t>
    </rPh>
    <rPh sb="13" eb="15">
      <t>タンタイ</t>
    </rPh>
    <rPh sb="19" eb="21">
      <t>ジッシ</t>
    </rPh>
    <rPh sb="25" eb="28">
      <t>タイショウガイ</t>
    </rPh>
    <phoneticPr fontId="2"/>
  </si>
  <si>
    <t>クラス単体テストではデータベースアクセスはスタブ化する方針のため対象外</t>
    <rPh sb="32" eb="35">
      <t>タイショウガイ</t>
    </rPh>
    <phoneticPr fontId="2"/>
  </si>
  <si>
    <t>サロゲートペアは許容しないので対象外</t>
    <rPh sb="8" eb="10">
      <t>キョヨウ</t>
    </rPh>
    <rPh sb="15" eb="18">
      <t>タイショウガイ</t>
    </rPh>
    <phoneticPr fontId="2"/>
  </si>
  <si>
    <t>サンプルプロジェクトではマルチレイアウトのファイルアップロード機能は無いため対象外</t>
    <rPh sb="31" eb="33">
      <t>キノウ</t>
    </rPh>
    <rPh sb="34" eb="35">
      <t>ナ</t>
    </rPh>
    <rPh sb="38" eb="41">
      <t>タイショウガイ</t>
    </rPh>
    <phoneticPr fontId="2"/>
  </si>
  <si>
    <t>サンプルプロジェクトにはファイルシステム上へのファイル出力機能は無いため対象外</t>
    <rPh sb="20" eb="21">
      <t>ジョウ</t>
    </rPh>
    <rPh sb="27" eb="29">
      <t>シュツリョク</t>
    </rPh>
    <rPh sb="29" eb="31">
      <t>キノウ</t>
    </rPh>
    <rPh sb="32" eb="33">
      <t>ナ</t>
    </rPh>
    <rPh sb="36" eb="39">
      <t>タイショウガイ</t>
    </rPh>
    <phoneticPr fontId="2"/>
  </si>
  <si>
    <t>クラス単体テストでは確認できないので対象外</t>
    <rPh sb="3" eb="5">
      <t>タンタイ</t>
    </rPh>
    <rPh sb="10" eb="12">
      <t>カクニン</t>
    </rPh>
    <rPh sb="18" eb="21">
      <t>タイショウガイ</t>
    </rPh>
    <phoneticPr fontId="2"/>
  </si>
  <si>
    <t>サンプルプロジェクトにはマルチレイアウトのファイル出力機能は無いので対象外</t>
    <rPh sb="25" eb="27">
      <t>シュツリョク</t>
    </rPh>
    <rPh sb="27" eb="29">
      <t>キノウ</t>
    </rPh>
    <rPh sb="30" eb="31">
      <t>ナ</t>
    </rPh>
    <rPh sb="34" eb="37">
      <t>タイショウガイ</t>
    </rPh>
    <phoneticPr fontId="2"/>
  </si>
  <si>
    <t>サンプルプロジェクトには帳票出力機能は無いので対象外</t>
    <rPh sb="12" eb="16">
      <t>チョウヒョウシュツリョク</t>
    </rPh>
    <rPh sb="16" eb="18">
      <t>キノウ</t>
    </rPh>
    <rPh sb="19" eb="20">
      <t>ナ</t>
    </rPh>
    <rPh sb="23" eb="26">
      <t>タイショウガイ</t>
    </rPh>
    <phoneticPr fontId="2"/>
  </si>
  <si>
    <t>サンプルプロジェクトには画像出力機能は無いので対象外</t>
    <rPh sb="12" eb="16">
      <t>ガゾウシュツリョク</t>
    </rPh>
    <rPh sb="16" eb="18">
      <t>キノウ</t>
    </rPh>
    <rPh sb="19" eb="20">
      <t>ナ</t>
    </rPh>
    <rPh sb="23" eb="26">
      <t>タイショウガイ</t>
    </rPh>
    <phoneticPr fontId="2"/>
  </si>
  <si>
    <t>サンプルプロジェクトにはファイル操作機能が無いため対象外</t>
    <rPh sb="16" eb="18">
      <t>ソウサ</t>
    </rPh>
    <rPh sb="18" eb="20">
      <t>キノウ</t>
    </rPh>
    <rPh sb="21" eb="22">
      <t>ナ</t>
    </rPh>
    <phoneticPr fontId="2"/>
  </si>
  <si>
    <t>サンプルプロジェクトにはメール処理が無いため対象外</t>
    <rPh sb="15" eb="17">
      <t>ショリ</t>
    </rPh>
    <phoneticPr fontId="2"/>
  </si>
  <si>
    <t>処理方式が異なるので対象外</t>
    <rPh sb="0" eb="4">
      <t>ショリホウシキ</t>
    </rPh>
    <rPh sb="5" eb="6">
      <t>コト</t>
    </rPh>
    <rPh sb="10" eb="13">
      <t>タイショウガイ</t>
    </rPh>
    <phoneticPr fontId="2"/>
  </si>
  <si>
    <t>URL直接入力
※ログイン画面等、直接URLを入力する想定の画面のみ実施</t>
    <rPh sb="3" eb="5">
      <t>チョクセツ</t>
    </rPh>
    <rPh sb="5" eb="7">
      <t>ニュウリョク</t>
    </rPh>
    <phoneticPr fontId="2"/>
  </si>
  <si>
    <t>リクエスト単体テストで確認するので対象外</t>
    <phoneticPr fontId="2"/>
  </si>
  <si>
    <t>処理仕様</t>
    <rPh sb="0" eb="2">
      <t>ショリ</t>
    </rPh>
    <rPh sb="2" eb="4">
      <t>シヨウ</t>
    </rPh>
    <phoneticPr fontId="4"/>
  </si>
  <si>
    <t>2重サブミット防止（クライアントサイド）</t>
    <rPh sb="1" eb="2">
      <t>ジュウ</t>
    </rPh>
    <rPh sb="7" eb="9">
      <t>ボウシ</t>
    </rPh>
    <phoneticPr fontId="2"/>
  </si>
  <si>
    <t>ブラウザキャッシュ制御</t>
    <rPh sb="9" eb="11">
      <t>セイギョ</t>
    </rPh>
    <phoneticPr fontId="2"/>
  </si>
  <si>
    <t>入力精査実施</t>
    <rPh sb="0" eb="4">
      <t>ニュウリョクセイサ</t>
    </rPh>
    <rPh sb="4" eb="6">
      <t>ジッシ</t>
    </rPh>
    <phoneticPr fontId="2"/>
  </si>
  <si>
    <t>Formで完結するバリデーション</t>
    <rPh sb="5" eb="7">
      <t>カンケツ</t>
    </rPh>
    <phoneticPr fontId="2"/>
  </si>
  <si>
    <t>精査エラー無し</t>
    <phoneticPr fontId="2"/>
  </si>
  <si>
    <t>精査エラー有り</t>
    <phoneticPr fontId="2"/>
  </si>
  <si>
    <t>Formで完結しないバリデーション</t>
    <rPh sb="5" eb="7">
      <t>カンケツ</t>
    </rPh>
    <phoneticPr fontId="2"/>
  </si>
  <si>
    <t>UI部品動作確認</t>
    <rPh sb="2" eb="4">
      <t>ブヒン</t>
    </rPh>
    <rPh sb="4" eb="6">
      <t>ドウサ</t>
    </rPh>
    <rPh sb="6" eb="8">
      <t>カクニン</t>
    </rPh>
    <phoneticPr fontId="2"/>
  </si>
  <si>
    <t>UI部品</t>
    <rPh sb="2" eb="4">
      <t>ブヒン</t>
    </rPh>
    <phoneticPr fontId="2"/>
  </si>
  <si>
    <t>テスト不要
アーキがテストをするため</t>
    <phoneticPr fontId="2"/>
  </si>
  <si>
    <t>JavaScriptエラーチェック</t>
    <phoneticPr fontId="2"/>
  </si>
  <si>
    <t>同上</t>
    <rPh sb="0" eb="2">
      <t>ドウジョウ</t>
    </rPh>
    <phoneticPr fontId="2"/>
  </si>
  <si>
    <t>机上で確認済。対象外</t>
    <rPh sb="0" eb="2">
      <t>キジョウ</t>
    </rPh>
    <rPh sb="3" eb="5">
      <t>カクニン</t>
    </rPh>
    <rPh sb="5" eb="6">
      <t>スミ</t>
    </rPh>
    <rPh sb="7" eb="10">
      <t>タイショウガイ</t>
    </rPh>
    <phoneticPr fontId="2"/>
  </si>
  <si>
    <t>クラス単体で確認済。対象外</t>
    <rPh sb="3" eb="5">
      <t>タンタイ</t>
    </rPh>
    <rPh sb="6" eb="8">
      <t>カクニン</t>
    </rPh>
    <rPh sb="8" eb="9">
      <t>スミ</t>
    </rPh>
    <rPh sb="10" eb="13">
      <t>タイショウガイ</t>
    </rPh>
    <phoneticPr fontId="2"/>
  </si>
  <si>
    <t>クラス単体テストで確認済みのため対象外</t>
    <rPh sb="3" eb="5">
      <t>タンタイ</t>
    </rPh>
    <rPh sb="9" eb="12">
      <t>カクニンズ</t>
    </rPh>
    <rPh sb="16" eb="19">
      <t>タイショウガイ</t>
    </rPh>
    <phoneticPr fontId="2"/>
  </si>
  <si>
    <t>サンプルプロジェクトにメール処理が無いため対象外</t>
    <rPh sb="14" eb="16">
      <t>ショリ</t>
    </rPh>
    <rPh sb="17" eb="18">
      <t>ナ</t>
    </rPh>
    <rPh sb="21" eb="24">
      <t>タイショウガイ</t>
    </rPh>
    <phoneticPr fontId="2"/>
  </si>
  <si>
    <t>サイズ固定とはしないので対象外</t>
    <phoneticPr fontId="2"/>
  </si>
  <si>
    <t>サンプルプロジェクトにはバナー広告はないため対象外</t>
    <rPh sb="15" eb="17">
      <t>コウコク</t>
    </rPh>
    <rPh sb="22" eb="25">
      <t>タイショウガイ</t>
    </rPh>
    <phoneticPr fontId="2"/>
  </si>
  <si>
    <t>Tabキーによるフォーカスの移動はブラウザ標準の挙動に任せるため対象外</t>
    <rPh sb="14" eb="16">
      <t>イドウ</t>
    </rPh>
    <rPh sb="21" eb="23">
      <t>ヒョウジュン</t>
    </rPh>
    <rPh sb="24" eb="26">
      <t>キョドウ</t>
    </rPh>
    <rPh sb="27" eb="28">
      <t>マカ</t>
    </rPh>
    <rPh sb="32" eb="35">
      <t>タイショウガイ</t>
    </rPh>
    <phoneticPr fontId="2"/>
  </si>
  <si>
    <t>IME制御は行わないので対象外</t>
    <phoneticPr fontId="2"/>
  </si>
  <si>
    <t>ブラウザの戻るは動作保証しない方針なので対象外</t>
    <rPh sb="5" eb="6">
      <t>モド</t>
    </rPh>
    <rPh sb="8" eb="10">
      <t>ドウサ</t>
    </rPh>
    <rPh sb="10" eb="12">
      <t>ホショウ</t>
    </rPh>
    <rPh sb="15" eb="17">
      <t>ホウシン</t>
    </rPh>
    <rPh sb="20" eb="23">
      <t>タイショウガイ</t>
    </rPh>
    <phoneticPr fontId="2"/>
  </si>
  <si>
    <t>テストコード</t>
    <phoneticPr fontId="2"/>
  </si>
  <si>
    <t>エビデンスNo</t>
    <phoneticPr fontId="2"/>
  </si>
  <si>
    <t>リクエストID：画面単位でリクエスト単体テストを実施するため、リクエストIDは不要</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</si>
</sst>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5">
    <font>
      <sz val="10"/>
      <name val="VL Pゴシック"/>
      <family val="3"/>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9"/>
      <name val="ＭＳ 明朝"/>
      <family val="1"/>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8"/>
      <name val="ＭＳ Ｐゴシック"/>
      <family val="3"/>
      <charset val="128"/>
    </font>
    <font>
      <sz val="10"/>
      <name val="ＭＳ ゴシック"/>
      <family val="3"/>
      <charset val="128"/>
    </font>
    <font>
      <sz val="13"/>
      <name val="ＭＳ 明朝"/>
      <family val="1"/>
      <charset val="128"/>
    </font>
    <font>
      <sz val="12"/>
      <name val="ＭＳ 明朝"/>
      <family val="1"/>
      <charset val="128"/>
    </font>
    <font>
      <b/>
      <sz val="9"/>
      <name val="ＭＳ 明朝"/>
      <family val="1"/>
      <charset val="128"/>
    </font>
    <font>
      <sz val="9"/>
      <color rgb="FF000000"/>
      <name val="ＭＳ 明朝"/>
      <family val="1"/>
      <charset val="128"/>
    </font>
    <font>
      <sz val="9"/>
      <color theme="1"/>
      <name val="メイリオ"/>
      <family val="2"/>
      <charset val="128"/>
    </font>
    <font>
      <sz val="6"/>
      <name val="メイリオ"/>
      <family val="2"/>
      <charset val="128"/>
    </font>
    <font>
      <sz val="9"/>
      <color theme="0" tint="-0.14999847407452621"/>
      <name val="ＭＳ 明朝"/>
      <family val="1"/>
      <charset val="128"/>
    </font>
    <font>
      <sz val="10"/>
      <name val="ＭＳ Ｐゴシック"/>
      <family val="3"/>
      <charset val="128"/>
    </font>
    <font>
      <u/>
      <sz val="11"/>
      <color indexed="12"/>
      <name val="ＭＳ Ｐゴシック"/>
      <family val="3"/>
      <charset val="128"/>
    </font>
    <font>
      <sz val="9"/>
      <color rgb="FFFF0000"/>
      <name val="ＭＳ 明朝"/>
      <family val="1"/>
      <charset val="128"/>
    </font>
    <font>
      <sz val="9"/>
      <color indexed="81"/>
      <name val="MS P ゴシック"/>
      <family val="3"/>
      <charset val="128"/>
    </font>
  </fonts>
  <fills count="6">
    <fill>
      <patternFill patternType="none"/>
    </fill>
    <fill>
      <patternFill patternType="gray125"/>
    </fill>
    <fill>
      <patternFill patternType="solid">
        <fgColor theme="0" tint="-0.24994659260841701"/>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1" tint="0.499984740745262"/>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style="thin">
        <color indexed="0"/>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0"/>
      </top>
      <bottom/>
      <diagonal/>
    </border>
    <border>
      <left style="thin">
        <color indexed="0"/>
      </left>
      <right style="thin">
        <color indexed="0"/>
      </right>
      <top style="thin">
        <color indexed="64"/>
      </top>
      <bottom style="thin">
        <color indexed="0"/>
      </bottom>
      <diagonal/>
    </border>
    <border>
      <left style="thin">
        <color indexed="0"/>
      </left>
      <right style="thin">
        <color indexed="0"/>
      </right>
      <top style="thin">
        <color indexed="0"/>
      </top>
      <bottom style="thin">
        <color indexed="0"/>
      </bottom>
      <diagonal/>
    </border>
    <border>
      <left style="thin">
        <color indexed="0"/>
      </left>
      <right style="thin">
        <color indexed="0"/>
      </right>
      <top style="thin">
        <color indexed="0"/>
      </top>
      <bottom/>
      <diagonal/>
    </border>
    <border>
      <left style="thin">
        <color indexed="64"/>
      </left>
      <right style="thin">
        <color indexed="0"/>
      </right>
      <top style="thin">
        <color indexed="64"/>
      </top>
      <bottom style="thin">
        <color indexed="0"/>
      </bottom>
      <diagonal/>
    </border>
    <border>
      <left style="thin">
        <color indexed="64"/>
      </left>
      <right style="thin">
        <color indexed="0"/>
      </right>
      <top style="thin">
        <color indexed="0"/>
      </top>
      <bottom style="thin">
        <color indexed="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thin">
        <color indexed="0"/>
      </bottom>
      <diagonal/>
    </border>
    <border>
      <left style="thin">
        <color indexed="64"/>
      </left>
      <right style="thin">
        <color indexed="64"/>
      </right>
      <top style="thin">
        <color indexed="0"/>
      </top>
      <bottom style="thin">
        <color indexed="0"/>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0"/>
      </top>
      <bottom style="thin">
        <color indexed="64"/>
      </bottom>
      <diagonal/>
    </border>
    <border>
      <left style="thin">
        <color indexed="0"/>
      </left>
      <right style="thin">
        <color indexed="64"/>
      </right>
      <top style="thin">
        <color indexed="64"/>
      </top>
      <bottom style="thin">
        <color indexed="0"/>
      </bottom>
      <diagonal/>
    </border>
    <border>
      <left style="thin">
        <color indexed="0"/>
      </left>
      <right style="thin">
        <color indexed="64"/>
      </right>
      <top style="thin">
        <color indexed="0"/>
      </top>
      <bottom style="thin">
        <color indexed="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0"/>
      </right>
      <top/>
      <bottom style="thin">
        <color indexed="0"/>
      </bottom>
      <diagonal/>
    </border>
    <border>
      <left style="thin">
        <color indexed="0"/>
      </left>
      <right style="thin">
        <color indexed="0"/>
      </right>
      <top/>
      <bottom style="thin">
        <color indexed="0"/>
      </bottom>
      <diagonal/>
    </border>
    <border>
      <left style="thin">
        <color indexed="64"/>
      </left>
      <right style="thin">
        <color indexed="0"/>
      </right>
      <top style="thin">
        <color indexed="0"/>
      </top>
      <bottom/>
      <diagonal/>
    </border>
    <border>
      <left style="thin">
        <color indexed="64"/>
      </left>
      <right style="thin">
        <color indexed="0"/>
      </right>
      <top style="thin">
        <color indexed="0"/>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64"/>
      </right>
      <top style="thin">
        <color indexed="0"/>
      </top>
      <bottom style="thin">
        <color indexed="64"/>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style="thin">
        <color indexed="64"/>
      </left>
      <right style="thin">
        <color indexed="64"/>
      </right>
      <top/>
      <bottom style="thin">
        <color indexed="8"/>
      </bottom>
      <diagonal/>
    </border>
    <border>
      <left/>
      <right/>
      <top style="thin">
        <color indexed="0"/>
      </top>
      <bottom style="thin">
        <color indexed="8"/>
      </bottom>
      <diagonal/>
    </border>
    <border>
      <left/>
      <right style="thin">
        <color indexed="64"/>
      </right>
      <top style="thin">
        <color indexed="0"/>
      </top>
      <bottom style="thin">
        <color indexed="8"/>
      </bottom>
      <diagonal/>
    </border>
    <border>
      <left style="thin">
        <color indexed="64"/>
      </left>
      <right style="thin">
        <color indexed="64"/>
      </right>
      <top style="thin">
        <color indexed="64"/>
      </top>
      <bottom style="thin">
        <color indexed="8"/>
      </bottom>
      <diagonal/>
    </border>
    <border>
      <left style="thin">
        <color indexed="64"/>
      </left>
      <right style="thin">
        <color indexed="64"/>
      </right>
      <top style="thin">
        <color indexed="0"/>
      </top>
      <bottom style="thin">
        <color indexed="8"/>
      </bottom>
      <diagonal/>
    </border>
    <border>
      <left style="thin">
        <color indexed="64"/>
      </left>
      <right style="thin">
        <color indexed="0"/>
      </right>
      <top style="thin">
        <color indexed="0"/>
      </top>
      <bottom style="thin">
        <color indexed="8"/>
      </bottom>
      <diagonal/>
    </border>
    <border>
      <left style="thin">
        <color indexed="0"/>
      </left>
      <right style="thin">
        <color indexed="0"/>
      </right>
      <top style="thin">
        <color indexed="0"/>
      </top>
      <bottom style="thin">
        <color indexed="8"/>
      </bottom>
      <diagonal/>
    </border>
  </borders>
  <cellStyleXfs count="9">
    <xf numFmtId="0" fontId="0" fillId="0" borderId="0"/>
    <xf numFmtId="0" fontId="5" fillId="0" borderId="0"/>
    <xf numFmtId="0" fontId="3" fillId="0" borderId="0"/>
    <xf numFmtId="0" fontId="5" fillId="0" borderId="0"/>
    <xf numFmtId="0" fontId="5" fillId="0" borderId="0"/>
    <xf numFmtId="0" fontId="13" fillId="0" borderId="0"/>
    <xf numFmtId="9" fontId="5" fillId="0" borderId="0" applyFont="0" applyFill="0" applyBorder="0" applyAlignment="0" applyProtection="0"/>
    <xf numFmtId="0" fontId="5" fillId="0" borderId="0"/>
    <xf numFmtId="0" fontId="18" fillId="0" borderId="0">
      <alignment vertical="center"/>
    </xf>
  </cellStyleXfs>
  <cellXfs count="323">
    <xf numFmtId="0" fontId="0" fillId="0" borderId="0" xfId="0"/>
    <xf numFmtId="0" fontId="6" fillId="0" borderId="0" xfId="3" applyFont="1"/>
    <xf numFmtId="0" fontId="7" fillId="0" borderId="0" xfId="3" applyFont="1"/>
    <xf numFmtId="0" fontId="8" fillId="0" borderId="0" xfId="3" applyFont="1"/>
    <xf numFmtId="0" fontId="9" fillId="0" borderId="0" xfId="3" applyFont="1" applyBorder="1"/>
    <xf numFmtId="0" fontId="10" fillId="0" borderId="0" xfId="3" applyFont="1"/>
    <xf numFmtId="177" fontId="11" fillId="0" borderId="0" xfId="4" quotePrefix="1" applyNumberFormat="1" applyFont="1" applyAlignment="1">
      <alignment horizontal="center"/>
    </xf>
    <xf numFmtId="0" fontId="10" fillId="0" borderId="0" xfId="3" applyFont="1" applyAlignment="1">
      <alignment horizontal="center"/>
    </xf>
    <xf numFmtId="31" fontId="10" fillId="0" borderId="0" xfId="3" applyNumberFormat="1" applyFont="1"/>
    <xf numFmtId="0" fontId="14" fillId="0" borderId="0" xfId="5" applyFont="1" applyAlignment="1">
      <alignment horizontal="center"/>
    </xf>
    <xf numFmtId="0" fontId="15" fillId="0" borderId="0" xfId="3" applyFont="1" applyAlignment="1">
      <alignment horizontal="center"/>
    </xf>
    <xf numFmtId="0" fontId="5" fillId="0" borderId="0" xfId="4" applyFont="1" applyBorder="1" applyAlignment="1"/>
    <xf numFmtId="0" fontId="5" fillId="0" borderId="0" xfId="4" applyFont="1" applyAlignment="1">
      <alignment horizontal="right"/>
    </xf>
    <xf numFmtId="0" fontId="5" fillId="0" borderId="0" xfId="4" applyFont="1" applyFill="1" applyBorder="1" applyAlignment="1">
      <alignment vertical="top"/>
    </xf>
    <xf numFmtId="0" fontId="5" fillId="0" borderId="0" xfId="4" applyFont="1" applyBorder="1" applyAlignment="1">
      <alignment vertical="top"/>
    </xf>
    <xf numFmtId="0" fontId="11" fillId="0" borderId="0" xfId="4" applyFont="1"/>
    <xf numFmtId="0" fontId="5" fillId="0" borderId="0" xfId="4" applyFont="1" applyBorder="1" applyAlignment="1">
      <alignment horizontal="center" vertical="center"/>
    </xf>
    <xf numFmtId="0" fontId="5" fillId="0" borderId="0" xfId="4" quotePrefix="1" applyFont="1" applyBorder="1" applyAlignment="1">
      <alignment vertical="center"/>
    </xf>
    <xf numFmtId="0" fontId="5" fillId="0" borderId="0" xfId="4" applyFont="1" applyBorder="1" applyAlignment="1">
      <alignment vertical="center"/>
    </xf>
    <xf numFmtId="0" fontId="5" fillId="0" borderId="29" xfId="3" applyFont="1" applyBorder="1" applyAlignment="1">
      <alignment horizontal="center" vertical="center"/>
    </xf>
    <xf numFmtId="0" fontId="5" fillId="0" borderId="0" xfId="4" applyFont="1" applyAlignment="1">
      <alignment horizontal="left" vertical="center"/>
    </xf>
    <xf numFmtId="0" fontId="5" fillId="0" borderId="15" xfId="3" applyFont="1" applyBorder="1" applyAlignment="1">
      <alignment horizontal="right" vertical="top"/>
    </xf>
    <xf numFmtId="0" fontId="5" fillId="0" borderId="1" xfId="3" applyFont="1" applyBorder="1" applyAlignment="1">
      <alignment horizontal="right" vertical="top"/>
    </xf>
    <xf numFmtId="0" fontId="5" fillId="0" borderId="0" xfId="3" applyFont="1"/>
    <xf numFmtId="0" fontId="15" fillId="0" borderId="0" xfId="3" applyFont="1"/>
    <xf numFmtId="0" fontId="5" fillId="0" borderId="0" xfId="2" applyFont="1"/>
    <xf numFmtId="49" fontId="5" fillId="0" borderId="0" xfId="2" applyNumberFormat="1" applyFont="1"/>
    <xf numFmtId="0" fontId="5" fillId="0" borderId="2" xfId="2" applyFont="1" applyBorder="1"/>
    <xf numFmtId="49" fontId="5" fillId="0" borderId="2" xfId="2" applyNumberFormat="1" applyFont="1" applyBorder="1"/>
    <xf numFmtId="0" fontId="5" fillId="3" borderId="1" xfId="0" applyFont="1" applyFill="1" applyBorder="1" applyAlignment="1">
      <alignment vertical="center"/>
    </xf>
    <xf numFmtId="0" fontId="5" fillId="3" borderId="1" xfId="2" applyFont="1" applyFill="1" applyBorder="1" applyAlignment="1">
      <alignment vertical="center"/>
    </xf>
    <xf numFmtId="0" fontId="5" fillId="0" borderId="0" xfId="2" applyFont="1" applyAlignment="1">
      <alignment vertical="center"/>
    </xf>
    <xf numFmtId="49" fontId="5" fillId="0" borderId="1" xfId="2" applyNumberFormat="1" applyFont="1" applyFill="1" applyBorder="1" applyAlignment="1">
      <alignment horizontal="left" vertical="top" wrapText="1"/>
    </xf>
    <xf numFmtId="0" fontId="17" fillId="0" borderId="1" xfId="0" applyFont="1" applyFill="1" applyBorder="1" applyAlignment="1">
      <alignment horizontal="left" vertical="top" wrapText="1"/>
    </xf>
    <xf numFmtId="0" fontId="5" fillId="0" borderId="1" xfId="2" applyFont="1" applyFill="1" applyBorder="1" applyAlignment="1">
      <alignment horizontal="left" vertical="top" wrapText="1"/>
    </xf>
    <xf numFmtId="176" fontId="5" fillId="0" borderId="1" xfId="2" applyNumberFormat="1" applyFont="1" applyFill="1" applyBorder="1" applyAlignment="1">
      <alignment horizontal="left" vertical="top" wrapText="1"/>
    </xf>
    <xf numFmtId="14" fontId="5" fillId="0" borderId="1" xfId="2" applyNumberFormat="1" applyFont="1" applyFill="1" applyBorder="1" applyAlignment="1">
      <alignment horizontal="left" vertical="top" wrapText="1"/>
    </xf>
    <xf numFmtId="0" fontId="17" fillId="0" borderId="1" xfId="0" applyFont="1" applyFill="1" applyBorder="1" applyAlignment="1">
      <alignment horizontal="left" vertical="top" wrapText="1" shrinkToFit="1"/>
    </xf>
    <xf numFmtId="0" fontId="17" fillId="0" borderId="5" xfId="0" applyFont="1" applyFill="1" applyBorder="1" applyAlignment="1">
      <alignment horizontal="left" vertical="top" wrapText="1"/>
    </xf>
    <xf numFmtId="0" fontId="17" fillId="0" borderId="1" xfId="1" applyFont="1" applyFill="1" applyBorder="1" applyAlignment="1">
      <alignment horizontal="left" vertical="top" wrapText="1" shrinkToFit="1"/>
    </xf>
    <xf numFmtId="0" fontId="17" fillId="0" borderId="5" xfId="1" applyFont="1" applyFill="1" applyBorder="1" applyAlignment="1">
      <alignment horizontal="left" vertical="top" wrapText="1"/>
    </xf>
    <xf numFmtId="0" fontId="17" fillId="0" borderId="1" xfId="1" applyFont="1" applyFill="1" applyBorder="1" applyAlignment="1">
      <alignment horizontal="left" vertical="top" wrapText="1"/>
    </xf>
    <xf numFmtId="0" fontId="5" fillId="0" borderId="7" xfId="2" applyFont="1" applyFill="1" applyBorder="1" applyAlignment="1">
      <alignment horizontal="left" vertical="top" wrapText="1"/>
    </xf>
    <xf numFmtId="0" fontId="17" fillId="0" borderId="4" xfId="1" applyFont="1" applyFill="1" applyBorder="1" applyAlignment="1">
      <alignment horizontal="left" vertical="top" wrapText="1"/>
    </xf>
    <xf numFmtId="0" fontId="5" fillId="0" borderId="8" xfId="2" applyFont="1" applyFill="1" applyBorder="1" applyAlignment="1">
      <alignment horizontal="left" vertical="top" wrapText="1"/>
    </xf>
    <xf numFmtId="0" fontId="17" fillId="0" borderId="14" xfId="1" applyFont="1" applyFill="1" applyBorder="1" applyAlignment="1">
      <alignment horizontal="left" vertical="top" wrapText="1"/>
    </xf>
    <xf numFmtId="49" fontId="5" fillId="0" borderId="0" xfId="2" applyNumberFormat="1" applyFont="1" applyAlignment="1">
      <alignment vertical="center"/>
    </xf>
    <xf numFmtId="0" fontId="5" fillId="3" borderId="5" xfId="0" applyFont="1" applyFill="1" applyBorder="1" applyAlignment="1">
      <alignment vertical="top"/>
    </xf>
    <xf numFmtId="0" fontId="5" fillId="3" borderId="5" xfId="0" applyFont="1" applyFill="1" applyBorder="1" applyAlignment="1">
      <alignment vertical="center"/>
    </xf>
    <xf numFmtId="0" fontId="5" fillId="3" borderId="5" xfId="2" applyFont="1" applyFill="1" applyBorder="1" applyAlignment="1">
      <alignment vertical="center" wrapText="1"/>
    </xf>
    <xf numFmtId="0" fontId="5" fillId="3" borderId="5" xfId="2" applyFont="1" applyFill="1" applyBorder="1" applyAlignment="1">
      <alignment vertical="top" wrapText="1"/>
    </xf>
    <xf numFmtId="49" fontId="5" fillId="3" borderId="5" xfId="2" applyNumberFormat="1" applyFont="1" applyFill="1" applyBorder="1" applyAlignment="1">
      <alignment vertical="center"/>
    </xf>
    <xf numFmtId="0" fontId="5" fillId="3" borderId="5" xfId="2" applyFont="1" applyFill="1" applyBorder="1" applyAlignment="1">
      <alignment vertical="center"/>
    </xf>
    <xf numFmtId="0" fontId="5" fillId="3" borderId="18" xfId="2" applyFont="1" applyFill="1" applyBorder="1" applyAlignment="1">
      <alignment vertical="center"/>
    </xf>
    <xf numFmtId="0" fontId="5" fillId="0" borderId="1" xfId="2" applyFont="1" applyBorder="1" applyAlignment="1">
      <alignment vertical="top" wrapText="1"/>
    </xf>
    <xf numFmtId="0" fontId="17" fillId="0" borderId="5" xfId="1" applyFont="1" applyBorder="1" applyAlignment="1">
      <alignment horizontal="left" vertical="top" wrapText="1"/>
    </xf>
    <xf numFmtId="0" fontId="17" fillId="0" borderId="5" xfId="1" applyFont="1" applyBorder="1" applyAlignment="1">
      <alignment vertical="top" wrapText="1"/>
    </xf>
    <xf numFmtId="49" fontId="5" fillId="0" borderId="0" xfId="2" applyNumberFormat="1" applyFont="1" applyAlignment="1">
      <alignment horizontal="left" vertical="top" wrapText="1"/>
    </xf>
    <xf numFmtId="49" fontId="5" fillId="0" borderId="2" xfId="2" applyNumberFormat="1" applyFont="1" applyBorder="1" applyAlignment="1">
      <alignment horizontal="left" vertical="top" wrapText="1"/>
    </xf>
    <xf numFmtId="0" fontId="5" fillId="3" borderId="5" xfId="0" applyFont="1" applyFill="1" applyBorder="1" applyAlignment="1">
      <alignment horizontal="left" vertical="top" wrapText="1"/>
    </xf>
    <xf numFmtId="0" fontId="17" fillId="0" borderId="17" xfId="1" applyFont="1" applyBorder="1" applyAlignment="1">
      <alignment vertical="top" wrapText="1"/>
    </xf>
    <xf numFmtId="0" fontId="17" fillId="0" borderId="18" xfId="1" applyFont="1" applyBorder="1" applyAlignment="1">
      <alignment vertical="top" wrapText="1"/>
    </xf>
    <xf numFmtId="0" fontId="17" fillId="0" borderId="24" xfId="1" applyFont="1" applyBorder="1" applyAlignment="1">
      <alignment vertical="top" wrapText="1"/>
    </xf>
    <xf numFmtId="49" fontId="5" fillId="0" borderId="5" xfId="2" applyNumberFormat="1" applyFont="1" applyBorder="1" applyAlignment="1">
      <alignment horizontal="left" vertical="top" wrapText="1"/>
    </xf>
    <xf numFmtId="0" fontId="17" fillId="0" borderId="1" xfId="1" applyFont="1" applyBorder="1" applyAlignment="1">
      <alignment vertical="top" wrapText="1"/>
    </xf>
    <xf numFmtId="0" fontId="5" fillId="0" borderId="10" xfId="2" applyFont="1" applyBorder="1" applyAlignment="1">
      <alignment vertical="center"/>
    </xf>
    <xf numFmtId="0" fontId="5" fillId="0" borderId="7" xfId="2" applyFont="1" applyBorder="1" applyAlignment="1">
      <alignment vertical="center"/>
    </xf>
    <xf numFmtId="0" fontId="17" fillId="0" borderId="4" xfId="1" applyFont="1" applyBorder="1" applyAlignment="1">
      <alignment vertical="top"/>
    </xf>
    <xf numFmtId="0" fontId="17" fillId="0" borderId="18" xfId="1" applyFont="1" applyBorder="1" applyAlignment="1">
      <alignment vertical="top"/>
    </xf>
    <xf numFmtId="0" fontId="17" fillId="0" borderId="24" xfId="1" applyFont="1" applyBorder="1" applyAlignment="1">
      <alignment vertical="top"/>
    </xf>
    <xf numFmtId="0" fontId="5" fillId="0" borderId="11" xfId="2" applyFont="1" applyBorder="1" applyAlignment="1">
      <alignment vertical="center"/>
    </xf>
    <xf numFmtId="0" fontId="5" fillId="0" borderId="8" xfId="2" applyFont="1" applyBorder="1" applyAlignment="1">
      <alignment vertical="center"/>
    </xf>
    <xf numFmtId="0" fontId="17" fillId="0" borderId="15" xfId="1" applyFont="1" applyBorder="1" applyAlignment="1">
      <alignment vertical="top"/>
    </xf>
    <xf numFmtId="0" fontId="17" fillId="0" borderId="12" xfId="1" applyFont="1" applyFill="1" applyBorder="1" applyAlignment="1">
      <alignment vertical="top"/>
    </xf>
    <xf numFmtId="0" fontId="17" fillId="0" borderId="14" xfId="1" applyFont="1" applyFill="1" applyBorder="1" applyAlignment="1">
      <alignment vertical="top"/>
    </xf>
    <xf numFmtId="0" fontId="17" fillId="0" borderId="5" xfId="1" applyFont="1" applyFill="1" applyBorder="1" applyAlignment="1">
      <alignment vertical="top" wrapText="1"/>
    </xf>
    <xf numFmtId="0" fontId="17" fillId="0" borderId="17" xfId="1" applyFont="1" applyFill="1" applyBorder="1" applyAlignment="1">
      <alignment vertical="top" wrapText="1"/>
    </xf>
    <xf numFmtId="0" fontId="5" fillId="0" borderId="11" xfId="2" applyFont="1" applyFill="1" applyBorder="1" applyAlignment="1">
      <alignment vertical="center"/>
    </xf>
    <xf numFmtId="0" fontId="5" fillId="0" borderId="8" xfId="2" applyFont="1" applyFill="1" applyBorder="1" applyAlignment="1">
      <alignment vertical="center"/>
    </xf>
    <xf numFmtId="0" fontId="17" fillId="0" borderId="5" xfId="1" applyFont="1" applyFill="1" applyBorder="1" applyAlignment="1">
      <alignment vertical="top"/>
    </xf>
    <xf numFmtId="0" fontId="17" fillId="0" borderId="6" xfId="1" applyFont="1" applyFill="1" applyBorder="1" applyAlignment="1">
      <alignment vertical="top" wrapText="1"/>
    </xf>
    <xf numFmtId="0" fontId="17" fillId="0" borderId="1" xfId="1" applyFont="1" applyFill="1" applyBorder="1" applyAlignment="1">
      <alignment vertical="top" wrapText="1"/>
    </xf>
    <xf numFmtId="0" fontId="17" fillId="0" borderId="4" xfId="1" applyFont="1" applyFill="1" applyBorder="1" applyAlignment="1">
      <alignment vertical="top"/>
    </xf>
    <xf numFmtId="49" fontId="5" fillId="0" borderId="5" xfId="2" applyNumberFormat="1" applyFont="1" applyFill="1" applyBorder="1" applyAlignment="1">
      <alignment horizontal="left" vertical="top" wrapText="1"/>
    </xf>
    <xf numFmtId="0" fontId="17" fillId="0" borderId="15" xfId="1" applyFont="1" applyFill="1" applyBorder="1" applyAlignment="1">
      <alignment vertical="top"/>
    </xf>
    <xf numFmtId="0" fontId="5" fillId="0" borderId="21" xfId="2" applyFont="1" applyBorder="1" applyAlignment="1">
      <alignment vertical="center"/>
    </xf>
    <xf numFmtId="0" fontId="5" fillId="0" borderId="22" xfId="2" applyFont="1" applyBorder="1" applyAlignment="1">
      <alignment vertical="center"/>
    </xf>
    <xf numFmtId="0" fontId="5" fillId="0" borderId="22" xfId="2" applyFont="1" applyFill="1" applyBorder="1" applyAlignment="1">
      <alignment vertical="center"/>
    </xf>
    <xf numFmtId="0" fontId="17" fillId="0" borderId="20" xfId="1" applyFont="1" applyFill="1" applyBorder="1" applyAlignment="1">
      <alignment vertical="top" wrapText="1"/>
    </xf>
    <xf numFmtId="0" fontId="5" fillId="0" borderId="37" xfId="2" applyFont="1" applyFill="1" applyBorder="1" applyAlignment="1">
      <alignment vertical="center"/>
    </xf>
    <xf numFmtId="0" fontId="5" fillId="0" borderId="38" xfId="2" applyFont="1" applyFill="1" applyBorder="1" applyAlignment="1">
      <alignment vertical="center"/>
    </xf>
    <xf numFmtId="0" fontId="5" fillId="0" borderId="39" xfId="2" applyFont="1" applyFill="1" applyBorder="1" applyAlignment="1">
      <alignment vertical="center"/>
    </xf>
    <xf numFmtId="0" fontId="5" fillId="0" borderId="5" xfId="0" applyFont="1" applyFill="1" applyBorder="1" applyAlignment="1">
      <alignment vertical="top" wrapText="1"/>
    </xf>
    <xf numFmtId="0" fontId="5" fillId="0" borderId="1" xfId="0" applyFont="1" applyFill="1" applyBorder="1" applyAlignment="1">
      <alignment vertical="top" wrapText="1"/>
    </xf>
    <xf numFmtId="0" fontId="5" fillId="0" borderId="1" xfId="0" applyFont="1" applyFill="1" applyBorder="1" applyAlignment="1">
      <alignment horizontal="left" vertical="top" wrapText="1"/>
    </xf>
    <xf numFmtId="0" fontId="5" fillId="0" borderId="1" xfId="8" applyFont="1" applyFill="1" applyBorder="1" applyAlignment="1">
      <alignment horizontal="left" vertical="top" wrapText="1"/>
    </xf>
    <xf numFmtId="0" fontId="5" fillId="0" borderId="5" xfId="8" applyFont="1" applyFill="1" applyBorder="1" applyAlignment="1">
      <alignment horizontal="left" vertical="top" wrapText="1"/>
    </xf>
    <xf numFmtId="49" fontId="17" fillId="0" borderId="16" xfId="1" applyNumberFormat="1" applyFont="1" applyFill="1" applyBorder="1" applyAlignment="1">
      <alignment horizontal="left" vertical="top" wrapText="1"/>
    </xf>
    <xf numFmtId="0" fontId="5" fillId="0" borderId="1" xfId="8" applyFont="1" applyFill="1" applyBorder="1" applyAlignment="1">
      <alignment vertical="top" wrapText="1"/>
    </xf>
    <xf numFmtId="0" fontId="5" fillId="0" borderId="24" xfId="0" applyFont="1" applyFill="1" applyBorder="1" applyAlignment="1">
      <alignment horizontal="left" vertical="top" wrapText="1"/>
    </xf>
    <xf numFmtId="0" fontId="5" fillId="0" borderId="18" xfId="0" applyFont="1" applyFill="1" applyBorder="1" applyAlignment="1">
      <alignment horizontal="left" vertical="top" wrapText="1"/>
    </xf>
    <xf numFmtId="0" fontId="5" fillId="0" borderId="4" xfId="0" applyFont="1" applyFill="1" applyBorder="1" applyAlignment="1">
      <alignment horizontal="left" vertical="top" wrapText="1"/>
    </xf>
    <xf numFmtId="0" fontId="5" fillId="0" borderId="5" xfId="0" applyFont="1" applyFill="1" applyBorder="1" applyAlignment="1">
      <alignment horizontal="left" vertical="top" wrapText="1"/>
    </xf>
    <xf numFmtId="49" fontId="17" fillId="0" borderId="1" xfId="1" applyNumberFormat="1" applyFont="1" applyFill="1" applyBorder="1" applyAlignment="1">
      <alignment horizontal="left" vertical="top" wrapText="1"/>
    </xf>
    <xf numFmtId="0" fontId="5" fillId="0" borderId="0" xfId="0" applyFont="1" applyFill="1" applyAlignment="1">
      <alignment horizontal="left" vertical="top" wrapText="1"/>
    </xf>
    <xf numFmtId="0" fontId="5" fillId="0" borderId="19" xfId="0" applyFont="1" applyFill="1" applyBorder="1" applyAlignment="1">
      <alignment horizontal="left" vertical="top" wrapText="1"/>
    </xf>
    <xf numFmtId="0" fontId="20" fillId="0" borderId="0" xfId="8" applyFont="1" applyFill="1" applyAlignment="1">
      <alignment horizontal="left" vertical="top" wrapText="1"/>
    </xf>
    <xf numFmtId="0" fontId="20" fillId="0" borderId="19" xfId="8" applyFont="1" applyFill="1" applyBorder="1" applyAlignment="1">
      <alignment horizontal="left" vertical="top" wrapText="1"/>
    </xf>
    <xf numFmtId="0" fontId="5" fillId="0" borderId="4" xfId="8" applyFont="1" applyFill="1" applyBorder="1" applyAlignment="1">
      <alignment horizontal="left" vertical="top" wrapText="1"/>
    </xf>
    <xf numFmtId="0" fontId="23" fillId="0" borderId="1" xfId="2" applyFont="1" applyFill="1" applyBorder="1" applyAlignment="1">
      <alignment horizontal="left" vertical="top" wrapText="1"/>
    </xf>
    <xf numFmtId="0" fontId="5" fillId="0" borderId="15" xfId="0" applyFont="1" applyFill="1" applyBorder="1" applyAlignment="1">
      <alignment horizontal="left" vertical="top" wrapText="1"/>
    </xf>
    <xf numFmtId="49" fontId="5" fillId="0" borderId="1" xfId="8" applyNumberFormat="1" applyFont="1" applyFill="1" applyBorder="1" applyAlignment="1">
      <alignment horizontal="left" vertical="top" wrapText="1"/>
    </xf>
    <xf numFmtId="0" fontId="5" fillId="0" borderId="25" xfId="0" applyFont="1" applyFill="1" applyBorder="1" applyAlignment="1">
      <alignment horizontal="left" vertical="top" wrapText="1"/>
    </xf>
    <xf numFmtId="0" fontId="5" fillId="0" borderId="1" xfId="2" applyFont="1" applyFill="1" applyBorder="1" applyAlignment="1">
      <alignment vertical="center" wrapText="1"/>
    </xf>
    <xf numFmtId="0" fontId="5" fillId="0" borderId="14" xfId="2" applyFont="1" applyFill="1" applyBorder="1" applyAlignment="1">
      <alignment vertical="center" wrapText="1"/>
    </xf>
    <xf numFmtId="0" fontId="17" fillId="0" borderId="24" xfId="1" applyFont="1" applyFill="1" applyBorder="1" applyAlignment="1">
      <alignment horizontal="left" vertical="top" wrapText="1"/>
    </xf>
    <xf numFmtId="0" fontId="5" fillId="0" borderId="28" xfId="0" applyFont="1" applyFill="1" applyBorder="1" applyAlignment="1">
      <alignment horizontal="left" vertical="top" wrapText="1"/>
    </xf>
    <xf numFmtId="0" fontId="5" fillId="0" borderId="26" xfId="0" applyFont="1" applyFill="1" applyBorder="1" applyAlignment="1">
      <alignment horizontal="left" vertical="top" wrapText="1"/>
    </xf>
    <xf numFmtId="49" fontId="17" fillId="0" borderId="3" xfId="1" applyNumberFormat="1" applyFont="1" applyFill="1" applyBorder="1" applyAlignment="1">
      <alignment horizontal="left" vertical="top" wrapText="1"/>
    </xf>
    <xf numFmtId="0" fontId="5" fillId="0" borderId="10" xfId="2" applyFont="1" applyFill="1" applyBorder="1" applyAlignment="1">
      <alignment horizontal="left" vertical="top" wrapText="1"/>
    </xf>
    <xf numFmtId="0" fontId="5" fillId="0" borderId="24" xfId="0" applyFont="1" applyFill="1" applyBorder="1" applyAlignment="1">
      <alignment vertical="top" wrapText="1"/>
    </xf>
    <xf numFmtId="0" fontId="5" fillId="0" borderId="34" xfId="2" applyFont="1" applyFill="1" applyBorder="1" applyAlignment="1">
      <alignment horizontal="left" vertical="top" wrapText="1"/>
    </xf>
    <xf numFmtId="0" fontId="5" fillId="0" borderId="35" xfId="2" applyFont="1" applyFill="1" applyBorder="1" applyAlignment="1">
      <alignment horizontal="left" vertical="top" wrapText="1"/>
    </xf>
    <xf numFmtId="0" fontId="5" fillId="0" borderId="14" xfId="0" applyFont="1" applyFill="1" applyBorder="1" applyAlignment="1">
      <alignment vertical="top" wrapText="1"/>
    </xf>
    <xf numFmtId="0" fontId="5" fillId="0" borderId="11" xfId="2" applyFont="1" applyFill="1" applyBorder="1" applyAlignment="1">
      <alignment horizontal="left" vertical="top" wrapText="1"/>
    </xf>
    <xf numFmtId="49" fontId="17" fillId="0" borderId="17" xfId="1" applyNumberFormat="1" applyFont="1" applyFill="1" applyBorder="1" applyAlignment="1">
      <alignment horizontal="left" vertical="top" wrapText="1"/>
    </xf>
    <xf numFmtId="0" fontId="5" fillId="0" borderId="9" xfId="2" applyFont="1" applyFill="1" applyBorder="1" applyAlignment="1">
      <alignment horizontal="left" vertical="top" wrapText="1"/>
    </xf>
    <xf numFmtId="49" fontId="17" fillId="0" borderId="6" xfId="1" applyNumberFormat="1" applyFont="1" applyFill="1" applyBorder="1" applyAlignment="1">
      <alignment horizontal="left" vertical="top" wrapText="1"/>
    </xf>
    <xf numFmtId="0" fontId="5" fillId="0" borderId="36" xfId="2" applyFont="1" applyFill="1" applyBorder="1" applyAlignment="1">
      <alignment horizontal="left" vertical="top" wrapText="1"/>
    </xf>
    <xf numFmtId="0" fontId="5" fillId="0" borderId="24" xfId="8" applyFont="1" applyFill="1" applyBorder="1" applyAlignment="1">
      <alignment horizontal="left" vertical="top" wrapText="1"/>
    </xf>
    <xf numFmtId="0" fontId="20" fillId="0" borderId="25" xfId="8" applyFont="1" applyFill="1" applyBorder="1" applyAlignment="1">
      <alignment horizontal="left" vertical="top" wrapText="1"/>
    </xf>
    <xf numFmtId="0" fontId="5" fillId="0" borderId="26" xfId="8" applyFont="1" applyFill="1" applyBorder="1" applyAlignment="1">
      <alignment horizontal="left" vertical="top" wrapText="1"/>
    </xf>
    <xf numFmtId="0" fontId="5" fillId="0" borderId="15" xfId="8" applyFont="1" applyFill="1" applyBorder="1" applyAlignment="1">
      <alignment horizontal="left" vertical="top" wrapText="1"/>
    </xf>
    <xf numFmtId="0" fontId="5" fillId="0" borderId="19" xfId="8" applyFont="1" applyFill="1" applyBorder="1" applyAlignment="1">
      <alignment horizontal="left" vertical="top" wrapText="1"/>
    </xf>
    <xf numFmtId="0" fontId="5" fillId="0" borderId="18" xfId="8" applyFont="1" applyFill="1" applyBorder="1" applyAlignment="1">
      <alignment horizontal="left" vertical="top" wrapText="1"/>
    </xf>
    <xf numFmtId="0" fontId="20" fillId="0" borderId="4" xfId="8" applyFont="1" applyFill="1" applyBorder="1" applyAlignment="1">
      <alignment horizontal="left" vertical="top" wrapText="1"/>
    </xf>
    <xf numFmtId="0" fontId="5" fillId="0" borderId="14" xfId="8" applyFont="1" applyFill="1" applyBorder="1" applyAlignment="1">
      <alignment horizontal="left" vertical="top" wrapText="1"/>
    </xf>
    <xf numFmtId="0" fontId="20" fillId="0" borderId="28" xfId="8" applyFont="1" applyFill="1" applyBorder="1" applyAlignment="1">
      <alignment horizontal="left" vertical="top" wrapText="1"/>
    </xf>
    <xf numFmtId="0" fontId="5" fillId="0" borderId="25" xfId="8" applyFont="1" applyFill="1" applyBorder="1" applyAlignment="1">
      <alignment horizontal="left" vertical="top" wrapText="1"/>
    </xf>
    <xf numFmtId="0" fontId="5" fillId="0" borderId="33" xfId="8" applyFont="1" applyFill="1" applyBorder="1" applyAlignment="1">
      <alignment horizontal="left" vertical="top" wrapText="1"/>
    </xf>
    <xf numFmtId="176" fontId="5" fillId="0" borderId="5" xfId="2" applyNumberFormat="1" applyFont="1" applyFill="1" applyBorder="1" applyAlignment="1">
      <alignment horizontal="left" vertical="top" wrapText="1"/>
    </xf>
    <xf numFmtId="0" fontId="5" fillId="0" borderId="5" xfId="2" applyFont="1" applyFill="1" applyBorder="1" applyAlignment="1">
      <alignment horizontal="left" vertical="top" wrapText="1"/>
    </xf>
    <xf numFmtId="14" fontId="5" fillId="0" borderId="5" xfId="2" applyNumberFormat="1" applyFont="1" applyFill="1" applyBorder="1" applyAlignment="1">
      <alignment horizontal="left" vertical="top" wrapText="1"/>
    </xf>
    <xf numFmtId="0" fontId="20" fillId="0" borderId="0" xfId="8" applyFont="1" applyFill="1" applyBorder="1" applyAlignment="1">
      <alignment horizontal="left" vertical="top" wrapText="1"/>
    </xf>
    <xf numFmtId="0" fontId="20" fillId="0" borderId="26" xfId="8" applyFont="1" applyFill="1" applyBorder="1" applyAlignment="1">
      <alignment horizontal="left" vertical="top" wrapText="1"/>
    </xf>
    <xf numFmtId="0" fontId="20" fillId="0" borderId="15" xfId="8" applyFont="1" applyFill="1" applyBorder="1" applyAlignment="1">
      <alignment horizontal="left" vertical="top" wrapText="1"/>
    </xf>
    <xf numFmtId="0" fontId="5" fillId="0" borderId="23" xfId="8" applyFont="1" applyFill="1" applyBorder="1" applyAlignment="1">
      <alignment horizontal="left" vertical="top" wrapText="1"/>
    </xf>
    <xf numFmtId="0" fontId="5" fillId="0" borderId="28" xfId="8" applyFont="1" applyFill="1" applyBorder="1" applyAlignment="1">
      <alignment horizontal="left" vertical="top" wrapText="1"/>
    </xf>
    <xf numFmtId="0" fontId="5" fillId="0" borderId="5" xfId="2" applyFont="1" applyBorder="1" applyAlignment="1">
      <alignment vertical="top" wrapText="1"/>
    </xf>
    <xf numFmtId="49" fontId="5" fillId="0" borderId="23" xfId="2" applyNumberFormat="1" applyFont="1" applyBorder="1" applyAlignment="1">
      <alignment horizontal="left" vertical="top" wrapText="1"/>
    </xf>
    <xf numFmtId="0" fontId="5" fillId="4" borderId="5" xfId="8" applyFont="1" applyFill="1" applyBorder="1" applyAlignment="1">
      <alignment horizontal="left" vertical="top" wrapText="1"/>
    </xf>
    <xf numFmtId="0" fontId="5" fillId="4" borderId="4" xfId="8" applyFont="1" applyFill="1" applyBorder="1" applyAlignment="1">
      <alignment horizontal="left" vertical="top" wrapText="1"/>
    </xf>
    <xf numFmtId="0" fontId="5" fillId="4" borderId="1" xfId="8" applyFont="1" applyFill="1" applyBorder="1" applyAlignment="1">
      <alignment horizontal="left" vertical="top" wrapText="1"/>
    </xf>
    <xf numFmtId="0" fontId="17" fillId="4" borderId="1" xfId="1" applyFont="1" applyFill="1" applyBorder="1" applyAlignment="1">
      <alignment horizontal="left" vertical="top" wrapText="1" shrinkToFit="1"/>
    </xf>
    <xf numFmtId="49" fontId="5" fillId="4" borderId="1" xfId="2" applyNumberFormat="1" applyFont="1" applyFill="1" applyBorder="1" applyAlignment="1">
      <alignment horizontal="left" vertical="top" wrapText="1"/>
    </xf>
    <xf numFmtId="176" fontId="5" fillId="4" borderId="1" xfId="2" applyNumberFormat="1" applyFont="1" applyFill="1" applyBorder="1" applyAlignment="1">
      <alignment horizontal="left" vertical="top" wrapText="1"/>
    </xf>
    <xf numFmtId="14" fontId="5" fillId="4" borderId="1" xfId="2" applyNumberFormat="1" applyFont="1" applyFill="1" applyBorder="1" applyAlignment="1">
      <alignment horizontal="left" vertical="top" wrapText="1"/>
    </xf>
    <xf numFmtId="0" fontId="5" fillId="4" borderId="1" xfId="2" applyFont="1" applyFill="1" applyBorder="1" applyAlignment="1">
      <alignment horizontal="left" vertical="top" wrapText="1"/>
    </xf>
    <xf numFmtId="0" fontId="20" fillId="4" borderId="25" xfId="8" applyFont="1" applyFill="1" applyBorder="1" applyAlignment="1">
      <alignment horizontal="left" vertical="top" wrapText="1"/>
    </xf>
    <xf numFmtId="0" fontId="5" fillId="4" borderId="26" xfId="8" applyFont="1" applyFill="1" applyBorder="1" applyAlignment="1">
      <alignment horizontal="left" vertical="top" wrapText="1"/>
    </xf>
    <xf numFmtId="0" fontId="5" fillId="4" borderId="15" xfId="8" applyFont="1" applyFill="1" applyBorder="1" applyAlignment="1">
      <alignment horizontal="left" vertical="top" wrapText="1"/>
    </xf>
    <xf numFmtId="0" fontId="17" fillId="4" borderId="1" xfId="1" applyFont="1" applyFill="1" applyBorder="1" applyAlignment="1">
      <alignment horizontal="left" vertical="top" wrapText="1"/>
    </xf>
    <xf numFmtId="0" fontId="5" fillId="4" borderId="19" xfId="8" applyFont="1" applyFill="1" applyBorder="1" applyAlignment="1">
      <alignment horizontal="left" vertical="top" wrapText="1"/>
    </xf>
    <xf numFmtId="0" fontId="5" fillId="4" borderId="18" xfId="8" applyFont="1" applyFill="1" applyBorder="1" applyAlignment="1">
      <alignment horizontal="left" vertical="top" wrapText="1"/>
    </xf>
    <xf numFmtId="0" fontId="20" fillId="4" borderId="4" xfId="8" applyFont="1" applyFill="1" applyBorder="1" applyAlignment="1">
      <alignment horizontal="left" vertical="top" wrapText="1"/>
    </xf>
    <xf numFmtId="0" fontId="5" fillId="4" borderId="25" xfId="8" applyFont="1" applyFill="1" applyBorder="1" applyAlignment="1">
      <alignment horizontal="left" vertical="top" wrapText="1"/>
    </xf>
    <xf numFmtId="0" fontId="5" fillId="4" borderId="33" xfId="8" applyFont="1" applyFill="1" applyBorder="1" applyAlignment="1">
      <alignment horizontal="left" vertical="top" wrapText="1"/>
    </xf>
    <xf numFmtId="0" fontId="17" fillId="4" borderId="1" xfId="0" applyFont="1" applyFill="1" applyBorder="1" applyAlignment="1">
      <alignment horizontal="left" vertical="top" wrapText="1"/>
    </xf>
    <xf numFmtId="0" fontId="17" fillId="4" borderId="5" xfId="0" applyFont="1" applyFill="1" applyBorder="1" applyAlignment="1">
      <alignment horizontal="left" vertical="top" wrapText="1"/>
    </xf>
    <xf numFmtId="0" fontId="17" fillId="4" borderId="5" xfId="1" applyFont="1" applyFill="1" applyBorder="1" applyAlignment="1">
      <alignment horizontal="left" vertical="top" wrapText="1"/>
    </xf>
    <xf numFmtId="49" fontId="5" fillId="4" borderId="5" xfId="2" applyNumberFormat="1" applyFont="1" applyFill="1" applyBorder="1" applyAlignment="1">
      <alignment horizontal="left" vertical="top" wrapText="1"/>
    </xf>
    <xf numFmtId="176" fontId="5" fillId="4" borderId="5" xfId="2" applyNumberFormat="1" applyFont="1" applyFill="1" applyBorder="1" applyAlignment="1">
      <alignment horizontal="left" vertical="top" wrapText="1"/>
    </xf>
    <xf numFmtId="0" fontId="5" fillId="4" borderId="5" xfId="2" applyFont="1" applyFill="1" applyBorder="1" applyAlignment="1">
      <alignment horizontal="left" vertical="top" wrapText="1"/>
    </xf>
    <xf numFmtId="14" fontId="5" fillId="4" borderId="5" xfId="2" applyNumberFormat="1" applyFont="1" applyFill="1" applyBorder="1" applyAlignment="1">
      <alignment horizontal="left" vertical="top" wrapText="1"/>
    </xf>
    <xf numFmtId="0" fontId="5" fillId="4" borderId="19" xfId="0" applyFont="1" applyFill="1" applyBorder="1" applyAlignment="1">
      <alignment horizontal="left" vertical="top" wrapText="1"/>
    </xf>
    <xf numFmtId="0" fontId="5" fillId="4" borderId="4" xfId="0" applyFont="1" applyFill="1" applyBorder="1" applyAlignment="1">
      <alignment horizontal="left" vertical="top" wrapText="1"/>
    </xf>
    <xf numFmtId="0" fontId="17" fillId="4" borderId="5" xfId="1" applyFont="1" applyFill="1" applyBorder="1" applyAlignment="1">
      <alignment vertical="top" wrapText="1"/>
    </xf>
    <xf numFmtId="0" fontId="5" fillId="4" borderId="1" xfId="0" applyFont="1" applyFill="1" applyBorder="1" applyAlignment="1">
      <alignment horizontal="left" vertical="top" wrapText="1"/>
    </xf>
    <xf numFmtId="0" fontId="20" fillId="4" borderId="0" xfId="8" applyFont="1" applyFill="1" applyBorder="1" applyAlignment="1">
      <alignment horizontal="left" vertical="top" wrapText="1"/>
    </xf>
    <xf numFmtId="0" fontId="17" fillId="4" borderId="6" xfId="1" applyFont="1" applyFill="1" applyBorder="1" applyAlignment="1">
      <alignment vertical="top" wrapText="1"/>
    </xf>
    <xf numFmtId="0" fontId="20" fillId="4" borderId="0" xfId="8" applyFont="1" applyFill="1" applyAlignment="1">
      <alignment horizontal="left" vertical="top" wrapText="1"/>
    </xf>
    <xf numFmtId="0" fontId="20" fillId="4" borderId="26" xfId="8" applyFont="1" applyFill="1" applyBorder="1" applyAlignment="1">
      <alignment horizontal="left" vertical="top" wrapText="1"/>
    </xf>
    <xf numFmtId="0" fontId="20" fillId="4" borderId="19" xfId="8" applyFont="1" applyFill="1" applyBorder="1" applyAlignment="1">
      <alignment horizontal="left" vertical="top" wrapText="1"/>
    </xf>
    <xf numFmtId="0" fontId="20" fillId="4" borderId="15" xfId="8" applyFont="1" applyFill="1" applyBorder="1" applyAlignment="1">
      <alignment horizontal="left" vertical="top" wrapText="1"/>
    </xf>
    <xf numFmtId="0" fontId="17" fillId="4" borderId="20" xfId="1" applyFont="1" applyFill="1" applyBorder="1" applyAlignment="1">
      <alignment vertical="top" wrapText="1"/>
    </xf>
    <xf numFmtId="0" fontId="5" fillId="4" borderId="23" xfId="8" applyFont="1" applyFill="1" applyBorder="1" applyAlignment="1">
      <alignment horizontal="left" vertical="top" wrapText="1"/>
    </xf>
    <xf numFmtId="0" fontId="20" fillId="4" borderId="28" xfId="8" applyFont="1" applyFill="1" applyBorder="1" applyAlignment="1">
      <alignment horizontal="left" vertical="top" wrapText="1"/>
    </xf>
    <xf numFmtId="0" fontId="5" fillId="4" borderId="24" xfId="8" applyFont="1" applyFill="1" applyBorder="1" applyAlignment="1">
      <alignment horizontal="left" vertical="top" wrapText="1"/>
    </xf>
    <xf numFmtId="0" fontId="5" fillId="4" borderId="28" xfId="8" applyFont="1" applyFill="1" applyBorder="1" applyAlignment="1">
      <alignment horizontal="left" vertical="top" wrapText="1"/>
    </xf>
    <xf numFmtId="0" fontId="5" fillId="4" borderId="12" xfId="8" applyFont="1" applyFill="1" applyBorder="1" applyAlignment="1">
      <alignment horizontal="left" vertical="top" wrapText="1"/>
    </xf>
    <xf numFmtId="0" fontId="5" fillId="4" borderId="0" xfId="8" applyFont="1" applyFill="1" applyAlignment="1">
      <alignment horizontal="left" vertical="top" wrapText="1"/>
    </xf>
    <xf numFmtId="0" fontId="16" fillId="4" borderId="15" xfId="8" applyFont="1" applyFill="1" applyBorder="1" applyAlignment="1">
      <alignment horizontal="left" vertical="top" wrapText="1"/>
    </xf>
    <xf numFmtId="0" fontId="17" fillId="5" borderId="1" xfId="1" applyFont="1" applyFill="1" applyBorder="1" applyAlignment="1">
      <alignment horizontal="left" vertical="top" wrapText="1" shrinkToFit="1"/>
    </xf>
    <xf numFmtId="0" fontId="5" fillId="0" borderId="1" xfId="8" applyFont="1" applyBorder="1" applyAlignment="1">
      <alignment horizontal="left" vertical="top" wrapText="1"/>
    </xf>
    <xf numFmtId="0" fontId="17" fillId="0" borderId="1" xfId="1" applyFont="1" applyBorder="1" applyAlignment="1">
      <alignment horizontal="left" vertical="top" wrapText="1" shrinkToFit="1"/>
    </xf>
    <xf numFmtId="0" fontId="17" fillId="5" borderId="1" xfId="0" applyFont="1" applyFill="1" applyBorder="1" applyAlignment="1">
      <alignment horizontal="left" vertical="top" wrapText="1"/>
    </xf>
    <xf numFmtId="0" fontId="5" fillId="5" borderId="1" xfId="8" applyFont="1" applyFill="1" applyBorder="1" applyAlignment="1">
      <alignment horizontal="left" vertical="top" wrapText="1"/>
    </xf>
    <xf numFmtId="0" fontId="17" fillId="4" borderId="1" xfId="0" applyFont="1" applyFill="1" applyBorder="1" applyAlignment="1">
      <alignment horizontal="left" vertical="top" wrapText="1" shrinkToFit="1"/>
    </xf>
    <xf numFmtId="0" fontId="5" fillId="4" borderId="14" xfId="8" applyFont="1" applyFill="1" applyBorder="1" applyAlignment="1">
      <alignment horizontal="left" vertical="top" wrapText="1"/>
    </xf>
    <xf numFmtId="0" fontId="17" fillId="4" borderId="12" xfId="1" applyFont="1" applyFill="1" applyBorder="1" applyAlignment="1">
      <alignment vertical="top"/>
    </xf>
    <xf numFmtId="0" fontId="17" fillId="4" borderId="14" xfId="1" applyFont="1" applyFill="1" applyBorder="1" applyAlignment="1">
      <alignment vertical="top"/>
    </xf>
    <xf numFmtId="0" fontId="17" fillId="4" borderId="17" xfId="1" applyFont="1" applyFill="1" applyBorder="1" applyAlignment="1">
      <alignment vertical="top" wrapText="1"/>
    </xf>
    <xf numFmtId="0" fontId="5" fillId="4" borderId="11" xfId="2" applyFont="1" applyFill="1" applyBorder="1" applyAlignment="1">
      <alignment vertical="center"/>
    </xf>
    <xf numFmtId="0" fontId="5" fillId="4" borderId="8" xfId="2" applyFont="1" applyFill="1" applyBorder="1" applyAlignment="1">
      <alignment vertical="center"/>
    </xf>
    <xf numFmtId="0" fontId="5" fillId="4" borderId="22" xfId="2" applyFont="1" applyFill="1" applyBorder="1" applyAlignment="1">
      <alignment vertical="center"/>
    </xf>
    <xf numFmtId="0" fontId="17" fillId="4" borderId="5" xfId="1" applyFont="1" applyFill="1" applyBorder="1" applyAlignment="1">
      <alignment vertical="top"/>
    </xf>
    <xf numFmtId="0" fontId="17" fillId="4" borderId="12" xfId="1" applyFont="1" applyFill="1" applyBorder="1" applyAlignment="1">
      <alignment vertical="top" wrapText="1"/>
    </xf>
    <xf numFmtId="0" fontId="17" fillId="4" borderId="1" xfId="1" applyFont="1" applyFill="1" applyBorder="1" applyAlignment="1">
      <alignment vertical="top"/>
    </xf>
    <xf numFmtId="0" fontId="17" fillId="0" borderId="4" xfId="1" applyFont="1" applyBorder="1" applyAlignment="1">
      <alignment horizontal="left" vertical="top"/>
    </xf>
    <xf numFmtId="0" fontId="17" fillId="4" borderId="17" xfId="1" applyFont="1" applyFill="1" applyBorder="1" applyAlignment="1">
      <alignment horizontal="left" vertical="top" wrapText="1"/>
    </xf>
    <xf numFmtId="0" fontId="5" fillId="4" borderId="11" xfId="2" applyFont="1" applyFill="1" applyBorder="1" applyAlignment="1">
      <alignment horizontal="left" vertical="top"/>
    </xf>
    <xf numFmtId="0" fontId="5" fillId="4" borderId="8" xfId="2" applyFont="1" applyFill="1" applyBorder="1" applyAlignment="1">
      <alignment vertical="top"/>
    </xf>
    <xf numFmtId="14" fontId="5" fillId="4" borderId="8" xfId="2" applyNumberFormat="1" applyFont="1" applyFill="1" applyBorder="1" applyAlignment="1">
      <alignment vertical="top"/>
    </xf>
    <xf numFmtId="0" fontId="17" fillId="4" borderId="5" xfId="1" applyFont="1" applyFill="1" applyBorder="1" applyAlignment="1">
      <alignment horizontal="left" vertical="top"/>
    </xf>
    <xf numFmtId="0" fontId="17" fillId="4" borderId="12" xfId="1" applyFont="1" applyFill="1" applyBorder="1" applyAlignment="1">
      <alignment horizontal="left" vertical="top"/>
    </xf>
    <xf numFmtId="0" fontId="17" fillId="4" borderId="14" xfId="1" applyFont="1" applyFill="1" applyBorder="1" applyAlignment="1">
      <alignment horizontal="left" vertical="top"/>
    </xf>
    <xf numFmtId="0" fontId="17" fillId="4" borderId="15" xfId="1" applyFont="1" applyFill="1" applyBorder="1" applyAlignment="1">
      <alignment horizontal="left" vertical="top"/>
    </xf>
    <xf numFmtId="0" fontId="17" fillId="0" borderId="24" xfId="1" applyFont="1" applyBorder="1" applyAlignment="1">
      <alignment horizontal="left" vertical="top" wrapText="1"/>
    </xf>
    <xf numFmtId="0" fontId="17" fillId="0" borderId="24" xfId="1" applyFont="1" applyBorder="1" applyAlignment="1">
      <alignment horizontal="left" vertical="top"/>
    </xf>
    <xf numFmtId="49" fontId="5" fillId="0" borderId="11" xfId="2" applyNumberFormat="1" applyFont="1" applyBorder="1" applyAlignment="1">
      <alignment horizontal="left" vertical="top" wrapText="1"/>
    </xf>
    <xf numFmtId="0" fontId="5" fillId="0" borderId="8" xfId="2" applyFont="1" applyBorder="1" applyAlignment="1">
      <alignment vertical="top" wrapText="1"/>
    </xf>
    <xf numFmtId="0" fontId="5" fillId="0" borderId="8" xfId="2" applyFont="1" applyBorder="1" applyAlignment="1">
      <alignment vertical="top"/>
    </xf>
    <xf numFmtId="0" fontId="17" fillId="0" borderId="4" xfId="1" applyFont="1" applyBorder="1" applyAlignment="1">
      <alignment horizontal="left" vertical="top" wrapText="1"/>
    </xf>
    <xf numFmtId="0" fontId="17" fillId="0" borderId="28" xfId="1" applyFont="1" applyBorder="1" applyAlignment="1">
      <alignment horizontal="left" vertical="top"/>
    </xf>
    <xf numFmtId="0" fontId="17" fillId="0" borderId="15" xfId="1" applyFont="1" applyBorder="1" applyAlignment="1">
      <alignment horizontal="left" vertical="top"/>
    </xf>
    <xf numFmtId="0" fontId="17" fillId="4" borderId="40" xfId="1" applyFont="1" applyFill="1" applyBorder="1" applyAlignment="1">
      <alignment horizontal="left" vertical="top" wrapText="1"/>
    </xf>
    <xf numFmtId="0" fontId="17" fillId="4" borderId="41" xfId="1" applyFont="1" applyFill="1" applyBorder="1" applyAlignment="1">
      <alignment horizontal="left" vertical="top"/>
    </xf>
    <xf numFmtId="0" fontId="17" fillId="4" borderId="1" xfId="1" applyFont="1" applyFill="1" applyBorder="1" applyAlignment="1">
      <alignment horizontal="left" vertical="top"/>
    </xf>
    <xf numFmtId="0" fontId="17" fillId="4" borderId="42" xfId="1" applyFont="1" applyFill="1" applyBorder="1" applyAlignment="1">
      <alignment horizontal="left" vertical="top"/>
    </xf>
    <xf numFmtId="0" fontId="17" fillId="4" borderId="43" xfId="1" applyFont="1" applyFill="1" applyBorder="1" applyAlignment="1">
      <alignment horizontal="left" vertical="top" wrapText="1"/>
    </xf>
    <xf numFmtId="0" fontId="17" fillId="4" borderId="44" xfId="1" applyFont="1" applyFill="1" applyBorder="1" applyAlignment="1">
      <alignment horizontal="left" vertical="top"/>
    </xf>
    <xf numFmtId="0" fontId="17" fillId="4" borderId="45" xfId="1" applyFont="1" applyFill="1" applyBorder="1" applyAlignment="1">
      <alignment horizontal="left" vertical="top"/>
    </xf>
    <xf numFmtId="0" fontId="17" fillId="4" borderId="46" xfId="1" applyFont="1" applyFill="1" applyBorder="1" applyAlignment="1">
      <alignment horizontal="left" vertical="top" wrapText="1"/>
    </xf>
    <xf numFmtId="0" fontId="5" fillId="4" borderId="47" xfId="2" applyFont="1" applyFill="1" applyBorder="1" applyAlignment="1">
      <alignment horizontal="left" vertical="top"/>
    </xf>
    <xf numFmtId="0" fontId="5" fillId="4" borderId="48" xfId="2" applyFont="1" applyFill="1" applyBorder="1" applyAlignment="1">
      <alignment vertical="top"/>
    </xf>
    <xf numFmtId="14" fontId="5" fillId="4" borderId="48" xfId="2" applyNumberFormat="1" applyFont="1" applyFill="1" applyBorder="1" applyAlignment="1">
      <alignment vertical="top"/>
    </xf>
    <xf numFmtId="0" fontId="5" fillId="0" borderId="1" xfId="2" applyFont="1" applyBorder="1" applyAlignment="1">
      <alignment horizontal="left" vertical="top" wrapText="1"/>
    </xf>
    <xf numFmtId="49" fontId="5" fillId="4" borderId="1" xfId="2" applyNumberFormat="1" applyFont="1" applyFill="1" applyBorder="1" applyAlignment="1">
      <alignment vertical="top" wrapText="1"/>
    </xf>
    <xf numFmtId="49" fontId="5" fillId="5" borderId="1" xfId="2" applyNumberFormat="1" applyFont="1" applyFill="1" applyBorder="1" applyAlignment="1">
      <alignment vertical="top" wrapText="1"/>
    </xf>
    <xf numFmtId="49" fontId="5" fillId="0" borderId="1" xfId="2" applyNumberFormat="1" applyFont="1" applyBorder="1" applyAlignment="1">
      <alignment vertical="top" wrapText="1"/>
    </xf>
    <xf numFmtId="0" fontId="5" fillId="0" borderId="1" xfId="8" applyFont="1" applyBorder="1" applyAlignment="1">
      <alignment vertical="top" wrapText="1"/>
    </xf>
    <xf numFmtId="0" fontId="5" fillId="4" borderId="1" xfId="8" applyFont="1" applyFill="1" applyBorder="1" applyAlignment="1">
      <alignment vertical="top" wrapText="1"/>
    </xf>
    <xf numFmtId="0" fontId="17" fillId="0" borderId="1" xfId="1" applyFont="1" applyBorder="1" applyAlignment="1">
      <alignment horizontal="left" vertical="top" wrapText="1"/>
    </xf>
    <xf numFmtId="0" fontId="5" fillId="0" borderId="1" xfId="0" applyFont="1" applyBorder="1" applyAlignment="1">
      <alignment vertical="top" wrapText="1"/>
    </xf>
    <xf numFmtId="0" fontId="5" fillId="0" borderId="5" xfId="0" applyFont="1" applyBorder="1" applyAlignment="1">
      <alignment vertical="top" wrapText="1"/>
    </xf>
    <xf numFmtId="0" fontId="5" fillId="0" borderId="24" xfId="0" applyFont="1" applyBorder="1" applyAlignment="1">
      <alignment vertical="top" wrapText="1"/>
    </xf>
    <xf numFmtId="0" fontId="5" fillId="4" borderId="24" xfId="0" applyFont="1" applyFill="1" applyBorder="1" applyAlignment="1">
      <alignment vertical="top" wrapText="1"/>
    </xf>
    <xf numFmtId="0" fontId="17" fillId="4" borderId="24" xfId="1" applyFont="1" applyFill="1" applyBorder="1" applyAlignment="1">
      <alignment horizontal="left" vertical="top" wrapText="1"/>
    </xf>
    <xf numFmtId="0" fontId="5" fillId="4" borderId="1" xfId="0" applyFont="1" applyFill="1" applyBorder="1" applyAlignment="1">
      <alignment vertical="top" wrapText="1"/>
    </xf>
    <xf numFmtId="49" fontId="17" fillId="4" borderId="1" xfId="1" applyNumberFormat="1" applyFont="1" applyFill="1" applyBorder="1" applyAlignment="1">
      <alignment horizontal="left" vertical="top" wrapText="1"/>
    </xf>
    <xf numFmtId="49" fontId="17" fillId="4" borderId="16" xfId="1" applyNumberFormat="1" applyFont="1" applyFill="1" applyBorder="1" applyAlignment="1">
      <alignment horizontal="left" vertical="top" wrapText="1"/>
    </xf>
    <xf numFmtId="0" fontId="5" fillId="4" borderId="34" xfId="2" applyFont="1" applyFill="1" applyBorder="1" applyAlignment="1">
      <alignment horizontal="left" vertical="top" wrapText="1"/>
    </xf>
    <xf numFmtId="0" fontId="5" fillId="4" borderId="35" xfId="2" applyFont="1" applyFill="1" applyBorder="1" applyAlignment="1">
      <alignment horizontal="left" vertical="top" wrapText="1"/>
    </xf>
    <xf numFmtId="49" fontId="17" fillId="4" borderId="17" xfId="1" applyNumberFormat="1" applyFont="1" applyFill="1" applyBorder="1" applyAlignment="1">
      <alignment horizontal="left" vertical="top" wrapText="1"/>
    </xf>
    <xf numFmtId="0" fontId="5" fillId="4" borderId="11" xfId="2" applyFont="1" applyFill="1" applyBorder="1" applyAlignment="1">
      <alignment horizontal="left" vertical="top" wrapText="1"/>
    </xf>
    <xf numFmtId="0" fontId="5" fillId="4" borderId="8" xfId="2" applyFont="1" applyFill="1" applyBorder="1" applyAlignment="1">
      <alignment horizontal="left" vertical="top" wrapText="1"/>
    </xf>
    <xf numFmtId="0" fontId="17" fillId="4" borderId="3" xfId="1" applyFont="1" applyFill="1" applyBorder="1" applyAlignment="1">
      <alignment horizontal="left" vertical="top"/>
    </xf>
    <xf numFmtId="31" fontId="11" fillId="0" borderId="0" xfId="3" quotePrefix="1" applyNumberFormat="1" applyFont="1" applyAlignment="1">
      <alignment horizontal="center" vertical="center"/>
    </xf>
    <xf numFmtId="178" fontId="5" fillId="0" borderId="12" xfId="5" applyNumberFormat="1" applyFont="1" applyBorder="1" applyAlignment="1">
      <alignment horizontal="right" vertical="top"/>
    </xf>
    <xf numFmtId="178" fontId="5" fillId="0" borderId="13" xfId="5" applyNumberFormat="1" applyFont="1" applyBorder="1" applyAlignment="1">
      <alignment horizontal="right" vertical="top"/>
    </xf>
    <xf numFmtId="178" fontId="5" fillId="0" borderId="14" xfId="5" applyNumberFormat="1" applyFont="1" applyBorder="1" applyAlignment="1">
      <alignment horizontal="right" vertical="top"/>
    </xf>
    <xf numFmtId="0" fontId="5" fillId="0" borderId="18" xfId="3" applyFont="1" applyBorder="1" applyAlignment="1">
      <alignment horizontal="center" vertical="center"/>
    </xf>
    <xf numFmtId="0" fontId="5" fillId="0" borderId="24" xfId="3" applyFont="1" applyBorder="1" applyAlignment="1">
      <alignment horizontal="center" vertical="center"/>
    </xf>
    <xf numFmtId="0" fontId="5" fillId="0" borderId="23" xfId="3" applyFont="1" applyBorder="1" applyAlignment="1">
      <alignment horizontal="center" vertical="center"/>
    </xf>
    <xf numFmtId="0" fontId="5" fillId="2" borderId="12" xfId="4" applyFont="1" applyFill="1" applyBorder="1" applyAlignment="1">
      <alignment horizontal="left" vertical="top"/>
    </xf>
    <xf numFmtId="0" fontId="5" fillId="2" borderId="13" xfId="4" applyFont="1" applyFill="1" applyBorder="1" applyAlignment="1">
      <alignment horizontal="left" vertical="top"/>
    </xf>
    <xf numFmtId="0" fontId="5" fillId="2" borderId="14" xfId="4" applyFont="1" applyFill="1" applyBorder="1" applyAlignment="1">
      <alignment horizontal="left" vertical="top"/>
    </xf>
    <xf numFmtId="0" fontId="5" fillId="0" borderId="12" xfId="7" applyBorder="1" applyAlignment="1">
      <alignment horizontal="left" vertical="top"/>
    </xf>
    <xf numFmtId="0" fontId="5" fillId="0" borderId="13" xfId="7" applyBorder="1" applyAlignment="1">
      <alignment horizontal="left" vertical="top"/>
    </xf>
    <xf numFmtId="0" fontId="5" fillId="0" borderId="14" xfId="7" applyBorder="1" applyAlignment="1">
      <alignment horizontal="left" vertical="top"/>
    </xf>
    <xf numFmtId="0" fontId="5" fillId="0" borderId="12" xfId="4" applyNumberFormat="1" applyFont="1" applyFill="1" applyBorder="1" applyAlignment="1">
      <alignment horizontal="left" vertical="top"/>
    </xf>
    <xf numFmtId="0" fontId="5" fillId="0" borderId="13" xfId="4" applyNumberFormat="1" applyFont="1" applyFill="1" applyBorder="1" applyAlignment="1">
      <alignment horizontal="left" vertical="top"/>
    </xf>
    <xf numFmtId="0" fontId="5" fillId="0" borderId="14" xfId="4" applyNumberFormat="1" applyFont="1" applyFill="1" applyBorder="1" applyAlignment="1">
      <alignment horizontal="left" vertical="top"/>
    </xf>
    <xf numFmtId="0" fontId="5" fillId="2" borderId="18" xfId="4" applyFont="1" applyFill="1" applyBorder="1" applyAlignment="1">
      <alignment horizontal="left" vertical="top"/>
    </xf>
    <xf numFmtId="0" fontId="5" fillId="2" borderId="23" xfId="4" applyFont="1" applyFill="1" applyBorder="1" applyAlignment="1">
      <alignment horizontal="left" vertical="top"/>
    </xf>
    <xf numFmtId="0" fontId="5" fillId="2" borderId="24" xfId="4" applyFont="1" applyFill="1" applyBorder="1" applyAlignment="1">
      <alignment horizontal="left" vertical="top"/>
    </xf>
    <xf numFmtId="0" fontId="5" fillId="2" borderId="19" xfId="4" applyFont="1" applyFill="1" applyBorder="1" applyAlignment="1">
      <alignment horizontal="left" vertical="top"/>
    </xf>
    <xf numFmtId="0" fontId="5" fillId="2" borderId="0" xfId="4" applyFont="1" applyFill="1" applyBorder="1" applyAlignment="1">
      <alignment horizontal="left" vertical="top"/>
    </xf>
    <xf numFmtId="0" fontId="5" fillId="2" borderId="25" xfId="4" applyFont="1" applyFill="1" applyBorder="1" applyAlignment="1">
      <alignment horizontal="left" vertical="top"/>
    </xf>
    <xf numFmtId="0" fontId="5" fillId="2" borderId="26" xfId="4" applyFont="1" applyFill="1" applyBorder="1" applyAlignment="1">
      <alignment horizontal="left" vertical="top"/>
    </xf>
    <xf numFmtId="0" fontId="5" fillId="2" borderId="27" xfId="4" applyFont="1" applyFill="1" applyBorder="1" applyAlignment="1">
      <alignment horizontal="left" vertical="top"/>
    </xf>
    <xf numFmtId="0" fontId="5" fillId="2" borderId="28" xfId="4" applyFont="1" applyFill="1" applyBorder="1" applyAlignment="1">
      <alignment horizontal="left" vertical="top"/>
    </xf>
    <xf numFmtId="0" fontId="5" fillId="0" borderId="18" xfId="4" applyFont="1" applyFill="1" applyBorder="1" applyAlignment="1">
      <alignment horizontal="left" vertical="top" wrapText="1"/>
    </xf>
    <xf numFmtId="0" fontId="5" fillId="0" borderId="23" xfId="4" applyFont="1" applyFill="1" applyBorder="1" applyAlignment="1">
      <alignment horizontal="left" vertical="top" wrapText="1"/>
    </xf>
    <xf numFmtId="0" fontId="5" fillId="0" borderId="24" xfId="4" applyFont="1" applyFill="1" applyBorder="1" applyAlignment="1">
      <alignment horizontal="left" vertical="top" wrapText="1"/>
    </xf>
    <xf numFmtId="0" fontId="5" fillId="0" borderId="19" xfId="4" applyFont="1" applyFill="1" applyBorder="1" applyAlignment="1">
      <alignment horizontal="left" vertical="top" wrapText="1"/>
    </xf>
    <xf numFmtId="0" fontId="5" fillId="0" borderId="0" xfId="4" applyFont="1" applyFill="1" applyBorder="1" applyAlignment="1">
      <alignment horizontal="left" vertical="top" wrapText="1"/>
    </xf>
    <xf numFmtId="0" fontId="5" fillId="0" borderId="25" xfId="4" applyFont="1" applyFill="1" applyBorder="1" applyAlignment="1">
      <alignment horizontal="left" vertical="top" wrapText="1"/>
    </xf>
    <xf numFmtId="0" fontId="5" fillId="0" borderId="26" xfId="4" applyFont="1" applyFill="1" applyBorder="1" applyAlignment="1">
      <alignment horizontal="left" vertical="top" wrapText="1"/>
    </xf>
    <xf numFmtId="0" fontId="5" fillId="0" borderId="27" xfId="4" applyFont="1" applyFill="1" applyBorder="1" applyAlignment="1">
      <alignment horizontal="left" vertical="top" wrapText="1"/>
    </xf>
    <xf numFmtId="0" fontId="5" fillId="0" borderId="28" xfId="4" applyFont="1" applyFill="1" applyBorder="1" applyAlignment="1">
      <alignment horizontal="left" vertical="top" wrapText="1"/>
    </xf>
    <xf numFmtId="14" fontId="5" fillId="0" borderId="12" xfId="4" applyNumberFormat="1" applyFont="1" applyFill="1" applyBorder="1" applyAlignment="1">
      <alignment horizontal="left" vertical="top"/>
    </xf>
    <xf numFmtId="14" fontId="5" fillId="0" borderId="13" xfId="4" applyNumberFormat="1" applyFont="1" applyFill="1" applyBorder="1" applyAlignment="1">
      <alignment horizontal="left" vertical="top"/>
    </xf>
    <xf numFmtId="14" fontId="5" fillId="0" borderId="14" xfId="4" applyNumberFormat="1" applyFont="1" applyFill="1" applyBorder="1" applyAlignment="1">
      <alignment horizontal="left" vertical="top"/>
    </xf>
    <xf numFmtId="0" fontId="5" fillId="0" borderId="12" xfId="3" applyFont="1" applyBorder="1" applyAlignment="1">
      <alignment horizontal="center" vertical="top"/>
    </xf>
    <xf numFmtId="0" fontId="5" fillId="0" borderId="14" xfId="3" applyFont="1" applyBorder="1" applyAlignment="1">
      <alignment horizontal="center" vertical="top"/>
    </xf>
    <xf numFmtId="14" fontId="5" fillId="0" borderId="12" xfId="3" applyNumberFormat="1" applyFont="1" applyBorder="1" applyAlignment="1">
      <alignment horizontal="center" vertical="top"/>
    </xf>
    <xf numFmtId="14" fontId="5" fillId="0" borderId="13" xfId="3" applyNumberFormat="1" applyFont="1" applyBorder="1" applyAlignment="1">
      <alignment horizontal="center" vertical="top"/>
    </xf>
    <xf numFmtId="14" fontId="5" fillId="0" borderId="14" xfId="3" applyNumberFormat="1" applyFont="1" applyBorder="1" applyAlignment="1">
      <alignment horizontal="center" vertical="top"/>
    </xf>
    <xf numFmtId="0" fontId="5" fillId="0" borderId="13" xfId="3" applyFont="1" applyBorder="1" applyAlignment="1">
      <alignment horizontal="center" vertical="top"/>
    </xf>
    <xf numFmtId="0" fontId="5" fillId="0" borderId="12" xfId="3" applyFont="1" applyBorder="1" applyAlignment="1">
      <alignment horizontal="left" vertical="top"/>
    </xf>
    <xf numFmtId="0" fontId="5" fillId="0" borderId="13" xfId="3" applyFont="1" applyBorder="1" applyAlignment="1">
      <alignment horizontal="left" vertical="top"/>
    </xf>
    <xf numFmtId="0" fontId="5" fillId="0" borderId="14" xfId="3" applyFont="1" applyBorder="1" applyAlignment="1">
      <alignment horizontal="left" vertical="top"/>
    </xf>
    <xf numFmtId="0" fontId="5" fillId="0" borderId="12" xfId="3" applyFont="1" applyBorder="1" applyAlignment="1">
      <alignment horizontal="left" vertical="top" wrapText="1"/>
    </xf>
    <xf numFmtId="0" fontId="5" fillId="0" borderId="13" xfId="3" applyFont="1" applyBorder="1" applyAlignment="1">
      <alignment horizontal="left" vertical="top" wrapText="1"/>
    </xf>
    <xf numFmtId="0" fontId="5" fillId="0" borderId="14" xfId="3" applyFont="1" applyBorder="1" applyAlignment="1">
      <alignment horizontal="left" vertical="top" wrapText="1"/>
    </xf>
    <xf numFmtId="0" fontId="5" fillId="0" borderId="30" xfId="3" applyFont="1" applyBorder="1" applyAlignment="1">
      <alignment horizontal="center" vertical="top"/>
    </xf>
    <xf numFmtId="0" fontId="5" fillId="0" borderId="31" xfId="3" applyFont="1" applyBorder="1" applyAlignment="1">
      <alignment horizontal="center" vertical="top"/>
    </xf>
    <xf numFmtId="14" fontId="5" fillId="0" borderId="30" xfId="3" quotePrefix="1" applyNumberFormat="1" applyFont="1" applyBorder="1" applyAlignment="1">
      <alignment horizontal="center" vertical="top"/>
    </xf>
    <xf numFmtId="14" fontId="5" fillId="0" borderId="32" xfId="3" quotePrefix="1" applyNumberFormat="1" applyFont="1" applyBorder="1" applyAlignment="1">
      <alignment horizontal="center" vertical="top"/>
    </xf>
    <xf numFmtId="14" fontId="5" fillId="0" borderId="31" xfId="3" quotePrefix="1" applyNumberFormat="1" applyFont="1" applyBorder="1" applyAlignment="1">
      <alignment horizontal="center" vertical="top"/>
    </xf>
    <xf numFmtId="14" fontId="5" fillId="0" borderId="30" xfId="3" applyNumberFormat="1" applyFont="1" applyBorder="1" applyAlignment="1">
      <alignment horizontal="center" vertical="top"/>
    </xf>
    <xf numFmtId="0" fontId="5" fillId="0" borderId="32" xfId="3" applyFont="1" applyBorder="1" applyAlignment="1">
      <alignment horizontal="center" vertical="top"/>
    </xf>
    <xf numFmtId="0" fontId="5" fillId="0" borderId="30" xfId="3" applyFont="1" applyBorder="1" applyAlignment="1">
      <alignment horizontal="left" vertical="top"/>
    </xf>
    <xf numFmtId="0" fontId="5" fillId="0" borderId="32" xfId="3" applyFont="1" applyBorder="1" applyAlignment="1">
      <alignment horizontal="left" vertical="top"/>
    </xf>
    <xf numFmtId="0" fontId="5" fillId="0" borderId="31" xfId="3" applyFont="1" applyBorder="1" applyAlignment="1">
      <alignment horizontal="left" vertical="top"/>
    </xf>
    <xf numFmtId="0" fontId="5" fillId="0" borderId="30" xfId="3" applyFont="1" applyBorder="1" applyAlignment="1">
      <alignment horizontal="left" vertical="top" wrapText="1"/>
    </xf>
    <xf numFmtId="0" fontId="5" fillId="0" borderId="32" xfId="3" applyFont="1" applyBorder="1" applyAlignment="1">
      <alignment horizontal="left" vertical="top" wrapText="1"/>
    </xf>
    <xf numFmtId="0" fontId="5" fillId="0" borderId="31" xfId="3" applyFont="1" applyBorder="1" applyAlignment="1">
      <alignment horizontal="left" vertical="top" wrapText="1"/>
    </xf>
    <xf numFmtId="0" fontId="15" fillId="0" borderId="13" xfId="3" applyFont="1" applyBorder="1" applyAlignment="1">
      <alignment horizontal="left" vertical="top"/>
    </xf>
    <xf numFmtId="0" fontId="5" fillId="0" borderId="4" xfId="8" applyFont="1" applyFill="1" applyBorder="1" applyAlignment="1">
      <alignment horizontal="left" vertical="top" wrapText="1"/>
    </xf>
    <xf numFmtId="0" fontId="17" fillId="4" borderId="12" xfId="1" applyFont="1" applyFill="1" applyBorder="1" applyAlignment="1">
      <alignment horizontal="left" vertical="top" wrapText="1"/>
    </xf>
    <xf numFmtId="0" fontId="0" fillId="4" borderId="14" xfId="0" applyFill="1" applyBorder="1" applyAlignment="1">
      <alignment horizontal="left" vertical="top" wrapText="1"/>
    </xf>
  </cellXfs>
  <cellStyles count="9">
    <cellStyle name="パーセント 2" xfId="6" xr:uid="{00000000-0005-0000-0000-000000000000}"/>
    <cellStyle name="標準" xfId="0" builtinId="0"/>
    <cellStyle name="標準 12" xfId="8" xr:uid="{CF99E306-7AC0-42FB-8487-071787625EB2}"/>
    <cellStyle name="標準 2" xfId="1" xr:uid="{00000000-0005-0000-0000-000003000000}"/>
    <cellStyle name="標準 2 2" xfId="5" xr:uid="{00000000-0005-0000-0000-000004000000}"/>
    <cellStyle name="標準 3" xfId="3" xr:uid="{00000000-0005-0000-0000-000005000000}"/>
    <cellStyle name="標準_画面標準" xfId="4" xr:uid="{00000000-0005-0000-0000-000006000000}"/>
    <cellStyle name="標準_画面標準定義" xfId="7" xr:uid="{00000000-0005-0000-0000-000007000000}"/>
    <cellStyle name="標準_方式設計書(14.開発標準：D03サンプル_自動テスト仕様書：ＤＢアクセス)_V1.00" xfId="2" xr:uid="{00000000-0005-0000-0000-000008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53375" y="285750"/>
          <a:ext cx="1400175"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画面</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プロジェクト管理システム</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機能名</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画面名</a:t>
          </a:r>
          <a:r>
            <a:rPr lang="en-US" altLang="ja-JP" sz="1800" b="1" i="0" u="none" strike="noStrike" baseline="0">
              <a:solidFill>
                <a:srgbClr val="000000"/>
              </a:solidFill>
              <a:latin typeface="ＭＳ 明朝"/>
              <a:ea typeface="ＭＳ 明朝"/>
            </a:rPr>
            <a: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6.625" defaultRowHeight="13.5"/>
  <cols>
    <col min="1" max="16384" width="6.625" style="1"/>
  </cols>
  <sheetData>
    <row r="1" spans="1:3" ht="13.5" customHeight="1">
      <c r="B1" s="2"/>
      <c r="C1" s="3"/>
    </row>
    <row r="2" spans="1:3" ht="19.5" customHeight="1">
      <c r="A2" s="4"/>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5"/>
      <c r="H22" s="5"/>
    </row>
    <row r="23" spans="6:11" ht="17.25" customHeight="1">
      <c r="F23" s="5"/>
      <c r="G23" s="5"/>
      <c r="H23" s="5"/>
      <c r="J23" s="6" t="s">
        <v>42</v>
      </c>
    </row>
    <row r="24" spans="6:11" ht="13.5" customHeight="1">
      <c r="F24" s="5"/>
      <c r="G24" s="5"/>
      <c r="H24" s="5"/>
    </row>
    <row r="25" spans="6:11" ht="18" customHeight="1">
      <c r="F25" s="5"/>
      <c r="G25" s="5"/>
      <c r="H25" s="5"/>
      <c r="I25" s="257" t="str">
        <f ca="1">IF(INDIRECT("変更履歴!D8")="","",MAX(INDIRECT("変更履歴!D8"):INDIRECT("変更履歴!F33")))</f>
        <v/>
      </c>
      <c r="J25" s="257"/>
      <c r="K25" s="257"/>
    </row>
    <row r="26" spans="6:11" ht="13.5" customHeight="1">
      <c r="F26" s="5"/>
      <c r="G26" s="5"/>
      <c r="H26" s="5"/>
    </row>
    <row r="27" spans="6:11" ht="13.5" customHeight="1">
      <c r="F27" s="5"/>
      <c r="G27" s="5"/>
      <c r="H27" s="5"/>
    </row>
    <row r="28" spans="6:11" ht="13.5" customHeight="1">
      <c r="F28" s="7"/>
      <c r="G28" s="5"/>
      <c r="H28" s="5"/>
    </row>
    <row r="29" spans="6:11" ht="15" customHeight="1">
      <c r="F29" s="5"/>
      <c r="H29" s="5"/>
    </row>
    <row r="30" spans="6:11" ht="13.5" customHeight="1">
      <c r="F30" s="5"/>
      <c r="G30" s="8"/>
      <c r="H30" s="5"/>
    </row>
    <row r="31" spans="6:11" ht="18.75" customHeight="1">
      <c r="F31" s="5"/>
      <c r="G31" s="8"/>
      <c r="H31" s="5"/>
    </row>
    <row r="32" spans="6:11" ht="18.75">
      <c r="F32" s="5"/>
      <c r="G32" s="8"/>
      <c r="H32" s="5"/>
      <c r="J32" s="9" t="s">
        <v>43</v>
      </c>
    </row>
    <row r="33" spans="6:10" ht="18.75">
      <c r="F33" s="5"/>
      <c r="H33" s="5"/>
      <c r="J33" s="10"/>
    </row>
    <row r="34" spans="6:10" ht="18.75">
      <c r="F34" s="5"/>
      <c r="H34" s="5"/>
      <c r="J34" s="9" t="s">
        <v>44</v>
      </c>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2"/>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625" defaultRowHeight="11.25"/>
  <cols>
    <col min="1" max="16384" width="3.625" style="23"/>
  </cols>
  <sheetData>
    <row r="1" spans="1:40" s="13" customFormat="1" ht="12" customHeight="1">
      <c r="A1" s="264" t="s">
        <v>45</v>
      </c>
      <c r="B1" s="265"/>
      <c r="C1" s="265"/>
      <c r="D1" s="266"/>
      <c r="E1" s="267" t="s">
        <v>549</v>
      </c>
      <c r="F1" s="268"/>
      <c r="G1" s="268"/>
      <c r="H1" s="268"/>
      <c r="I1" s="268"/>
      <c r="J1" s="268"/>
      <c r="K1" s="268"/>
      <c r="L1" s="268"/>
      <c r="M1" s="268"/>
      <c r="N1" s="269"/>
      <c r="O1" s="273" t="s">
        <v>46</v>
      </c>
      <c r="P1" s="274"/>
      <c r="Q1" s="274"/>
      <c r="R1" s="275"/>
      <c r="S1" s="282" t="s">
        <v>58</v>
      </c>
      <c r="T1" s="283"/>
      <c r="U1" s="283"/>
      <c r="V1" s="283"/>
      <c r="W1" s="283"/>
      <c r="X1" s="283"/>
      <c r="Y1" s="283"/>
      <c r="Z1" s="284"/>
      <c r="AA1" s="264" t="s">
        <v>47</v>
      </c>
      <c r="AB1" s="266"/>
      <c r="AC1" s="291" t="str">
        <f>IF(AF8="","",AF8)</f>
        <v/>
      </c>
      <c r="AD1" s="292"/>
      <c r="AE1" s="292"/>
      <c r="AF1" s="293"/>
      <c r="AG1" s="258" t="str">
        <f>IF(D8="","",D8)</f>
        <v/>
      </c>
      <c r="AH1" s="259"/>
      <c r="AI1" s="260"/>
      <c r="AJ1" s="11"/>
      <c r="AK1" s="11"/>
      <c r="AL1" s="11"/>
      <c r="AM1" s="11"/>
      <c r="AN1" s="12"/>
    </row>
    <row r="2" spans="1:40" s="13" customFormat="1" ht="12" customHeight="1">
      <c r="A2" s="264" t="s">
        <v>48</v>
      </c>
      <c r="B2" s="265"/>
      <c r="C2" s="265"/>
      <c r="D2" s="266"/>
      <c r="E2" s="267" t="s">
        <v>550</v>
      </c>
      <c r="F2" s="268"/>
      <c r="G2" s="268"/>
      <c r="H2" s="268"/>
      <c r="I2" s="268"/>
      <c r="J2" s="268"/>
      <c r="K2" s="268"/>
      <c r="L2" s="268"/>
      <c r="M2" s="268"/>
      <c r="N2" s="269"/>
      <c r="O2" s="276"/>
      <c r="P2" s="277"/>
      <c r="Q2" s="277"/>
      <c r="R2" s="278"/>
      <c r="S2" s="285"/>
      <c r="T2" s="286"/>
      <c r="U2" s="286"/>
      <c r="V2" s="286"/>
      <c r="W2" s="286"/>
      <c r="X2" s="286"/>
      <c r="Y2" s="286"/>
      <c r="Z2" s="287"/>
      <c r="AA2" s="264" t="s">
        <v>49</v>
      </c>
      <c r="AB2" s="266"/>
      <c r="AC2" s="270" t="str">
        <f ca="1">IF(COUNTA(AF9:AF33)&lt;&gt;0,INDIRECT("AF"&amp;(COUNTA(AF9:AF33)+8)),"")</f>
        <v/>
      </c>
      <c r="AD2" s="271"/>
      <c r="AE2" s="271"/>
      <c r="AF2" s="272"/>
      <c r="AG2" s="258" t="str">
        <f>IF(D9="","",MAX(D9:F33))</f>
        <v/>
      </c>
      <c r="AH2" s="259"/>
      <c r="AI2" s="260"/>
      <c r="AJ2" s="11"/>
      <c r="AK2" s="11"/>
      <c r="AL2" s="11"/>
      <c r="AM2" s="11"/>
      <c r="AN2" s="11"/>
    </row>
    <row r="3" spans="1:40" s="13" customFormat="1" ht="12" customHeight="1">
      <c r="A3" s="264" t="s">
        <v>50</v>
      </c>
      <c r="B3" s="265"/>
      <c r="C3" s="265"/>
      <c r="D3" s="266"/>
      <c r="E3" s="267" t="s">
        <v>551</v>
      </c>
      <c r="F3" s="268"/>
      <c r="G3" s="268"/>
      <c r="H3" s="268"/>
      <c r="I3" s="268"/>
      <c r="J3" s="268"/>
      <c r="K3" s="268"/>
      <c r="L3" s="268"/>
      <c r="M3" s="268"/>
      <c r="N3" s="269"/>
      <c r="O3" s="279"/>
      <c r="P3" s="280"/>
      <c r="Q3" s="280"/>
      <c r="R3" s="281"/>
      <c r="S3" s="288"/>
      <c r="T3" s="289"/>
      <c r="U3" s="289"/>
      <c r="V3" s="289"/>
      <c r="W3" s="289"/>
      <c r="X3" s="289"/>
      <c r="Y3" s="289"/>
      <c r="Z3" s="290"/>
      <c r="AA3" s="264"/>
      <c r="AB3" s="266"/>
      <c r="AC3" s="291"/>
      <c r="AD3" s="292"/>
      <c r="AE3" s="292"/>
      <c r="AF3" s="293"/>
      <c r="AG3" s="258"/>
      <c r="AH3" s="259"/>
      <c r="AI3" s="260"/>
      <c r="AJ3" s="11"/>
      <c r="AK3" s="11"/>
      <c r="AL3" s="11"/>
      <c r="AM3" s="11"/>
      <c r="AN3" s="11"/>
    </row>
    <row r="5" spans="1:40" s="14" customFormat="1" ht="22.5" customHeight="1">
      <c r="N5" s="15" t="s">
        <v>51</v>
      </c>
      <c r="AA5" s="16"/>
      <c r="AB5" s="16"/>
      <c r="AC5" s="17"/>
      <c r="AD5" s="18"/>
      <c r="AE5" s="18"/>
      <c r="AF5" s="18"/>
      <c r="AG5" s="16"/>
      <c r="AH5" s="16"/>
      <c r="AI5" s="16"/>
    </row>
    <row r="6" spans="1:40" s="14" customFormat="1" ht="15" customHeight="1">
      <c r="N6" s="15"/>
      <c r="AA6" s="16"/>
      <c r="AB6" s="16"/>
      <c r="AC6" s="17"/>
      <c r="AD6" s="18"/>
      <c r="AE6" s="18"/>
      <c r="AF6" s="18"/>
      <c r="AG6" s="16"/>
      <c r="AH6" s="16"/>
      <c r="AI6" s="16"/>
    </row>
    <row r="7" spans="1:40" s="20" customFormat="1" ht="15" customHeight="1" thickBot="1">
      <c r="A7" s="19" t="s">
        <v>52</v>
      </c>
      <c r="B7" s="261" t="s">
        <v>53</v>
      </c>
      <c r="C7" s="262"/>
      <c r="D7" s="261" t="s">
        <v>54</v>
      </c>
      <c r="E7" s="263"/>
      <c r="F7" s="262"/>
      <c r="G7" s="261" t="s">
        <v>9</v>
      </c>
      <c r="H7" s="263"/>
      <c r="I7" s="262"/>
      <c r="J7" s="261" t="s">
        <v>55</v>
      </c>
      <c r="K7" s="263"/>
      <c r="L7" s="263"/>
      <c r="M7" s="263"/>
      <c r="N7" s="263"/>
      <c r="O7" s="263"/>
      <c r="P7" s="262"/>
      <c r="Q7" s="261" t="s">
        <v>56</v>
      </c>
      <c r="R7" s="263"/>
      <c r="S7" s="263"/>
      <c r="T7" s="263"/>
      <c r="U7" s="263"/>
      <c r="V7" s="263"/>
      <c r="W7" s="263"/>
      <c r="X7" s="263"/>
      <c r="Y7" s="263"/>
      <c r="Z7" s="263"/>
      <c r="AA7" s="263"/>
      <c r="AB7" s="263"/>
      <c r="AC7" s="263"/>
      <c r="AD7" s="263"/>
      <c r="AE7" s="262"/>
      <c r="AF7" s="261" t="s">
        <v>57</v>
      </c>
      <c r="AG7" s="263"/>
      <c r="AH7" s="263"/>
      <c r="AI7" s="262"/>
    </row>
    <row r="8" spans="1:40" s="20" customFormat="1" ht="15" customHeight="1" thickTop="1">
      <c r="A8" s="21"/>
      <c r="B8" s="306"/>
      <c r="C8" s="307"/>
      <c r="D8" s="308"/>
      <c r="E8" s="309"/>
      <c r="F8" s="310"/>
      <c r="G8" s="311"/>
      <c r="H8" s="312"/>
      <c r="I8" s="307"/>
      <c r="J8" s="313"/>
      <c r="K8" s="314"/>
      <c r="L8" s="314"/>
      <c r="M8" s="314"/>
      <c r="N8" s="314"/>
      <c r="O8" s="314"/>
      <c r="P8" s="315"/>
      <c r="Q8" s="316"/>
      <c r="R8" s="317"/>
      <c r="S8" s="317"/>
      <c r="T8" s="317"/>
      <c r="U8" s="317"/>
      <c r="V8" s="317"/>
      <c r="W8" s="317"/>
      <c r="X8" s="317"/>
      <c r="Y8" s="317"/>
      <c r="Z8" s="317"/>
      <c r="AA8" s="317"/>
      <c r="AB8" s="317"/>
      <c r="AC8" s="317"/>
      <c r="AD8" s="317"/>
      <c r="AE8" s="318"/>
      <c r="AF8" s="313"/>
      <c r="AG8" s="314"/>
      <c r="AH8" s="314"/>
      <c r="AI8" s="315"/>
    </row>
    <row r="9" spans="1:40" s="20" customFormat="1" ht="15" customHeight="1">
      <c r="A9" s="22"/>
      <c r="B9" s="294"/>
      <c r="C9" s="295"/>
      <c r="D9" s="296"/>
      <c r="E9" s="297"/>
      <c r="F9" s="298"/>
      <c r="G9" s="296"/>
      <c r="H9" s="299"/>
      <c r="I9" s="295"/>
      <c r="J9" s="300"/>
      <c r="K9" s="301"/>
      <c r="L9" s="301"/>
      <c r="M9" s="301"/>
      <c r="N9" s="301"/>
      <c r="O9" s="301"/>
      <c r="P9" s="302"/>
      <c r="Q9" s="303"/>
      <c r="R9" s="304"/>
      <c r="S9" s="304"/>
      <c r="T9" s="304"/>
      <c r="U9" s="304"/>
      <c r="V9" s="304"/>
      <c r="W9" s="304"/>
      <c r="X9" s="304"/>
      <c r="Y9" s="304"/>
      <c r="Z9" s="304"/>
      <c r="AA9" s="304"/>
      <c r="AB9" s="304"/>
      <c r="AC9" s="304"/>
      <c r="AD9" s="304"/>
      <c r="AE9" s="305"/>
      <c r="AF9" s="300"/>
      <c r="AG9" s="301"/>
      <c r="AH9" s="301"/>
      <c r="AI9" s="302"/>
    </row>
    <row r="10" spans="1:40" s="20" customFormat="1" ht="15" customHeight="1">
      <c r="A10" s="22"/>
      <c r="B10" s="294"/>
      <c r="C10" s="295"/>
      <c r="D10" s="296"/>
      <c r="E10" s="297"/>
      <c r="F10" s="298"/>
      <c r="G10" s="294"/>
      <c r="H10" s="299"/>
      <c r="I10" s="295"/>
      <c r="J10" s="300"/>
      <c r="K10" s="301"/>
      <c r="L10" s="301"/>
      <c r="M10" s="301"/>
      <c r="N10" s="301"/>
      <c r="O10" s="301"/>
      <c r="P10" s="302"/>
      <c r="Q10" s="303"/>
      <c r="R10" s="304"/>
      <c r="S10" s="304"/>
      <c r="T10" s="304"/>
      <c r="U10" s="304"/>
      <c r="V10" s="304"/>
      <c r="W10" s="304"/>
      <c r="X10" s="304"/>
      <c r="Y10" s="304"/>
      <c r="Z10" s="304"/>
      <c r="AA10" s="304"/>
      <c r="AB10" s="304"/>
      <c r="AC10" s="304"/>
      <c r="AD10" s="304"/>
      <c r="AE10" s="305"/>
      <c r="AF10" s="300"/>
      <c r="AG10" s="301"/>
      <c r="AH10" s="301"/>
      <c r="AI10" s="302"/>
    </row>
    <row r="11" spans="1:40" s="20" customFormat="1" ht="15" customHeight="1">
      <c r="A11" s="22"/>
      <c r="B11" s="294"/>
      <c r="C11" s="295"/>
      <c r="D11" s="296"/>
      <c r="E11" s="297"/>
      <c r="F11" s="298"/>
      <c r="G11" s="294"/>
      <c r="H11" s="299"/>
      <c r="I11" s="295"/>
      <c r="J11" s="300"/>
      <c r="K11" s="301"/>
      <c r="L11" s="301"/>
      <c r="M11" s="301"/>
      <c r="N11" s="301"/>
      <c r="O11" s="301"/>
      <c r="P11" s="302"/>
      <c r="Q11" s="303"/>
      <c r="R11" s="304"/>
      <c r="S11" s="304"/>
      <c r="T11" s="304"/>
      <c r="U11" s="304"/>
      <c r="V11" s="304"/>
      <c r="W11" s="304"/>
      <c r="X11" s="304"/>
      <c r="Y11" s="304"/>
      <c r="Z11" s="304"/>
      <c r="AA11" s="304"/>
      <c r="AB11" s="304"/>
      <c r="AC11" s="304"/>
      <c r="AD11" s="304"/>
      <c r="AE11" s="305"/>
      <c r="AF11" s="300"/>
      <c r="AG11" s="301"/>
      <c r="AH11" s="301"/>
      <c r="AI11" s="302"/>
    </row>
    <row r="12" spans="1:40" s="20" customFormat="1" ht="15" customHeight="1">
      <c r="A12" s="22"/>
      <c r="B12" s="294"/>
      <c r="C12" s="295"/>
      <c r="D12" s="296"/>
      <c r="E12" s="297"/>
      <c r="F12" s="298"/>
      <c r="G12" s="294"/>
      <c r="H12" s="299"/>
      <c r="I12" s="295"/>
      <c r="J12" s="300"/>
      <c r="K12" s="301"/>
      <c r="L12" s="301"/>
      <c r="M12" s="301"/>
      <c r="N12" s="301"/>
      <c r="O12" s="301"/>
      <c r="P12" s="302"/>
      <c r="Q12" s="303"/>
      <c r="R12" s="304"/>
      <c r="S12" s="304"/>
      <c r="T12" s="304"/>
      <c r="U12" s="304"/>
      <c r="V12" s="304"/>
      <c r="W12" s="304"/>
      <c r="X12" s="304"/>
      <c r="Y12" s="304"/>
      <c r="Z12" s="304"/>
      <c r="AA12" s="304"/>
      <c r="AB12" s="304"/>
      <c r="AC12" s="304"/>
      <c r="AD12" s="304"/>
      <c r="AE12" s="305"/>
      <c r="AF12" s="300"/>
      <c r="AG12" s="301"/>
      <c r="AH12" s="301"/>
      <c r="AI12" s="302"/>
    </row>
    <row r="13" spans="1:40" s="20" customFormat="1" ht="15" customHeight="1">
      <c r="A13" s="22"/>
      <c r="B13" s="294"/>
      <c r="C13" s="295"/>
      <c r="D13" s="296"/>
      <c r="E13" s="297"/>
      <c r="F13" s="298"/>
      <c r="G13" s="294"/>
      <c r="H13" s="299"/>
      <c r="I13" s="295"/>
      <c r="J13" s="300"/>
      <c r="K13" s="301"/>
      <c r="L13" s="301"/>
      <c r="M13" s="301"/>
      <c r="N13" s="301"/>
      <c r="O13" s="301"/>
      <c r="P13" s="302"/>
      <c r="Q13" s="303"/>
      <c r="R13" s="304"/>
      <c r="S13" s="304"/>
      <c r="T13" s="304"/>
      <c r="U13" s="304"/>
      <c r="V13" s="304"/>
      <c r="W13" s="304"/>
      <c r="X13" s="304"/>
      <c r="Y13" s="304"/>
      <c r="Z13" s="304"/>
      <c r="AA13" s="304"/>
      <c r="AB13" s="304"/>
      <c r="AC13" s="304"/>
      <c r="AD13" s="304"/>
      <c r="AE13" s="305"/>
      <c r="AF13" s="300"/>
      <c r="AG13" s="301"/>
      <c r="AH13" s="301"/>
      <c r="AI13" s="302"/>
    </row>
    <row r="14" spans="1:40" s="20" customFormat="1" ht="15" customHeight="1">
      <c r="A14" s="22"/>
      <c r="B14" s="294"/>
      <c r="C14" s="295"/>
      <c r="D14" s="296"/>
      <c r="E14" s="297"/>
      <c r="F14" s="298"/>
      <c r="G14" s="294"/>
      <c r="H14" s="299"/>
      <c r="I14" s="295"/>
      <c r="J14" s="300"/>
      <c r="K14" s="301"/>
      <c r="L14" s="301"/>
      <c r="M14" s="301"/>
      <c r="N14" s="301"/>
      <c r="O14" s="301"/>
      <c r="P14" s="302"/>
      <c r="Q14" s="303"/>
      <c r="R14" s="304"/>
      <c r="S14" s="304"/>
      <c r="T14" s="304"/>
      <c r="U14" s="304"/>
      <c r="V14" s="304"/>
      <c r="W14" s="304"/>
      <c r="X14" s="304"/>
      <c r="Y14" s="304"/>
      <c r="Z14" s="304"/>
      <c r="AA14" s="304"/>
      <c r="AB14" s="304"/>
      <c r="AC14" s="304"/>
      <c r="AD14" s="304"/>
      <c r="AE14" s="305"/>
      <c r="AF14" s="300"/>
      <c r="AG14" s="301"/>
      <c r="AH14" s="301"/>
      <c r="AI14" s="302"/>
    </row>
    <row r="15" spans="1:40" s="20" customFormat="1" ht="15" customHeight="1">
      <c r="A15" s="22"/>
      <c r="B15" s="294"/>
      <c r="C15" s="295"/>
      <c r="D15" s="296"/>
      <c r="E15" s="297"/>
      <c r="F15" s="298"/>
      <c r="G15" s="294"/>
      <c r="H15" s="299"/>
      <c r="I15" s="295"/>
      <c r="J15" s="300"/>
      <c r="K15" s="301"/>
      <c r="L15" s="301"/>
      <c r="M15" s="301"/>
      <c r="N15" s="301"/>
      <c r="O15" s="301"/>
      <c r="P15" s="302"/>
      <c r="Q15" s="303"/>
      <c r="R15" s="304"/>
      <c r="S15" s="304"/>
      <c r="T15" s="304"/>
      <c r="U15" s="304"/>
      <c r="V15" s="304"/>
      <c r="W15" s="304"/>
      <c r="X15" s="304"/>
      <c r="Y15" s="304"/>
      <c r="Z15" s="304"/>
      <c r="AA15" s="304"/>
      <c r="AB15" s="304"/>
      <c r="AC15" s="304"/>
      <c r="AD15" s="304"/>
      <c r="AE15" s="305"/>
      <c r="AF15" s="300"/>
      <c r="AG15" s="301"/>
      <c r="AH15" s="301"/>
      <c r="AI15" s="302"/>
    </row>
    <row r="16" spans="1:40" s="20" customFormat="1" ht="15" customHeight="1">
      <c r="A16" s="22"/>
      <c r="B16" s="294"/>
      <c r="C16" s="295"/>
      <c r="D16" s="296"/>
      <c r="E16" s="297"/>
      <c r="F16" s="298"/>
      <c r="G16" s="294"/>
      <c r="H16" s="299"/>
      <c r="I16" s="295"/>
      <c r="J16" s="300"/>
      <c r="K16" s="301"/>
      <c r="L16" s="301"/>
      <c r="M16" s="301"/>
      <c r="N16" s="301"/>
      <c r="O16" s="301"/>
      <c r="P16" s="302"/>
      <c r="Q16" s="303"/>
      <c r="R16" s="304"/>
      <c r="S16" s="304"/>
      <c r="T16" s="304"/>
      <c r="U16" s="304"/>
      <c r="V16" s="304"/>
      <c r="W16" s="304"/>
      <c r="X16" s="304"/>
      <c r="Y16" s="304"/>
      <c r="Z16" s="304"/>
      <c r="AA16" s="304"/>
      <c r="AB16" s="304"/>
      <c r="AC16" s="304"/>
      <c r="AD16" s="304"/>
      <c r="AE16" s="305"/>
      <c r="AF16" s="300"/>
      <c r="AG16" s="301"/>
      <c r="AH16" s="301"/>
      <c r="AI16" s="302"/>
    </row>
    <row r="17" spans="1:35" s="20" customFormat="1" ht="15" customHeight="1">
      <c r="A17" s="22"/>
      <c r="B17" s="294"/>
      <c r="C17" s="295"/>
      <c r="D17" s="296"/>
      <c r="E17" s="297"/>
      <c r="F17" s="298"/>
      <c r="G17" s="294"/>
      <c r="H17" s="299"/>
      <c r="I17" s="295"/>
      <c r="J17" s="300"/>
      <c r="K17" s="301"/>
      <c r="L17" s="301"/>
      <c r="M17" s="301"/>
      <c r="N17" s="301"/>
      <c r="O17" s="301"/>
      <c r="P17" s="302"/>
      <c r="Q17" s="303"/>
      <c r="R17" s="304"/>
      <c r="S17" s="304"/>
      <c r="T17" s="304"/>
      <c r="U17" s="304"/>
      <c r="V17" s="304"/>
      <c r="W17" s="304"/>
      <c r="X17" s="304"/>
      <c r="Y17" s="304"/>
      <c r="Z17" s="304"/>
      <c r="AA17" s="304"/>
      <c r="AB17" s="304"/>
      <c r="AC17" s="304"/>
      <c r="AD17" s="304"/>
      <c r="AE17" s="305"/>
      <c r="AF17" s="300"/>
      <c r="AG17" s="301"/>
      <c r="AH17" s="301"/>
      <c r="AI17" s="302"/>
    </row>
    <row r="18" spans="1:35" s="20" customFormat="1" ht="15" customHeight="1">
      <c r="A18" s="22"/>
      <c r="B18" s="294"/>
      <c r="C18" s="295"/>
      <c r="D18" s="296"/>
      <c r="E18" s="297"/>
      <c r="F18" s="298"/>
      <c r="G18" s="294"/>
      <c r="H18" s="299"/>
      <c r="I18" s="295"/>
      <c r="J18" s="300"/>
      <c r="K18" s="301"/>
      <c r="L18" s="301"/>
      <c r="M18" s="301"/>
      <c r="N18" s="301"/>
      <c r="O18" s="301"/>
      <c r="P18" s="302"/>
      <c r="Q18" s="303"/>
      <c r="R18" s="304"/>
      <c r="S18" s="304"/>
      <c r="T18" s="304"/>
      <c r="U18" s="304"/>
      <c r="V18" s="304"/>
      <c r="W18" s="304"/>
      <c r="X18" s="304"/>
      <c r="Y18" s="304"/>
      <c r="Z18" s="304"/>
      <c r="AA18" s="304"/>
      <c r="AB18" s="304"/>
      <c r="AC18" s="304"/>
      <c r="AD18" s="304"/>
      <c r="AE18" s="305"/>
      <c r="AF18" s="300"/>
      <c r="AG18" s="301"/>
      <c r="AH18" s="301"/>
      <c r="AI18" s="302"/>
    </row>
    <row r="19" spans="1:35" s="20" customFormat="1" ht="15" customHeight="1">
      <c r="A19" s="22"/>
      <c r="B19" s="294"/>
      <c r="C19" s="295"/>
      <c r="D19" s="296"/>
      <c r="E19" s="297"/>
      <c r="F19" s="298"/>
      <c r="G19" s="294"/>
      <c r="H19" s="299"/>
      <c r="I19" s="295"/>
      <c r="J19" s="300"/>
      <c r="K19" s="301"/>
      <c r="L19" s="301"/>
      <c r="M19" s="301"/>
      <c r="N19" s="301"/>
      <c r="O19" s="301"/>
      <c r="P19" s="302"/>
      <c r="Q19" s="303"/>
      <c r="R19" s="304"/>
      <c r="S19" s="304"/>
      <c r="T19" s="304"/>
      <c r="U19" s="304"/>
      <c r="V19" s="304"/>
      <c r="W19" s="304"/>
      <c r="X19" s="304"/>
      <c r="Y19" s="304"/>
      <c r="Z19" s="304"/>
      <c r="AA19" s="304"/>
      <c r="AB19" s="304"/>
      <c r="AC19" s="304"/>
      <c r="AD19" s="304"/>
      <c r="AE19" s="305"/>
      <c r="AF19" s="300"/>
      <c r="AG19" s="301"/>
      <c r="AH19" s="301"/>
      <c r="AI19" s="302"/>
    </row>
    <row r="20" spans="1:35" s="20" customFormat="1" ht="15" customHeight="1">
      <c r="A20" s="22"/>
      <c r="B20" s="294"/>
      <c r="C20" s="295"/>
      <c r="D20" s="296"/>
      <c r="E20" s="297"/>
      <c r="F20" s="298"/>
      <c r="G20" s="294"/>
      <c r="H20" s="299"/>
      <c r="I20" s="295"/>
      <c r="J20" s="300"/>
      <c r="K20" s="301"/>
      <c r="L20" s="301"/>
      <c r="M20" s="301"/>
      <c r="N20" s="301"/>
      <c r="O20" s="301"/>
      <c r="P20" s="302"/>
      <c r="Q20" s="303"/>
      <c r="R20" s="304"/>
      <c r="S20" s="304"/>
      <c r="T20" s="304"/>
      <c r="U20" s="304"/>
      <c r="V20" s="304"/>
      <c r="W20" s="304"/>
      <c r="X20" s="304"/>
      <c r="Y20" s="304"/>
      <c r="Z20" s="304"/>
      <c r="AA20" s="304"/>
      <c r="AB20" s="304"/>
      <c r="AC20" s="304"/>
      <c r="AD20" s="304"/>
      <c r="AE20" s="305"/>
      <c r="AF20" s="300"/>
      <c r="AG20" s="301"/>
      <c r="AH20" s="301"/>
      <c r="AI20" s="302"/>
    </row>
    <row r="21" spans="1:35" s="20" customFormat="1" ht="15" customHeight="1">
      <c r="A21" s="22"/>
      <c r="B21" s="294"/>
      <c r="C21" s="295"/>
      <c r="D21" s="296"/>
      <c r="E21" s="297"/>
      <c r="F21" s="298"/>
      <c r="G21" s="294"/>
      <c r="H21" s="299"/>
      <c r="I21" s="295"/>
      <c r="J21" s="300"/>
      <c r="K21" s="301"/>
      <c r="L21" s="301"/>
      <c r="M21" s="301"/>
      <c r="N21" s="301"/>
      <c r="O21" s="301"/>
      <c r="P21" s="302"/>
      <c r="Q21" s="303"/>
      <c r="R21" s="304"/>
      <c r="S21" s="304"/>
      <c r="T21" s="304"/>
      <c r="U21" s="304"/>
      <c r="V21" s="304"/>
      <c r="W21" s="304"/>
      <c r="X21" s="304"/>
      <c r="Y21" s="304"/>
      <c r="Z21" s="304"/>
      <c r="AA21" s="304"/>
      <c r="AB21" s="304"/>
      <c r="AC21" s="304"/>
      <c r="AD21" s="304"/>
      <c r="AE21" s="305"/>
      <c r="AF21" s="300"/>
      <c r="AG21" s="301"/>
      <c r="AH21" s="301"/>
      <c r="AI21" s="302"/>
    </row>
    <row r="22" spans="1:35" s="20" customFormat="1" ht="15" customHeight="1">
      <c r="A22" s="22"/>
      <c r="B22" s="294"/>
      <c r="C22" s="295"/>
      <c r="D22" s="296"/>
      <c r="E22" s="297"/>
      <c r="F22" s="298"/>
      <c r="G22" s="294"/>
      <c r="H22" s="299"/>
      <c r="I22" s="295"/>
      <c r="J22" s="300"/>
      <c r="K22" s="301"/>
      <c r="L22" s="301"/>
      <c r="M22" s="301"/>
      <c r="N22" s="301"/>
      <c r="O22" s="301"/>
      <c r="P22" s="302"/>
      <c r="Q22" s="303"/>
      <c r="R22" s="304"/>
      <c r="S22" s="304"/>
      <c r="T22" s="304"/>
      <c r="U22" s="304"/>
      <c r="V22" s="304"/>
      <c r="W22" s="304"/>
      <c r="X22" s="304"/>
      <c r="Y22" s="304"/>
      <c r="Z22" s="304"/>
      <c r="AA22" s="304"/>
      <c r="AB22" s="304"/>
      <c r="AC22" s="304"/>
      <c r="AD22" s="304"/>
      <c r="AE22" s="305"/>
      <c r="AF22" s="300"/>
      <c r="AG22" s="301"/>
      <c r="AH22" s="301"/>
      <c r="AI22" s="302"/>
    </row>
    <row r="23" spans="1:35" s="20" customFormat="1" ht="15" customHeight="1">
      <c r="A23" s="22"/>
      <c r="B23" s="294"/>
      <c r="C23" s="295"/>
      <c r="D23" s="296"/>
      <c r="E23" s="297"/>
      <c r="F23" s="298"/>
      <c r="G23" s="294"/>
      <c r="H23" s="299"/>
      <c r="I23" s="295"/>
      <c r="J23" s="300"/>
      <c r="K23" s="301"/>
      <c r="L23" s="301"/>
      <c r="M23" s="301"/>
      <c r="N23" s="301"/>
      <c r="O23" s="301"/>
      <c r="P23" s="302"/>
      <c r="Q23" s="303"/>
      <c r="R23" s="304"/>
      <c r="S23" s="304"/>
      <c r="T23" s="304"/>
      <c r="U23" s="304"/>
      <c r="V23" s="304"/>
      <c r="W23" s="304"/>
      <c r="X23" s="304"/>
      <c r="Y23" s="304"/>
      <c r="Z23" s="304"/>
      <c r="AA23" s="304"/>
      <c r="AB23" s="304"/>
      <c r="AC23" s="304"/>
      <c r="AD23" s="304"/>
      <c r="AE23" s="305"/>
      <c r="AF23" s="300"/>
      <c r="AG23" s="301"/>
      <c r="AH23" s="301"/>
      <c r="AI23" s="302"/>
    </row>
    <row r="24" spans="1:35" s="20" customFormat="1" ht="15" customHeight="1">
      <c r="A24" s="22"/>
      <c r="B24" s="294"/>
      <c r="C24" s="295"/>
      <c r="D24" s="296"/>
      <c r="E24" s="297"/>
      <c r="F24" s="298"/>
      <c r="G24" s="294"/>
      <c r="H24" s="299"/>
      <c r="I24" s="295"/>
      <c r="J24" s="300"/>
      <c r="K24" s="301"/>
      <c r="L24" s="301"/>
      <c r="M24" s="301"/>
      <c r="N24" s="301"/>
      <c r="O24" s="301"/>
      <c r="P24" s="302"/>
      <c r="Q24" s="303"/>
      <c r="R24" s="304"/>
      <c r="S24" s="304"/>
      <c r="T24" s="304"/>
      <c r="U24" s="304"/>
      <c r="V24" s="304"/>
      <c r="W24" s="304"/>
      <c r="X24" s="304"/>
      <c r="Y24" s="304"/>
      <c r="Z24" s="304"/>
      <c r="AA24" s="304"/>
      <c r="AB24" s="304"/>
      <c r="AC24" s="304"/>
      <c r="AD24" s="304"/>
      <c r="AE24" s="305"/>
      <c r="AF24" s="300"/>
      <c r="AG24" s="301"/>
      <c r="AH24" s="301"/>
      <c r="AI24" s="302"/>
    </row>
    <row r="25" spans="1:35" s="20" customFormat="1" ht="15" customHeight="1">
      <c r="A25" s="22"/>
      <c r="B25" s="294"/>
      <c r="C25" s="295"/>
      <c r="D25" s="296"/>
      <c r="E25" s="297"/>
      <c r="F25" s="298"/>
      <c r="G25" s="294"/>
      <c r="H25" s="299"/>
      <c r="I25" s="295"/>
      <c r="J25" s="300"/>
      <c r="K25" s="301"/>
      <c r="L25" s="301"/>
      <c r="M25" s="301"/>
      <c r="N25" s="301"/>
      <c r="O25" s="301"/>
      <c r="P25" s="302"/>
      <c r="Q25" s="303"/>
      <c r="R25" s="304"/>
      <c r="S25" s="304"/>
      <c r="T25" s="304"/>
      <c r="U25" s="304"/>
      <c r="V25" s="304"/>
      <c r="W25" s="304"/>
      <c r="X25" s="304"/>
      <c r="Y25" s="304"/>
      <c r="Z25" s="304"/>
      <c r="AA25" s="304"/>
      <c r="AB25" s="304"/>
      <c r="AC25" s="304"/>
      <c r="AD25" s="304"/>
      <c r="AE25" s="305"/>
      <c r="AF25" s="300"/>
      <c r="AG25" s="301"/>
      <c r="AH25" s="301"/>
      <c r="AI25" s="302"/>
    </row>
    <row r="26" spans="1:35" s="20" customFormat="1" ht="15" customHeight="1">
      <c r="A26" s="22"/>
      <c r="B26" s="294"/>
      <c r="C26" s="295"/>
      <c r="D26" s="296"/>
      <c r="E26" s="297"/>
      <c r="F26" s="298"/>
      <c r="G26" s="294"/>
      <c r="H26" s="299"/>
      <c r="I26" s="295"/>
      <c r="J26" s="300"/>
      <c r="K26" s="301"/>
      <c r="L26" s="301"/>
      <c r="M26" s="301"/>
      <c r="N26" s="301"/>
      <c r="O26" s="301"/>
      <c r="P26" s="302"/>
      <c r="Q26" s="303"/>
      <c r="R26" s="304"/>
      <c r="S26" s="304"/>
      <c r="T26" s="304"/>
      <c r="U26" s="304"/>
      <c r="V26" s="304"/>
      <c r="W26" s="304"/>
      <c r="X26" s="304"/>
      <c r="Y26" s="304"/>
      <c r="Z26" s="304"/>
      <c r="AA26" s="304"/>
      <c r="AB26" s="304"/>
      <c r="AC26" s="304"/>
      <c r="AD26" s="304"/>
      <c r="AE26" s="305"/>
      <c r="AF26" s="300"/>
      <c r="AG26" s="301"/>
      <c r="AH26" s="301"/>
      <c r="AI26" s="302"/>
    </row>
    <row r="27" spans="1:35" s="20" customFormat="1" ht="15" customHeight="1">
      <c r="A27" s="22"/>
      <c r="B27" s="294"/>
      <c r="C27" s="295"/>
      <c r="D27" s="296"/>
      <c r="E27" s="297"/>
      <c r="F27" s="298"/>
      <c r="G27" s="294"/>
      <c r="H27" s="299"/>
      <c r="I27" s="295"/>
      <c r="J27" s="300"/>
      <c r="K27" s="301"/>
      <c r="L27" s="301"/>
      <c r="M27" s="301"/>
      <c r="N27" s="301"/>
      <c r="O27" s="301"/>
      <c r="P27" s="302"/>
      <c r="Q27" s="303"/>
      <c r="R27" s="304"/>
      <c r="S27" s="304"/>
      <c r="T27" s="304"/>
      <c r="U27" s="304"/>
      <c r="V27" s="304"/>
      <c r="W27" s="304"/>
      <c r="X27" s="304"/>
      <c r="Y27" s="304"/>
      <c r="Z27" s="304"/>
      <c r="AA27" s="304"/>
      <c r="AB27" s="304"/>
      <c r="AC27" s="304"/>
      <c r="AD27" s="304"/>
      <c r="AE27" s="305"/>
      <c r="AF27" s="300"/>
      <c r="AG27" s="301"/>
      <c r="AH27" s="301"/>
      <c r="AI27" s="302"/>
    </row>
    <row r="28" spans="1:35" s="20" customFormat="1" ht="15" customHeight="1">
      <c r="A28" s="22"/>
      <c r="B28" s="294"/>
      <c r="C28" s="295"/>
      <c r="D28" s="296"/>
      <c r="E28" s="297"/>
      <c r="F28" s="298"/>
      <c r="G28" s="294"/>
      <c r="H28" s="299"/>
      <c r="I28" s="295"/>
      <c r="J28" s="300"/>
      <c r="K28" s="301"/>
      <c r="L28" s="301"/>
      <c r="M28" s="301"/>
      <c r="N28" s="301"/>
      <c r="O28" s="301"/>
      <c r="P28" s="302"/>
      <c r="Q28" s="303"/>
      <c r="R28" s="304"/>
      <c r="S28" s="304"/>
      <c r="T28" s="304"/>
      <c r="U28" s="304"/>
      <c r="V28" s="304"/>
      <c r="W28" s="304"/>
      <c r="X28" s="304"/>
      <c r="Y28" s="304"/>
      <c r="Z28" s="304"/>
      <c r="AA28" s="304"/>
      <c r="AB28" s="304"/>
      <c r="AC28" s="304"/>
      <c r="AD28" s="304"/>
      <c r="AE28" s="305"/>
      <c r="AF28" s="300"/>
      <c r="AG28" s="301"/>
      <c r="AH28" s="301"/>
      <c r="AI28" s="302"/>
    </row>
    <row r="29" spans="1:35" s="20" customFormat="1" ht="15" customHeight="1">
      <c r="A29" s="22"/>
      <c r="B29" s="294"/>
      <c r="C29" s="295"/>
      <c r="D29" s="296"/>
      <c r="E29" s="297"/>
      <c r="F29" s="298"/>
      <c r="G29" s="294"/>
      <c r="H29" s="299"/>
      <c r="I29" s="295"/>
      <c r="J29" s="300"/>
      <c r="K29" s="301"/>
      <c r="L29" s="301"/>
      <c r="M29" s="301"/>
      <c r="N29" s="301"/>
      <c r="O29" s="301"/>
      <c r="P29" s="302"/>
      <c r="Q29" s="303"/>
      <c r="R29" s="304"/>
      <c r="S29" s="304"/>
      <c r="T29" s="304"/>
      <c r="U29" s="304"/>
      <c r="V29" s="304"/>
      <c r="W29" s="304"/>
      <c r="X29" s="304"/>
      <c r="Y29" s="304"/>
      <c r="Z29" s="304"/>
      <c r="AA29" s="304"/>
      <c r="AB29" s="304"/>
      <c r="AC29" s="304"/>
      <c r="AD29" s="304"/>
      <c r="AE29" s="305"/>
      <c r="AF29" s="300"/>
      <c r="AG29" s="301"/>
      <c r="AH29" s="301"/>
      <c r="AI29" s="302"/>
    </row>
    <row r="30" spans="1:35" s="20" customFormat="1" ht="15" customHeight="1">
      <c r="A30" s="22"/>
      <c r="B30" s="294"/>
      <c r="C30" s="295"/>
      <c r="D30" s="296"/>
      <c r="E30" s="297"/>
      <c r="F30" s="298"/>
      <c r="G30" s="294"/>
      <c r="H30" s="299"/>
      <c r="I30" s="295"/>
      <c r="J30" s="300"/>
      <c r="K30" s="301"/>
      <c r="L30" s="301"/>
      <c r="M30" s="301"/>
      <c r="N30" s="301"/>
      <c r="O30" s="301"/>
      <c r="P30" s="302"/>
      <c r="Q30" s="303"/>
      <c r="R30" s="304"/>
      <c r="S30" s="304"/>
      <c r="T30" s="304"/>
      <c r="U30" s="304"/>
      <c r="V30" s="304"/>
      <c r="W30" s="304"/>
      <c r="X30" s="304"/>
      <c r="Y30" s="304"/>
      <c r="Z30" s="304"/>
      <c r="AA30" s="304"/>
      <c r="AB30" s="304"/>
      <c r="AC30" s="304"/>
      <c r="AD30" s="304"/>
      <c r="AE30" s="305"/>
      <c r="AF30" s="300"/>
      <c r="AG30" s="301"/>
      <c r="AH30" s="301"/>
      <c r="AI30" s="302"/>
    </row>
    <row r="31" spans="1:35" s="20" customFormat="1" ht="15" customHeight="1">
      <c r="A31" s="22"/>
      <c r="B31" s="294"/>
      <c r="C31" s="295"/>
      <c r="D31" s="296"/>
      <c r="E31" s="297"/>
      <c r="F31" s="298"/>
      <c r="G31" s="294"/>
      <c r="H31" s="299"/>
      <c r="I31" s="295"/>
      <c r="J31" s="300"/>
      <c r="K31" s="301"/>
      <c r="L31" s="301"/>
      <c r="M31" s="301"/>
      <c r="N31" s="301"/>
      <c r="O31" s="301"/>
      <c r="P31" s="302"/>
      <c r="Q31" s="303"/>
      <c r="R31" s="304"/>
      <c r="S31" s="304"/>
      <c r="T31" s="304"/>
      <c r="U31" s="304"/>
      <c r="V31" s="304"/>
      <c r="W31" s="304"/>
      <c r="X31" s="304"/>
      <c r="Y31" s="304"/>
      <c r="Z31" s="304"/>
      <c r="AA31" s="304"/>
      <c r="AB31" s="304"/>
      <c r="AC31" s="304"/>
      <c r="AD31" s="304"/>
      <c r="AE31" s="305"/>
      <c r="AF31" s="300"/>
      <c r="AG31" s="301"/>
      <c r="AH31" s="301"/>
      <c r="AI31" s="302"/>
    </row>
    <row r="32" spans="1:35" s="20" customFormat="1" ht="15" customHeight="1">
      <c r="A32" s="22"/>
      <c r="B32" s="294"/>
      <c r="C32" s="295"/>
      <c r="D32" s="296"/>
      <c r="E32" s="297"/>
      <c r="F32" s="298"/>
      <c r="G32" s="294"/>
      <c r="H32" s="299"/>
      <c r="I32" s="295"/>
      <c r="J32" s="300"/>
      <c r="K32" s="319"/>
      <c r="L32" s="301"/>
      <c r="M32" s="301"/>
      <c r="N32" s="301"/>
      <c r="O32" s="301"/>
      <c r="P32" s="302"/>
      <c r="Q32" s="303"/>
      <c r="R32" s="304"/>
      <c r="S32" s="304"/>
      <c r="T32" s="304"/>
      <c r="U32" s="304"/>
      <c r="V32" s="304"/>
      <c r="W32" s="304"/>
      <c r="X32" s="304"/>
      <c r="Y32" s="304"/>
      <c r="Z32" s="304"/>
      <c r="AA32" s="304"/>
      <c r="AB32" s="304"/>
      <c r="AC32" s="304"/>
      <c r="AD32" s="304"/>
      <c r="AE32" s="305"/>
      <c r="AF32" s="300"/>
      <c r="AG32" s="301"/>
      <c r="AH32" s="301"/>
      <c r="AI32" s="302"/>
    </row>
    <row r="33" spans="1:35" s="20" customFormat="1" ht="15" customHeight="1">
      <c r="A33" s="22"/>
      <c r="B33" s="294"/>
      <c r="C33" s="295"/>
      <c r="D33" s="296"/>
      <c r="E33" s="297"/>
      <c r="F33" s="298"/>
      <c r="G33" s="294"/>
      <c r="H33" s="299"/>
      <c r="I33" s="295"/>
      <c r="J33" s="300"/>
      <c r="K33" s="301"/>
      <c r="L33" s="301"/>
      <c r="M33" s="301"/>
      <c r="N33" s="301"/>
      <c r="O33" s="301"/>
      <c r="P33" s="302"/>
      <c r="Q33" s="303"/>
      <c r="R33" s="304"/>
      <c r="S33" s="304"/>
      <c r="T33" s="304"/>
      <c r="U33" s="304"/>
      <c r="V33" s="304"/>
      <c r="W33" s="304"/>
      <c r="X33" s="304"/>
      <c r="Y33" s="304"/>
      <c r="Z33" s="304"/>
      <c r="AA33" s="304"/>
      <c r="AB33" s="304"/>
      <c r="AC33" s="304"/>
      <c r="AD33" s="304"/>
      <c r="AE33" s="305"/>
      <c r="AF33" s="300"/>
      <c r="AG33" s="301"/>
      <c r="AH33" s="301"/>
      <c r="AI33" s="302"/>
    </row>
    <row r="34" spans="1:35" ht="14.25">
      <c r="K34" s="24"/>
    </row>
  </sheetData>
  <mergeCells count="179">
    <mergeCell ref="B33:C33"/>
    <mergeCell ref="D33:F33"/>
    <mergeCell ref="G33:I33"/>
    <mergeCell ref="J33:P33"/>
    <mergeCell ref="Q33:AE33"/>
    <mergeCell ref="AF33:AI33"/>
    <mergeCell ref="B32:C32"/>
    <mergeCell ref="D32:F32"/>
    <mergeCell ref="G32:I32"/>
    <mergeCell ref="J32:P32"/>
    <mergeCell ref="Q32:AE32"/>
    <mergeCell ref="AF32:AI32"/>
    <mergeCell ref="B31:C31"/>
    <mergeCell ref="D31:F31"/>
    <mergeCell ref="G31:I31"/>
    <mergeCell ref="J31:P31"/>
    <mergeCell ref="Q31:AE31"/>
    <mergeCell ref="AF31:AI31"/>
    <mergeCell ref="B30:C30"/>
    <mergeCell ref="D30:F30"/>
    <mergeCell ref="G30:I30"/>
    <mergeCell ref="J30:P30"/>
    <mergeCell ref="Q30:AE30"/>
    <mergeCell ref="AF30:AI30"/>
    <mergeCell ref="B29:C29"/>
    <mergeCell ref="D29:F29"/>
    <mergeCell ref="G29:I29"/>
    <mergeCell ref="J29:P29"/>
    <mergeCell ref="Q29:AE29"/>
    <mergeCell ref="AF29:AI29"/>
    <mergeCell ref="B28:C28"/>
    <mergeCell ref="D28:F28"/>
    <mergeCell ref="G28:I28"/>
    <mergeCell ref="J28:P28"/>
    <mergeCell ref="Q28:AE28"/>
    <mergeCell ref="AF28:AI28"/>
    <mergeCell ref="B27:C27"/>
    <mergeCell ref="D27:F27"/>
    <mergeCell ref="G27:I27"/>
    <mergeCell ref="J27:P27"/>
    <mergeCell ref="Q27:AE27"/>
    <mergeCell ref="AF27:AI27"/>
    <mergeCell ref="B26:C26"/>
    <mergeCell ref="D26:F26"/>
    <mergeCell ref="G26:I26"/>
    <mergeCell ref="J26:P26"/>
    <mergeCell ref="Q26:AE26"/>
    <mergeCell ref="AF26:AI26"/>
    <mergeCell ref="B25:C25"/>
    <mergeCell ref="D25:F25"/>
    <mergeCell ref="G25:I25"/>
    <mergeCell ref="J25:P25"/>
    <mergeCell ref="Q25:AE25"/>
    <mergeCell ref="AF25:AI25"/>
    <mergeCell ref="B24:C24"/>
    <mergeCell ref="D24:F24"/>
    <mergeCell ref="G24:I24"/>
    <mergeCell ref="J24:P24"/>
    <mergeCell ref="Q24:AE24"/>
    <mergeCell ref="AF24:AI24"/>
    <mergeCell ref="B23:C23"/>
    <mergeCell ref="D23:F23"/>
    <mergeCell ref="G23:I23"/>
    <mergeCell ref="J23:P23"/>
    <mergeCell ref="Q23:AE23"/>
    <mergeCell ref="AF23:AI23"/>
    <mergeCell ref="B22:C22"/>
    <mergeCell ref="D22:F22"/>
    <mergeCell ref="G22:I22"/>
    <mergeCell ref="J22:P22"/>
    <mergeCell ref="Q22:AE22"/>
    <mergeCell ref="AF22:AI22"/>
    <mergeCell ref="B21:C21"/>
    <mergeCell ref="D21:F21"/>
    <mergeCell ref="G21:I21"/>
    <mergeCell ref="J21:P21"/>
    <mergeCell ref="Q21:AE21"/>
    <mergeCell ref="AF21:AI21"/>
    <mergeCell ref="B20:C20"/>
    <mergeCell ref="D20:F20"/>
    <mergeCell ref="G20:I20"/>
    <mergeCell ref="J20:P20"/>
    <mergeCell ref="Q20:AE20"/>
    <mergeCell ref="AF20:AI20"/>
    <mergeCell ref="B19:C19"/>
    <mergeCell ref="D19:F19"/>
    <mergeCell ref="G19:I19"/>
    <mergeCell ref="J19:P19"/>
    <mergeCell ref="Q19:AE19"/>
    <mergeCell ref="AF19:AI19"/>
    <mergeCell ref="B18:C18"/>
    <mergeCell ref="D18:F18"/>
    <mergeCell ref="G18:I18"/>
    <mergeCell ref="J18:P18"/>
    <mergeCell ref="Q18:AE18"/>
    <mergeCell ref="AF18:AI18"/>
    <mergeCell ref="B17:C17"/>
    <mergeCell ref="D17:F17"/>
    <mergeCell ref="G17:I17"/>
    <mergeCell ref="J17:P17"/>
    <mergeCell ref="Q17:AE17"/>
    <mergeCell ref="AF17:AI17"/>
    <mergeCell ref="B16:C16"/>
    <mergeCell ref="D16:F16"/>
    <mergeCell ref="G16:I16"/>
    <mergeCell ref="J16:P16"/>
    <mergeCell ref="Q16:AE16"/>
    <mergeCell ref="AF16:AI16"/>
    <mergeCell ref="B15:C15"/>
    <mergeCell ref="D15:F15"/>
    <mergeCell ref="G15:I15"/>
    <mergeCell ref="J15:P15"/>
    <mergeCell ref="Q15:AE15"/>
    <mergeCell ref="AF15:AI15"/>
    <mergeCell ref="B14:C14"/>
    <mergeCell ref="D14:F14"/>
    <mergeCell ref="G14:I14"/>
    <mergeCell ref="J14:P14"/>
    <mergeCell ref="Q14:AE14"/>
    <mergeCell ref="AF14:AI14"/>
    <mergeCell ref="B13:C13"/>
    <mergeCell ref="D13:F13"/>
    <mergeCell ref="G13:I13"/>
    <mergeCell ref="J13:P13"/>
    <mergeCell ref="Q13:AE13"/>
    <mergeCell ref="AF13:AI13"/>
    <mergeCell ref="B12:C12"/>
    <mergeCell ref="D12:F12"/>
    <mergeCell ref="G12:I12"/>
    <mergeCell ref="J12:P12"/>
    <mergeCell ref="Q12:AE12"/>
    <mergeCell ref="AF12:AI12"/>
    <mergeCell ref="B11:C11"/>
    <mergeCell ref="D11:F11"/>
    <mergeCell ref="G11:I11"/>
    <mergeCell ref="J11:P11"/>
    <mergeCell ref="Q11:AE11"/>
    <mergeCell ref="AF11:AI11"/>
    <mergeCell ref="B10:C10"/>
    <mergeCell ref="D10:F10"/>
    <mergeCell ref="G10:I10"/>
    <mergeCell ref="J10:P10"/>
    <mergeCell ref="Q10:AE10"/>
    <mergeCell ref="AF10:AI10"/>
    <mergeCell ref="B9:C9"/>
    <mergeCell ref="D9:F9"/>
    <mergeCell ref="G9:I9"/>
    <mergeCell ref="J9:P9"/>
    <mergeCell ref="Q9:AE9"/>
    <mergeCell ref="AF9:AI9"/>
    <mergeCell ref="B8:C8"/>
    <mergeCell ref="D8:F8"/>
    <mergeCell ref="G8:I8"/>
    <mergeCell ref="J8:P8"/>
    <mergeCell ref="Q8:AE8"/>
    <mergeCell ref="AF8:AI8"/>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s>
  <phoneticPr fontId="2"/>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A258C-B421-41DF-89FA-A1892E6D69E9}">
  <sheetPr>
    <pageSetUpPr fitToPage="1"/>
  </sheetPr>
  <dimension ref="A1:Q295"/>
  <sheetViews>
    <sheetView showGridLines="0" view="pageBreakPreview" zoomScaleNormal="100" zoomScaleSheetLayoutView="100" workbookViewId="0">
      <pane ySplit="10" topLeftCell="A11" activePane="bottomLeft" state="frozen"/>
      <selection pane="bottomLeft"/>
    </sheetView>
  </sheetViews>
  <sheetFormatPr defaultColWidth="9" defaultRowHeight="11.25" outlineLevelCol="1"/>
  <cols>
    <col min="1" max="2" width="8.625" style="25" customWidth="1"/>
    <col min="3" max="3" width="8.625" style="26" customWidth="1"/>
    <col min="4" max="5" width="8.625" style="25" customWidth="1"/>
    <col min="6" max="6" width="40.625" style="25" customWidth="1"/>
    <col min="7" max="7" width="28.125" style="25" hidden="1" customWidth="1" outlineLevel="1"/>
    <col min="8" max="8" width="16.375" style="25" customWidth="1" collapsed="1"/>
    <col min="9" max="9" width="16.375" style="25" customWidth="1"/>
    <col min="10" max="11" width="25.625" style="25" customWidth="1"/>
    <col min="12" max="12" width="19.25" style="25" bestFit="1" customWidth="1"/>
    <col min="13" max="17" width="8.625" style="25" customWidth="1"/>
    <col min="18" max="16384" width="9" style="25"/>
  </cols>
  <sheetData>
    <row r="1" spans="1:17">
      <c r="A1" s="25" t="s">
        <v>549</v>
      </c>
    </row>
    <row r="2" spans="1:17">
      <c r="A2" s="25" t="s">
        <v>23</v>
      </c>
    </row>
    <row r="4" spans="1:17">
      <c r="A4" s="25" t="s">
        <v>552</v>
      </c>
    </row>
    <row r="5" spans="1:17">
      <c r="A5" s="25" t="s">
        <v>15</v>
      </c>
    </row>
    <row r="6" spans="1:17">
      <c r="A6" s="25" t="s">
        <v>16</v>
      </c>
      <c r="N6" s="25" t="s">
        <v>18</v>
      </c>
      <c r="P6" s="25" t="s">
        <v>0</v>
      </c>
    </row>
    <row r="7" spans="1:17">
      <c r="A7" s="25" t="s">
        <v>17</v>
      </c>
      <c r="N7" s="25" t="s">
        <v>19</v>
      </c>
      <c r="P7" s="25" t="s">
        <v>1</v>
      </c>
    </row>
    <row r="8" spans="1:17" ht="12" thickBot="1">
      <c r="A8" s="27"/>
      <c r="B8" s="27"/>
      <c r="C8" s="28"/>
      <c r="D8" s="27"/>
      <c r="E8" s="27"/>
      <c r="F8" s="27"/>
      <c r="G8" s="27"/>
      <c r="H8" s="27"/>
      <c r="I8" s="27"/>
      <c r="J8" s="27"/>
      <c r="K8" s="27"/>
      <c r="L8" s="27"/>
      <c r="M8" s="27"/>
      <c r="N8" s="27"/>
      <c r="O8" s="27"/>
      <c r="P8" s="27"/>
      <c r="Q8" s="27"/>
    </row>
    <row r="9" spans="1:17" ht="12" customHeight="1" thickTop="1"/>
    <row r="10" spans="1:17" s="31" customFormat="1">
      <c r="A10" s="47" t="s">
        <v>22</v>
      </c>
      <c r="B10" s="48" t="s">
        <v>59</v>
      </c>
      <c r="C10" s="48" t="s">
        <v>60</v>
      </c>
      <c r="D10" s="48" t="s">
        <v>61</v>
      </c>
      <c r="E10" s="48" t="s">
        <v>62</v>
      </c>
      <c r="F10" s="48" t="s">
        <v>63</v>
      </c>
      <c r="G10" s="48" t="s">
        <v>64</v>
      </c>
      <c r="H10" s="48" t="s">
        <v>65</v>
      </c>
      <c r="I10" s="48" t="s">
        <v>66</v>
      </c>
      <c r="J10" s="49" t="s">
        <v>2</v>
      </c>
      <c r="K10" s="50" t="s">
        <v>3</v>
      </c>
      <c r="L10" s="51" t="s">
        <v>590</v>
      </c>
      <c r="M10" s="52" t="s">
        <v>5</v>
      </c>
      <c r="N10" s="52" t="s">
        <v>14</v>
      </c>
      <c r="O10" s="52" t="s">
        <v>6</v>
      </c>
      <c r="P10" s="52" t="s">
        <v>7</v>
      </c>
      <c r="Q10" s="53" t="s">
        <v>8</v>
      </c>
    </row>
    <row r="11" spans="1:17" ht="22.5">
      <c r="A11" s="54"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29" t="s">
        <v>67</v>
      </c>
      <c r="C11" s="150" t="s">
        <v>68</v>
      </c>
      <c r="D11" s="151" t="s">
        <v>69</v>
      </c>
      <c r="E11" s="150" t="s">
        <v>70</v>
      </c>
      <c r="F11" s="150" t="s">
        <v>71</v>
      </c>
      <c r="G11" s="192" t="s">
        <v>553</v>
      </c>
      <c r="H11" s="153"/>
      <c r="I11" s="153"/>
      <c r="J11" s="153"/>
      <c r="K11" s="153"/>
      <c r="L11" s="154"/>
      <c r="M11" s="155"/>
      <c r="N11" s="156"/>
      <c r="O11" s="156"/>
      <c r="P11" s="155"/>
      <c r="Q11" s="157"/>
    </row>
    <row r="12" spans="1:17" ht="22.5">
      <c r="A12" s="54"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30"/>
      <c r="C12" s="158"/>
      <c r="D12" s="151"/>
      <c r="E12" s="150" t="s">
        <v>72</v>
      </c>
      <c r="F12" s="150" t="s">
        <v>73</v>
      </c>
      <c r="G12" s="192" t="s">
        <v>553</v>
      </c>
      <c r="H12" s="153"/>
      <c r="I12" s="153"/>
      <c r="J12" s="153"/>
      <c r="K12" s="153"/>
      <c r="L12" s="154"/>
      <c r="M12" s="155"/>
      <c r="N12" s="156"/>
      <c r="O12" s="156"/>
      <c r="P12" s="155"/>
      <c r="Q12" s="157"/>
    </row>
    <row r="13" spans="1:17" s="31" customFormat="1" ht="33.75">
      <c r="A13" s="54"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30"/>
      <c r="C13" s="158"/>
      <c r="D13" s="150" t="s">
        <v>74</v>
      </c>
      <c r="E13" s="150" t="s">
        <v>75</v>
      </c>
      <c r="F13" s="150" t="s">
        <v>76</v>
      </c>
      <c r="G13" s="192" t="s">
        <v>553</v>
      </c>
      <c r="H13" s="153"/>
      <c r="I13" s="153"/>
      <c r="J13" s="153"/>
      <c r="K13" s="153"/>
      <c r="L13" s="154"/>
      <c r="M13" s="157"/>
      <c r="N13" s="156"/>
      <c r="O13" s="157"/>
      <c r="P13" s="156"/>
      <c r="Q13" s="155"/>
    </row>
    <row r="14" spans="1:17" s="31" customFormat="1" ht="22.5">
      <c r="A14" s="54"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30"/>
      <c r="C14" s="158"/>
      <c r="D14" s="151"/>
      <c r="E14" s="151"/>
      <c r="F14" s="150" t="s">
        <v>77</v>
      </c>
      <c r="G14" s="192" t="s">
        <v>553</v>
      </c>
      <c r="H14" s="153"/>
      <c r="I14" s="153"/>
      <c r="J14" s="153"/>
      <c r="K14" s="153"/>
      <c r="L14" s="154"/>
      <c r="M14" s="157"/>
      <c r="N14" s="156"/>
      <c r="O14" s="157"/>
      <c r="P14" s="156"/>
      <c r="Q14" s="155"/>
    </row>
    <row r="15" spans="1:17" s="31" customFormat="1" ht="22.5">
      <c r="A15" s="54"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30"/>
      <c r="C15" s="158"/>
      <c r="D15" s="151"/>
      <c r="E15" s="151"/>
      <c r="F15" s="152" t="s">
        <v>78</v>
      </c>
      <c r="G15" s="192" t="s">
        <v>553</v>
      </c>
      <c r="H15" s="153"/>
      <c r="I15" s="152"/>
      <c r="J15" s="153"/>
      <c r="K15" s="153"/>
      <c r="L15" s="154"/>
      <c r="M15" s="155"/>
      <c r="N15" s="155"/>
      <c r="O15" s="157"/>
      <c r="P15" s="156"/>
      <c r="Q15" s="155"/>
    </row>
    <row r="16" spans="1:17" s="31" customFormat="1" ht="22.5">
      <c r="A16" s="54"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30"/>
      <c r="C16" s="158"/>
      <c r="D16" s="151"/>
      <c r="E16" s="151"/>
      <c r="F16" s="152" t="s">
        <v>79</v>
      </c>
      <c r="G16" s="192" t="s">
        <v>553</v>
      </c>
      <c r="H16" s="153"/>
      <c r="I16" s="152"/>
      <c r="J16" s="153"/>
      <c r="K16" s="153"/>
      <c r="L16" s="154"/>
      <c r="M16" s="155"/>
      <c r="N16" s="157"/>
      <c r="O16" s="156"/>
      <c r="P16" s="155"/>
      <c r="Q16" s="157"/>
    </row>
    <row r="17" spans="1:17" s="31" customFormat="1" ht="33.75">
      <c r="A17" s="54"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30"/>
      <c r="C17" s="158"/>
      <c r="D17" s="159"/>
      <c r="E17" s="160"/>
      <c r="F17" s="152" t="s">
        <v>80</v>
      </c>
      <c r="G17" s="192" t="s">
        <v>553</v>
      </c>
      <c r="H17" s="153"/>
      <c r="I17" s="152"/>
      <c r="J17" s="153"/>
      <c r="K17" s="161"/>
      <c r="L17" s="154"/>
      <c r="M17" s="155"/>
      <c r="N17" s="157"/>
      <c r="O17" s="156"/>
      <c r="P17" s="155"/>
      <c r="Q17" s="157"/>
    </row>
    <row r="18" spans="1:17" ht="22.5">
      <c r="A18" s="54"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30"/>
      <c r="C18" s="158"/>
      <c r="D18" s="162" t="s">
        <v>81</v>
      </c>
      <c r="E18" s="151" t="s">
        <v>82</v>
      </c>
      <c r="F18" s="150" t="s">
        <v>83</v>
      </c>
      <c r="G18" s="192" t="s">
        <v>553</v>
      </c>
      <c r="H18" s="153"/>
      <c r="I18" s="153"/>
      <c r="J18" s="153"/>
      <c r="K18" s="153"/>
      <c r="L18" s="154"/>
      <c r="M18" s="155"/>
      <c r="N18" s="157"/>
      <c r="O18" s="156"/>
      <c r="P18" s="155"/>
      <c r="Q18" s="157"/>
    </row>
    <row r="19" spans="1:17" ht="22.5">
      <c r="A19" s="54"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30"/>
      <c r="C19" s="158"/>
      <c r="D19" s="162"/>
      <c r="E19" s="151"/>
      <c r="F19" s="150" t="s">
        <v>84</v>
      </c>
      <c r="G19" s="192" t="s">
        <v>553</v>
      </c>
      <c r="H19" s="153"/>
      <c r="I19" s="153"/>
      <c r="J19" s="153"/>
      <c r="K19" s="153"/>
      <c r="L19" s="154"/>
      <c r="M19" s="155"/>
      <c r="N19" s="157"/>
      <c r="O19" s="156"/>
      <c r="P19" s="155"/>
      <c r="Q19" s="157"/>
    </row>
    <row r="20" spans="1:17" ht="22.5">
      <c r="A20" s="54"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30"/>
      <c r="C20" s="158"/>
      <c r="D20" s="162"/>
      <c r="E20" s="160"/>
      <c r="F20" s="152" t="s">
        <v>85</v>
      </c>
      <c r="G20" s="192" t="s">
        <v>553</v>
      </c>
      <c r="H20" s="153"/>
      <c r="I20" s="152"/>
      <c r="J20" s="153"/>
      <c r="K20" s="153"/>
      <c r="L20" s="154"/>
      <c r="M20" s="155"/>
      <c r="N20" s="157"/>
      <c r="O20" s="156"/>
      <c r="P20" s="155"/>
      <c r="Q20" s="157"/>
    </row>
    <row r="21" spans="1:17" ht="22.5">
      <c r="A21" s="54"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30"/>
      <c r="C21" s="158"/>
      <c r="D21" s="162"/>
      <c r="E21" s="151" t="s">
        <v>86</v>
      </c>
      <c r="F21" s="150" t="s">
        <v>87</v>
      </c>
      <c r="G21" s="192" t="s">
        <v>553</v>
      </c>
      <c r="H21" s="153"/>
      <c r="I21" s="153"/>
      <c r="J21" s="153"/>
      <c r="K21" s="153"/>
      <c r="L21" s="154"/>
      <c r="M21" s="157"/>
      <c r="N21" s="156"/>
      <c r="O21" s="157"/>
      <c r="P21" s="155"/>
      <c r="Q21" s="157"/>
    </row>
    <row r="22" spans="1:17" ht="22.5">
      <c r="A22" s="54"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30"/>
      <c r="C22" s="158"/>
      <c r="D22" s="162"/>
      <c r="E22" s="151"/>
      <c r="F22" s="150" t="s">
        <v>88</v>
      </c>
      <c r="G22" s="192" t="s">
        <v>553</v>
      </c>
      <c r="H22" s="153"/>
      <c r="I22" s="153"/>
      <c r="J22" s="153"/>
      <c r="K22" s="153"/>
      <c r="L22" s="154"/>
      <c r="M22" s="157"/>
      <c r="N22" s="156"/>
      <c r="O22" s="157"/>
      <c r="P22" s="155"/>
      <c r="Q22" s="157"/>
    </row>
    <row r="23" spans="1:17" ht="22.5">
      <c r="A23" s="54"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30"/>
      <c r="C23" s="158"/>
      <c r="D23" s="162"/>
      <c r="E23" s="151"/>
      <c r="F23" s="150" t="s">
        <v>89</v>
      </c>
      <c r="G23" s="192" t="s">
        <v>553</v>
      </c>
      <c r="H23" s="153"/>
      <c r="I23" s="153"/>
      <c r="J23" s="153"/>
      <c r="K23" s="153"/>
      <c r="L23" s="154"/>
      <c r="M23" s="157"/>
      <c r="N23" s="156"/>
      <c r="O23" s="157"/>
      <c r="P23" s="155"/>
      <c r="Q23" s="157"/>
    </row>
    <row r="24" spans="1:17" ht="22.5">
      <c r="A24" s="54"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30"/>
      <c r="C24" s="158"/>
      <c r="D24" s="159"/>
      <c r="E24" s="160"/>
      <c r="F24" s="150" t="s">
        <v>90</v>
      </c>
      <c r="G24" s="192" t="s">
        <v>553</v>
      </c>
      <c r="H24" s="153"/>
      <c r="I24" s="153"/>
      <c r="J24" s="153"/>
      <c r="K24" s="153"/>
      <c r="L24" s="154"/>
      <c r="M24" s="157"/>
      <c r="N24" s="156"/>
      <c r="O24" s="157"/>
      <c r="P24" s="155"/>
      <c r="Q24" s="157"/>
    </row>
    <row r="25" spans="1:17" s="31" customFormat="1" ht="22.5">
      <c r="A25" s="54"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30"/>
      <c r="C25" s="158"/>
      <c r="D25" s="162" t="s">
        <v>91</v>
      </c>
      <c r="E25" s="162" t="s">
        <v>75</v>
      </c>
      <c r="F25" s="150" t="s">
        <v>92</v>
      </c>
      <c r="G25" s="192" t="s">
        <v>553</v>
      </c>
      <c r="H25" s="153"/>
      <c r="I25" s="153"/>
      <c r="J25" s="153"/>
      <c r="K25" s="153"/>
      <c r="L25" s="154"/>
      <c r="M25" s="157"/>
      <c r="N25" s="156"/>
      <c r="O25" s="157"/>
      <c r="P25" s="156"/>
      <c r="Q25" s="155"/>
    </row>
    <row r="26" spans="1:17" s="31" customFormat="1" ht="22.5">
      <c r="A26" s="54"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30"/>
      <c r="C26" s="158"/>
      <c r="D26" s="162"/>
      <c r="E26" s="151"/>
      <c r="F26" s="150" t="s">
        <v>93</v>
      </c>
      <c r="G26" s="192" t="s">
        <v>553</v>
      </c>
      <c r="H26" s="153"/>
      <c r="I26" s="153"/>
      <c r="J26" s="153"/>
      <c r="K26" s="153"/>
      <c r="L26" s="154"/>
      <c r="M26" s="155"/>
      <c r="N26" s="155"/>
      <c r="O26" s="157"/>
      <c r="P26" s="156"/>
      <c r="Q26" s="155"/>
    </row>
    <row r="27" spans="1:17" s="31" customFormat="1" ht="33.75">
      <c r="A27" s="54"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30"/>
      <c r="C27" s="158"/>
      <c r="D27" s="163" t="s">
        <v>94</v>
      </c>
      <c r="E27" s="150" t="s">
        <v>95</v>
      </c>
      <c r="F27" s="150" t="s">
        <v>96</v>
      </c>
      <c r="G27" s="192" t="s">
        <v>553</v>
      </c>
      <c r="H27" s="153"/>
      <c r="I27" s="153"/>
      <c r="J27" s="153"/>
      <c r="K27" s="153"/>
      <c r="L27" s="154"/>
      <c r="M27" s="157"/>
      <c r="N27" s="156"/>
      <c r="O27" s="157"/>
      <c r="P27" s="156"/>
      <c r="Q27" s="155"/>
    </row>
    <row r="28" spans="1:17" s="31" customFormat="1" ht="22.5">
      <c r="A28" s="54"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30"/>
      <c r="C28" s="158"/>
      <c r="D28" s="162"/>
      <c r="E28" s="151"/>
      <c r="F28" s="150" t="s">
        <v>97</v>
      </c>
      <c r="G28" s="192" t="s">
        <v>553</v>
      </c>
      <c r="H28" s="153"/>
      <c r="I28" s="153"/>
      <c r="J28" s="153"/>
      <c r="K28" s="153"/>
      <c r="L28" s="154"/>
      <c r="M28" s="155"/>
      <c r="N28" s="155"/>
      <c r="O28" s="157"/>
      <c r="P28" s="156"/>
      <c r="Q28" s="155"/>
    </row>
    <row r="29" spans="1:17" ht="22.5">
      <c r="A29" s="54"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30"/>
      <c r="C29" s="158"/>
      <c r="D29" s="151"/>
      <c r="E29" s="150" t="s">
        <v>98</v>
      </c>
      <c r="F29" s="150" t="s">
        <v>99</v>
      </c>
      <c r="G29" s="192" t="s">
        <v>553</v>
      </c>
      <c r="H29" s="153"/>
      <c r="I29" s="153"/>
      <c r="J29" s="153"/>
      <c r="K29" s="153"/>
      <c r="L29" s="154"/>
      <c r="M29" s="157"/>
      <c r="N29" s="156"/>
      <c r="O29" s="157"/>
      <c r="P29" s="157"/>
      <c r="Q29" s="157"/>
    </row>
    <row r="30" spans="1:17" ht="22.5">
      <c r="A30" s="54"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30"/>
      <c r="C30" s="158"/>
      <c r="D30" s="162"/>
      <c r="E30" s="151"/>
      <c r="F30" s="150" t="s">
        <v>100</v>
      </c>
      <c r="G30" s="192" t="s">
        <v>553</v>
      </c>
      <c r="H30" s="153"/>
      <c r="I30" s="153"/>
      <c r="J30" s="153"/>
      <c r="K30" s="153"/>
      <c r="L30" s="154"/>
      <c r="M30" s="157"/>
      <c r="N30" s="157"/>
      <c r="O30" s="157"/>
      <c r="P30" s="157"/>
      <c r="Q30" s="157"/>
    </row>
    <row r="31" spans="1:17" ht="22.5">
      <c r="A31" s="54"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30"/>
      <c r="C31" s="158"/>
      <c r="D31" s="162"/>
      <c r="E31" s="151"/>
      <c r="F31" s="150" t="s">
        <v>101</v>
      </c>
      <c r="G31" s="192" t="s">
        <v>553</v>
      </c>
      <c r="H31" s="153"/>
      <c r="I31" s="153"/>
      <c r="J31" s="153"/>
      <c r="K31" s="153"/>
      <c r="L31" s="154"/>
      <c r="M31" s="157"/>
      <c r="N31" s="156"/>
      <c r="O31" s="157"/>
      <c r="P31" s="157"/>
      <c r="Q31" s="157"/>
    </row>
    <row r="32" spans="1:17" ht="22.5">
      <c r="A32" s="54"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30"/>
      <c r="C32" s="158"/>
      <c r="D32" s="162"/>
      <c r="E32" s="151"/>
      <c r="F32" s="150" t="s">
        <v>102</v>
      </c>
      <c r="G32" s="192" t="s">
        <v>553</v>
      </c>
      <c r="H32" s="153"/>
      <c r="I32" s="153"/>
      <c r="J32" s="153"/>
      <c r="K32" s="153"/>
      <c r="L32" s="154"/>
      <c r="M32" s="157"/>
      <c r="N32" s="157"/>
      <c r="O32" s="157"/>
      <c r="P32" s="157"/>
      <c r="Q32" s="157"/>
    </row>
    <row r="33" spans="1:17" ht="22.5">
      <c r="A33" s="54"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30"/>
      <c r="C33" s="158"/>
      <c r="D33" s="162"/>
      <c r="E33" s="150" t="s">
        <v>103</v>
      </c>
      <c r="F33" s="152" t="s">
        <v>104</v>
      </c>
      <c r="G33" s="192" t="s">
        <v>553</v>
      </c>
      <c r="H33" s="153"/>
      <c r="I33" s="152"/>
      <c r="J33" s="153"/>
      <c r="K33" s="153"/>
      <c r="L33" s="154"/>
      <c r="M33" s="157"/>
      <c r="N33" s="157"/>
      <c r="O33" s="157"/>
      <c r="P33" s="157"/>
      <c r="Q33" s="157"/>
    </row>
    <row r="34" spans="1:17" ht="22.5">
      <c r="A34" s="54"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30"/>
      <c r="C34" s="158"/>
      <c r="D34" s="162"/>
      <c r="E34" s="160"/>
      <c r="F34" s="152" t="s">
        <v>105</v>
      </c>
      <c r="G34" s="192" t="s">
        <v>553</v>
      </c>
      <c r="H34" s="153"/>
      <c r="I34" s="152"/>
      <c r="J34" s="153"/>
      <c r="K34" s="153"/>
      <c r="L34" s="154"/>
      <c r="M34" s="157"/>
      <c r="N34" s="157"/>
      <c r="O34" s="157"/>
      <c r="P34" s="157"/>
      <c r="Q34" s="157"/>
    </row>
    <row r="35" spans="1:17" ht="45">
      <c r="A35" s="54"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30"/>
      <c r="C35" s="164"/>
      <c r="D35" s="151"/>
      <c r="E35" s="150" t="s">
        <v>106</v>
      </c>
      <c r="F35" s="150" t="s">
        <v>107</v>
      </c>
      <c r="G35" s="192" t="s">
        <v>554</v>
      </c>
      <c r="H35" s="152"/>
      <c r="I35" s="152"/>
      <c r="J35" s="152"/>
      <c r="K35" s="153"/>
      <c r="L35" s="154"/>
      <c r="M35" s="157"/>
      <c r="N35" s="156"/>
      <c r="O35" s="157"/>
      <c r="P35" s="157"/>
      <c r="Q35" s="157"/>
    </row>
    <row r="36" spans="1:17" ht="33.75">
      <c r="A36" s="54"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30"/>
      <c r="C36" s="134" t="s">
        <v>108</v>
      </c>
      <c r="D36" s="134" t="s">
        <v>36</v>
      </c>
      <c r="E36" s="96" t="s">
        <v>36</v>
      </c>
      <c r="F36" s="95" t="s">
        <v>109</v>
      </c>
      <c r="G36" s="193"/>
      <c r="H36" s="95"/>
      <c r="I36" s="95"/>
      <c r="J36" s="39"/>
      <c r="K36" s="37"/>
      <c r="L36" s="32"/>
      <c r="M36" s="34"/>
      <c r="N36" s="34"/>
      <c r="O36" s="34"/>
      <c r="P36" s="34"/>
      <c r="Q36" s="34"/>
    </row>
    <row r="37" spans="1:17" ht="33.75">
      <c r="A37" s="54"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30"/>
      <c r="C37" s="130"/>
      <c r="D37" s="133"/>
      <c r="E37" s="108"/>
      <c r="F37" s="95" t="s">
        <v>110</v>
      </c>
      <c r="G37" s="193"/>
      <c r="H37" s="95"/>
      <c r="I37" s="95"/>
      <c r="J37" s="39"/>
      <c r="K37" s="37"/>
      <c r="L37" s="32"/>
      <c r="M37" s="34"/>
      <c r="N37" s="34"/>
      <c r="O37" s="34"/>
      <c r="P37" s="34"/>
      <c r="Q37" s="34"/>
    </row>
    <row r="38" spans="1:17" ht="22.5">
      <c r="A38" s="54"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30"/>
      <c r="C38" s="130"/>
      <c r="D38" s="133"/>
      <c r="E38" s="108"/>
      <c r="F38" s="96" t="s">
        <v>111</v>
      </c>
      <c r="G38" s="194"/>
      <c r="H38" s="95"/>
      <c r="I38" s="39"/>
      <c r="J38" s="39"/>
      <c r="K38" s="39"/>
      <c r="L38" s="32"/>
      <c r="M38" s="34"/>
      <c r="N38" s="36"/>
      <c r="O38" s="34"/>
      <c r="P38" s="34"/>
      <c r="Q38" s="34"/>
    </row>
    <row r="39" spans="1:17" s="31" customFormat="1" ht="22.5">
      <c r="A39" s="54"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30"/>
      <c r="C39" s="130"/>
      <c r="D39" s="131"/>
      <c r="E39" s="132"/>
      <c r="F39" s="136" t="s">
        <v>112</v>
      </c>
      <c r="G39" s="194"/>
      <c r="H39" s="95"/>
      <c r="I39" s="39"/>
      <c r="J39" s="39"/>
      <c r="K39" s="39"/>
      <c r="L39" s="32"/>
      <c r="M39" s="35"/>
      <c r="N39" s="36"/>
      <c r="O39" s="36"/>
      <c r="P39" s="35"/>
      <c r="Q39" s="34"/>
    </row>
    <row r="40" spans="1:17" s="31" customFormat="1" ht="33.75">
      <c r="A40" s="54"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30"/>
      <c r="C40" s="130"/>
      <c r="D40" s="133" t="s">
        <v>113</v>
      </c>
      <c r="E40" s="108" t="s">
        <v>75</v>
      </c>
      <c r="F40" s="95" t="s">
        <v>114</v>
      </c>
      <c r="G40" s="193"/>
      <c r="H40" s="95"/>
      <c r="I40" s="95"/>
      <c r="J40" s="39"/>
      <c r="K40" s="41"/>
      <c r="L40" s="32"/>
      <c r="M40" s="35"/>
      <c r="N40" s="34"/>
      <c r="O40" s="36"/>
      <c r="P40" s="35"/>
      <c r="Q40" s="34"/>
    </row>
    <row r="41" spans="1:17" s="31" customFormat="1">
      <c r="A41" s="54"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37"/>
      <c r="C41" s="137"/>
      <c r="D41" s="131"/>
      <c r="E41" s="132"/>
      <c r="F41" s="95" t="s">
        <v>115</v>
      </c>
      <c r="G41" s="193"/>
      <c r="H41" s="95"/>
      <c r="I41" s="95"/>
      <c r="J41" s="39"/>
      <c r="K41" s="41"/>
      <c r="L41" s="32"/>
      <c r="M41" s="35"/>
      <c r="N41" s="34"/>
      <c r="O41" s="36"/>
      <c r="P41" s="35"/>
      <c r="Q41" s="34"/>
    </row>
    <row r="42" spans="1:17" s="31" customFormat="1" ht="22.5">
      <c r="A42" s="54"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65" t="s">
        <v>116</v>
      </c>
      <c r="C42" s="166" t="s">
        <v>117</v>
      </c>
      <c r="D42" s="166" t="s">
        <v>118</v>
      </c>
      <c r="E42" s="166" t="s">
        <v>119</v>
      </c>
      <c r="F42" s="152" t="s">
        <v>120</v>
      </c>
      <c r="G42" s="195" t="s">
        <v>555</v>
      </c>
      <c r="H42" s="152"/>
      <c r="I42" s="152"/>
      <c r="J42" s="167"/>
      <c r="K42" s="161"/>
      <c r="L42" s="154"/>
      <c r="M42" s="157"/>
      <c r="N42" s="156"/>
      <c r="O42" s="157"/>
      <c r="P42" s="155"/>
      <c r="Q42" s="157"/>
    </row>
    <row r="43" spans="1:17" s="31" customFormat="1" ht="22.5">
      <c r="A43" s="54"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58"/>
      <c r="C43" s="164"/>
      <c r="D43" s="151"/>
      <c r="E43" s="151"/>
      <c r="F43" s="150" t="s">
        <v>121</v>
      </c>
      <c r="G43" s="195" t="s">
        <v>555</v>
      </c>
      <c r="H43" s="152"/>
      <c r="I43" s="152"/>
      <c r="J43" s="167"/>
      <c r="K43" s="161"/>
      <c r="L43" s="154"/>
      <c r="M43" s="157"/>
      <c r="N43" s="156"/>
      <c r="O43" s="157"/>
      <c r="P43" s="155"/>
      <c r="Q43" s="157"/>
    </row>
    <row r="44" spans="1:17" s="31" customFormat="1" ht="33.75">
      <c r="A44" s="54"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58"/>
      <c r="C44" s="164"/>
      <c r="D44" s="151"/>
      <c r="E44" s="160"/>
      <c r="F44" s="152" t="s">
        <v>122</v>
      </c>
      <c r="G44" s="195" t="s">
        <v>555</v>
      </c>
      <c r="H44" s="152"/>
      <c r="I44" s="152"/>
      <c r="J44" s="167"/>
      <c r="K44" s="161"/>
      <c r="L44" s="154"/>
      <c r="M44" s="155"/>
      <c r="N44" s="157"/>
      <c r="O44" s="156"/>
      <c r="P44" s="155"/>
      <c r="Q44" s="157"/>
    </row>
    <row r="45" spans="1:17" s="31" customFormat="1" ht="22.5">
      <c r="A45" s="54"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58"/>
      <c r="C45" s="164"/>
      <c r="D45" s="151"/>
      <c r="E45" s="151" t="s">
        <v>123</v>
      </c>
      <c r="F45" s="152" t="s">
        <v>124</v>
      </c>
      <c r="G45" s="195" t="s">
        <v>555</v>
      </c>
      <c r="H45" s="152"/>
      <c r="I45" s="152"/>
      <c r="J45" s="167"/>
      <c r="K45" s="161"/>
      <c r="L45" s="154"/>
      <c r="M45" s="155"/>
      <c r="N45" s="157"/>
      <c r="O45" s="156"/>
      <c r="P45" s="155"/>
      <c r="Q45" s="157"/>
    </row>
    <row r="46" spans="1:17" s="31" customFormat="1" ht="22.5">
      <c r="A46" s="54"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58"/>
      <c r="C46" s="164"/>
      <c r="D46" s="151"/>
      <c r="E46" s="151"/>
      <c r="F46" s="152" t="s">
        <v>125</v>
      </c>
      <c r="G46" s="195" t="s">
        <v>555</v>
      </c>
      <c r="H46" s="152"/>
      <c r="I46" s="152"/>
      <c r="J46" s="167"/>
      <c r="K46" s="161"/>
      <c r="L46" s="154"/>
      <c r="M46" s="155"/>
      <c r="N46" s="157"/>
      <c r="O46" s="156"/>
      <c r="P46" s="155"/>
      <c r="Q46" s="157"/>
    </row>
    <row r="47" spans="1:17" s="31" customFormat="1" ht="33.75">
      <c r="A47" s="54"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58"/>
      <c r="C47" s="164"/>
      <c r="D47" s="151"/>
      <c r="E47" s="160"/>
      <c r="F47" s="152" t="s">
        <v>122</v>
      </c>
      <c r="G47" s="195" t="s">
        <v>555</v>
      </c>
      <c r="H47" s="152"/>
      <c r="I47" s="152"/>
      <c r="J47" s="167"/>
      <c r="K47" s="161"/>
      <c r="L47" s="154"/>
      <c r="M47" s="155"/>
      <c r="N47" s="157"/>
      <c r="O47" s="156"/>
      <c r="P47" s="155"/>
      <c r="Q47" s="157"/>
    </row>
    <row r="48" spans="1:17" s="31" customFormat="1" ht="22.5">
      <c r="A48" s="54"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58"/>
      <c r="C48" s="164"/>
      <c r="D48" s="151"/>
      <c r="E48" s="151" t="s">
        <v>126</v>
      </c>
      <c r="F48" s="150" t="s">
        <v>127</v>
      </c>
      <c r="G48" s="195" t="s">
        <v>555</v>
      </c>
      <c r="H48" s="152"/>
      <c r="I48" s="152"/>
      <c r="J48" s="167"/>
      <c r="K48" s="161"/>
      <c r="L48" s="154"/>
      <c r="M48" s="157"/>
      <c r="N48" s="156"/>
      <c r="O48" s="157"/>
      <c r="P48" s="155"/>
      <c r="Q48" s="157"/>
    </row>
    <row r="49" spans="1:17" s="31" customFormat="1" ht="22.5">
      <c r="A49" s="54"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58"/>
      <c r="C49" s="164"/>
      <c r="D49" s="151"/>
      <c r="E49" s="151"/>
      <c r="F49" s="150" t="s">
        <v>128</v>
      </c>
      <c r="G49" s="195" t="s">
        <v>555</v>
      </c>
      <c r="H49" s="152"/>
      <c r="I49" s="152"/>
      <c r="J49" s="167"/>
      <c r="K49" s="161"/>
      <c r="L49" s="154"/>
      <c r="M49" s="157"/>
      <c r="N49" s="156"/>
      <c r="O49" s="157"/>
      <c r="P49" s="155"/>
      <c r="Q49" s="157"/>
    </row>
    <row r="50" spans="1:17" s="31" customFormat="1" ht="22.5">
      <c r="A50" s="54"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58"/>
      <c r="C50" s="164"/>
      <c r="D50" s="151"/>
      <c r="E50" s="150" t="s">
        <v>129</v>
      </c>
      <c r="F50" s="152" t="s">
        <v>130</v>
      </c>
      <c r="G50" s="195" t="s">
        <v>555</v>
      </c>
      <c r="H50" s="152"/>
      <c r="I50" s="152"/>
      <c r="J50" s="167"/>
      <c r="K50" s="161"/>
      <c r="L50" s="154"/>
      <c r="M50" s="155"/>
      <c r="N50" s="157"/>
      <c r="O50" s="156"/>
      <c r="P50" s="155"/>
      <c r="Q50" s="157"/>
    </row>
    <row r="51" spans="1:17" s="31" customFormat="1" ht="22.5">
      <c r="A51" s="54"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58"/>
      <c r="C51" s="164"/>
      <c r="D51" s="151"/>
      <c r="E51" s="151"/>
      <c r="F51" s="152" t="s">
        <v>131</v>
      </c>
      <c r="G51" s="195" t="s">
        <v>555</v>
      </c>
      <c r="H51" s="152"/>
      <c r="I51" s="152"/>
      <c r="J51" s="167"/>
      <c r="K51" s="161"/>
      <c r="L51" s="154"/>
      <c r="M51" s="155"/>
      <c r="N51" s="157"/>
      <c r="O51" s="156"/>
      <c r="P51" s="155"/>
      <c r="Q51" s="157"/>
    </row>
    <row r="52" spans="1:17" s="31" customFormat="1" ht="22.5">
      <c r="A52" s="54"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58"/>
      <c r="C52" s="164"/>
      <c r="D52" s="151"/>
      <c r="E52" s="151"/>
      <c r="F52" s="152" t="s">
        <v>132</v>
      </c>
      <c r="G52" s="195" t="s">
        <v>555</v>
      </c>
      <c r="H52" s="152"/>
      <c r="I52" s="152"/>
      <c r="J52" s="167"/>
      <c r="K52" s="161"/>
      <c r="L52" s="154"/>
      <c r="M52" s="155"/>
      <c r="N52" s="157"/>
      <c r="O52" s="156"/>
      <c r="P52" s="155"/>
      <c r="Q52" s="157"/>
    </row>
    <row r="53" spans="1:17" s="31" customFormat="1" ht="22.5">
      <c r="A53" s="54"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58"/>
      <c r="C53" s="164"/>
      <c r="D53" s="151"/>
      <c r="E53" s="151"/>
      <c r="F53" s="152" t="s">
        <v>133</v>
      </c>
      <c r="G53" s="195" t="s">
        <v>555</v>
      </c>
      <c r="H53" s="152"/>
      <c r="I53" s="152"/>
      <c r="J53" s="167"/>
      <c r="K53" s="161"/>
      <c r="L53" s="154"/>
      <c r="M53" s="155"/>
      <c r="N53" s="157"/>
      <c r="O53" s="156"/>
      <c r="P53" s="155"/>
      <c r="Q53" s="157"/>
    </row>
    <row r="54" spans="1:17" s="31" customFormat="1" ht="22.5">
      <c r="A54" s="54"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58"/>
      <c r="C54" s="164"/>
      <c r="D54" s="151"/>
      <c r="E54" s="151"/>
      <c r="F54" s="152" t="s">
        <v>134</v>
      </c>
      <c r="G54" s="195" t="s">
        <v>555</v>
      </c>
      <c r="H54" s="152"/>
      <c r="I54" s="152"/>
      <c r="J54" s="167"/>
      <c r="K54" s="161"/>
      <c r="L54" s="154"/>
      <c r="M54" s="155"/>
      <c r="N54" s="157"/>
      <c r="O54" s="156"/>
      <c r="P54" s="155"/>
      <c r="Q54" s="157"/>
    </row>
    <row r="55" spans="1:17" s="31" customFormat="1" ht="22.5">
      <c r="A55" s="54"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58"/>
      <c r="C55" s="164"/>
      <c r="D55" s="151"/>
      <c r="E55" s="160"/>
      <c r="F55" s="152" t="s">
        <v>135</v>
      </c>
      <c r="G55" s="195" t="s">
        <v>555</v>
      </c>
      <c r="H55" s="152"/>
      <c r="I55" s="152"/>
      <c r="J55" s="167"/>
      <c r="K55" s="161"/>
      <c r="L55" s="154"/>
      <c r="M55" s="155"/>
      <c r="N55" s="157"/>
      <c r="O55" s="156"/>
      <c r="P55" s="155"/>
      <c r="Q55" s="157"/>
    </row>
    <row r="56" spans="1:17" s="31" customFormat="1" ht="33.75">
      <c r="A56" s="54"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58"/>
      <c r="C56" s="164"/>
      <c r="D56" s="151"/>
      <c r="E56" s="160" t="s">
        <v>136</v>
      </c>
      <c r="F56" s="152" t="s">
        <v>137</v>
      </c>
      <c r="G56" s="195" t="s">
        <v>555</v>
      </c>
      <c r="H56" s="152"/>
      <c r="I56" s="152"/>
      <c r="J56" s="167"/>
      <c r="K56" s="161"/>
      <c r="L56" s="154"/>
      <c r="M56" s="155"/>
      <c r="N56" s="157"/>
      <c r="O56" s="156"/>
      <c r="P56" s="155"/>
      <c r="Q56" s="157"/>
    </row>
    <row r="57" spans="1:17" s="31" customFormat="1" ht="22.5">
      <c r="A57" s="54"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58"/>
      <c r="C57" s="164"/>
      <c r="D57" s="151"/>
      <c r="E57" s="160" t="s">
        <v>138</v>
      </c>
      <c r="F57" s="152" t="s">
        <v>139</v>
      </c>
      <c r="G57" s="195" t="s">
        <v>555</v>
      </c>
      <c r="H57" s="152"/>
      <c r="I57" s="152"/>
      <c r="J57" s="167"/>
      <c r="K57" s="161"/>
      <c r="L57" s="154"/>
      <c r="M57" s="155"/>
      <c r="N57" s="157"/>
      <c r="O57" s="156"/>
      <c r="P57" s="155"/>
      <c r="Q57" s="157"/>
    </row>
    <row r="58" spans="1:17" s="31" customFormat="1" ht="22.5">
      <c r="A58" s="54"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58"/>
      <c r="C58" s="164"/>
      <c r="D58" s="160"/>
      <c r="E58" s="160" t="s">
        <v>140</v>
      </c>
      <c r="F58" s="152" t="s">
        <v>141</v>
      </c>
      <c r="G58" s="195" t="s">
        <v>555</v>
      </c>
      <c r="H58" s="152"/>
      <c r="I58" s="152"/>
      <c r="J58" s="167"/>
      <c r="K58" s="161"/>
      <c r="L58" s="154"/>
      <c r="M58" s="155"/>
      <c r="N58" s="157"/>
      <c r="O58" s="156"/>
      <c r="P58" s="155"/>
      <c r="Q58" s="157"/>
    </row>
    <row r="59" spans="1:17" s="31" customFormat="1" ht="22.5">
      <c r="A59" s="54"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58"/>
      <c r="C59" s="164"/>
      <c r="D59" s="151" t="s">
        <v>142</v>
      </c>
      <c r="E59" s="151" t="s">
        <v>75</v>
      </c>
      <c r="F59" s="152" t="s">
        <v>143</v>
      </c>
      <c r="G59" s="195" t="s">
        <v>555</v>
      </c>
      <c r="H59" s="152"/>
      <c r="I59" s="152"/>
      <c r="J59" s="167"/>
      <c r="K59" s="161"/>
      <c r="L59" s="154"/>
      <c r="M59" s="155"/>
      <c r="N59" s="157"/>
      <c r="O59" s="156"/>
      <c r="P59" s="155"/>
      <c r="Q59" s="157"/>
    </row>
    <row r="60" spans="1:17" s="31" customFormat="1" ht="22.5">
      <c r="A60" s="54"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58"/>
      <c r="C60" s="158"/>
      <c r="D60" s="151"/>
      <c r="E60" s="151"/>
      <c r="F60" s="150" t="s">
        <v>144</v>
      </c>
      <c r="G60" s="195" t="s">
        <v>555</v>
      </c>
      <c r="H60" s="152"/>
      <c r="I60" s="152"/>
      <c r="J60" s="167"/>
      <c r="K60" s="161"/>
      <c r="L60" s="154"/>
      <c r="M60" s="155"/>
      <c r="N60" s="157"/>
      <c r="O60" s="156"/>
      <c r="P60" s="155"/>
      <c r="Q60" s="157"/>
    </row>
    <row r="61" spans="1:17" s="31" customFormat="1" ht="22.5">
      <c r="A61" s="54"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58"/>
      <c r="C61" s="158"/>
      <c r="D61" s="151"/>
      <c r="E61" s="151"/>
      <c r="F61" s="152" t="s">
        <v>145</v>
      </c>
      <c r="G61" s="195" t="s">
        <v>555</v>
      </c>
      <c r="H61" s="152"/>
      <c r="I61" s="152"/>
      <c r="J61" s="167"/>
      <c r="K61" s="161"/>
      <c r="L61" s="154"/>
      <c r="M61" s="155"/>
      <c r="N61" s="157"/>
      <c r="O61" s="156"/>
      <c r="P61" s="155"/>
      <c r="Q61" s="157"/>
    </row>
    <row r="62" spans="1:17" s="31" customFormat="1" ht="22.5">
      <c r="A62" s="54"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58"/>
      <c r="C62" s="158"/>
      <c r="D62" s="151"/>
      <c r="E62" s="151"/>
      <c r="F62" s="152" t="s">
        <v>146</v>
      </c>
      <c r="G62" s="195" t="s">
        <v>555</v>
      </c>
      <c r="H62" s="152"/>
      <c r="I62" s="152"/>
      <c r="J62" s="167"/>
      <c r="K62" s="161"/>
      <c r="L62" s="154"/>
      <c r="M62" s="155"/>
      <c r="N62" s="157"/>
      <c r="O62" s="156"/>
      <c r="P62" s="155"/>
      <c r="Q62" s="157"/>
    </row>
    <row r="63" spans="1:17" s="31" customFormat="1" ht="22.5">
      <c r="A63" s="54"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58"/>
      <c r="C63" s="158"/>
      <c r="D63" s="151"/>
      <c r="E63" s="160"/>
      <c r="F63" s="152" t="s">
        <v>147</v>
      </c>
      <c r="G63" s="195" t="s">
        <v>555</v>
      </c>
      <c r="H63" s="152"/>
      <c r="I63" s="152"/>
      <c r="J63" s="167"/>
      <c r="K63" s="161"/>
      <c r="L63" s="154"/>
      <c r="M63" s="155"/>
      <c r="N63" s="157"/>
      <c r="O63" s="156"/>
      <c r="P63" s="155"/>
      <c r="Q63" s="157"/>
    </row>
    <row r="64" spans="1:17" s="31" customFormat="1" ht="33.75">
      <c r="A64" s="54"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58"/>
      <c r="C64" s="158"/>
      <c r="D64" s="151"/>
      <c r="E64" s="151" t="s">
        <v>148</v>
      </c>
      <c r="F64" s="152" t="s">
        <v>149</v>
      </c>
      <c r="G64" s="195" t="s">
        <v>555</v>
      </c>
      <c r="H64" s="152"/>
      <c r="I64" s="152"/>
      <c r="J64" s="167"/>
      <c r="K64" s="161"/>
      <c r="L64" s="154"/>
      <c r="M64" s="155"/>
      <c r="N64" s="157"/>
      <c r="O64" s="156"/>
      <c r="P64" s="155"/>
      <c r="Q64" s="157"/>
    </row>
    <row r="65" spans="1:17" s="31" customFormat="1" ht="33.75">
      <c r="A65" s="54"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58"/>
      <c r="C65" s="158"/>
      <c r="D65" s="151"/>
      <c r="E65" s="151"/>
      <c r="F65" s="150" t="s">
        <v>150</v>
      </c>
      <c r="G65" s="195" t="s">
        <v>555</v>
      </c>
      <c r="H65" s="152"/>
      <c r="I65" s="152"/>
      <c r="J65" s="167"/>
      <c r="K65" s="161"/>
      <c r="L65" s="154"/>
      <c r="M65" s="155"/>
      <c r="N65" s="157"/>
      <c r="O65" s="156"/>
      <c r="P65" s="155"/>
      <c r="Q65" s="157"/>
    </row>
    <row r="66" spans="1:17" s="31" customFormat="1" ht="33.75">
      <c r="A66" s="54"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58"/>
      <c r="C66" s="158"/>
      <c r="D66" s="151"/>
      <c r="E66" s="151"/>
      <c r="F66" s="152" t="s">
        <v>151</v>
      </c>
      <c r="G66" s="195" t="s">
        <v>555</v>
      </c>
      <c r="H66" s="152"/>
      <c r="I66" s="152"/>
      <c r="J66" s="167"/>
      <c r="K66" s="161"/>
      <c r="L66" s="154"/>
      <c r="M66" s="155"/>
      <c r="N66" s="157"/>
      <c r="O66" s="156"/>
      <c r="P66" s="155"/>
      <c r="Q66" s="157"/>
    </row>
    <row r="67" spans="1:17" s="31" customFormat="1" ht="33.75">
      <c r="A67" s="54"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58"/>
      <c r="C67" s="158"/>
      <c r="D67" s="151"/>
      <c r="E67" s="151"/>
      <c r="F67" s="152" t="s">
        <v>152</v>
      </c>
      <c r="G67" s="195" t="s">
        <v>555</v>
      </c>
      <c r="H67" s="152"/>
      <c r="I67" s="152"/>
      <c r="J67" s="167"/>
      <c r="K67" s="161"/>
      <c r="L67" s="154"/>
      <c r="M67" s="155"/>
      <c r="N67" s="157"/>
      <c r="O67" s="156"/>
      <c r="P67" s="155"/>
      <c r="Q67" s="157"/>
    </row>
    <row r="68" spans="1:17" s="31" customFormat="1" ht="33.75">
      <c r="A68" s="54"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58"/>
      <c r="C68" s="158"/>
      <c r="D68" s="151"/>
      <c r="E68" s="151"/>
      <c r="F68" s="152" t="s">
        <v>153</v>
      </c>
      <c r="G68" s="195" t="s">
        <v>555</v>
      </c>
      <c r="H68" s="152"/>
      <c r="I68" s="152"/>
      <c r="J68" s="167"/>
      <c r="K68" s="161"/>
      <c r="L68" s="154"/>
      <c r="M68" s="155"/>
      <c r="N68" s="157"/>
      <c r="O68" s="156"/>
      <c r="P68" s="155"/>
      <c r="Q68" s="157"/>
    </row>
    <row r="69" spans="1:17" s="31" customFormat="1" ht="22.5">
      <c r="A69" s="54"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58"/>
      <c r="C69" s="158"/>
      <c r="D69" s="151"/>
      <c r="E69" s="151"/>
      <c r="F69" s="152" t="s">
        <v>154</v>
      </c>
      <c r="G69" s="195" t="s">
        <v>555</v>
      </c>
      <c r="H69" s="152"/>
      <c r="I69" s="152"/>
      <c r="J69" s="167"/>
      <c r="K69" s="161"/>
      <c r="L69" s="154"/>
      <c r="M69" s="155"/>
      <c r="N69" s="157"/>
      <c r="O69" s="156"/>
      <c r="P69" s="155"/>
      <c r="Q69" s="157"/>
    </row>
    <row r="70" spans="1:17" s="31" customFormat="1" ht="22.5">
      <c r="A70" s="54"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58"/>
      <c r="C70" s="158"/>
      <c r="D70" s="151"/>
      <c r="E70" s="151"/>
      <c r="F70" s="152" t="s">
        <v>155</v>
      </c>
      <c r="G70" s="195" t="s">
        <v>555</v>
      </c>
      <c r="H70" s="152"/>
      <c r="I70" s="152"/>
      <c r="J70" s="167"/>
      <c r="K70" s="161"/>
      <c r="L70" s="154"/>
      <c r="M70" s="155"/>
      <c r="N70" s="157"/>
      <c r="O70" s="156"/>
      <c r="P70" s="155"/>
      <c r="Q70" s="157"/>
    </row>
    <row r="71" spans="1:17" s="31" customFormat="1" ht="33.75">
      <c r="A71" s="54"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58"/>
      <c r="C71" s="158"/>
      <c r="D71" s="151"/>
      <c r="E71" s="151"/>
      <c r="F71" s="150" t="s">
        <v>156</v>
      </c>
      <c r="G71" s="195" t="s">
        <v>555</v>
      </c>
      <c r="H71" s="150"/>
      <c r="I71" s="150"/>
      <c r="J71" s="168"/>
      <c r="K71" s="169"/>
      <c r="L71" s="170"/>
      <c r="M71" s="171"/>
      <c r="N71" s="172"/>
      <c r="O71" s="173"/>
      <c r="P71" s="171"/>
      <c r="Q71" s="172"/>
    </row>
    <row r="72" spans="1:17" s="31" customFormat="1" ht="22.5">
      <c r="A72" s="54"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74"/>
      <c r="C72" s="174"/>
      <c r="D72" s="175"/>
      <c r="E72" s="150" t="s">
        <v>157</v>
      </c>
      <c r="F72" s="150" t="s">
        <v>158</v>
      </c>
      <c r="G72" s="195" t="s">
        <v>555</v>
      </c>
      <c r="H72" s="152"/>
      <c r="I72" s="176"/>
      <c r="J72" s="161"/>
      <c r="K72" s="161"/>
      <c r="L72" s="161"/>
      <c r="M72" s="157"/>
      <c r="N72" s="157"/>
      <c r="O72" s="177"/>
      <c r="P72" s="161"/>
      <c r="Q72" s="161"/>
    </row>
    <row r="73" spans="1:17" s="31" customFormat="1" ht="22.5">
      <c r="A73" s="54"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64"/>
      <c r="C73" s="178"/>
      <c r="D73" s="151"/>
      <c r="E73" s="150" t="s">
        <v>159</v>
      </c>
      <c r="F73" s="150" t="s">
        <v>160</v>
      </c>
      <c r="G73" s="195" t="s">
        <v>555</v>
      </c>
      <c r="H73" s="152"/>
      <c r="I73" s="179"/>
      <c r="J73" s="161"/>
      <c r="K73" s="161"/>
      <c r="L73" s="161"/>
      <c r="M73" s="157"/>
      <c r="N73" s="157"/>
      <c r="O73" s="177"/>
      <c r="P73" s="161"/>
      <c r="Q73" s="161"/>
    </row>
    <row r="74" spans="1:17" s="31" customFormat="1" ht="22.5">
      <c r="A74" s="54"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64"/>
      <c r="C74" s="178"/>
      <c r="D74" s="151"/>
      <c r="E74" s="151"/>
      <c r="F74" s="152" t="s">
        <v>161</v>
      </c>
      <c r="G74" s="195" t="s">
        <v>555</v>
      </c>
      <c r="H74" s="152"/>
      <c r="I74" s="152"/>
      <c r="J74" s="167"/>
      <c r="K74" s="161"/>
      <c r="L74" s="154"/>
      <c r="M74" s="155"/>
      <c r="N74" s="157"/>
      <c r="O74" s="156"/>
      <c r="P74" s="155"/>
      <c r="Q74" s="157"/>
    </row>
    <row r="75" spans="1:17" ht="22.5">
      <c r="A75" s="54"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58"/>
      <c r="C75" s="180"/>
      <c r="D75" s="151"/>
      <c r="E75" s="151"/>
      <c r="F75" s="152" t="s">
        <v>162</v>
      </c>
      <c r="G75" s="195" t="s">
        <v>555</v>
      </c>
      <c r="H75" s="152"/>
      <c r="I75" s="152"/>
      <c r="J75" s="167"/>
      <c r="K75" s="157"/>
      <c r="L75" s="154"/>
      <c r="M75" s="157"/>
      <c r="N75" s="157"/>
      <c r="O75" s="157"/>
      <c r="P75" s="157"/>
      <c r="Q75" s="157"/>
    </row>
    <row r="76" spans="1:17" ht="22.5">
      <c r="A76" s="54"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58"/>
      <c r="C76" s="180"/>
      <c r="D76" s="151"/>
      <c r="E76" s="151"/>
      <c r="F76" s="152" t="s">
        <v>163</v>
      </c>
      <c r="G76" s="195" t="s">
        <v>555</v>
      </c>
      <c r="H76" s="152"/>
      <c r="I76" s="152"/>
      <c r="J76" s="167"/>
      <c r="K76" s="157"/>
      <c r="L76" s="154"/>
      <c r="M76" s="157"/>
      <c r="N76" s="157"/>
      <c r="O76" s="157"/>
      <c r="P76" s="157"/>
      <c r="Q76" s="157"/>
    </row>
    <row r="77" spans="1:17" ht="22.5">
      <c r="A77" s="54"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64"/>
      <c r="C77" s="181"/>
      <c r="D77" s="160"/>
      <c r="E77" s="160"/>
      <c r="F77" s="152" t="s">
        <v>164</v>
      </c>
      <c r="G77" s="195" t="s">
        <v>555</v>
      </c>
      <c r="H77" s="152"/>
      <c r="I77" s="152"/>
      <c r="J77" s="167"/>
      <c r="K77" s="157"/>
      <c r="L77" s="154"/>
      <c r="M77" s="157"/>
      <c r="N77" s="157"/>
      <c r="O77" s="157"/>
      <c r="P77" s="157"/>
      <c r="Q77" s="157"/>
    </row>
    <row r="78" spans="1:17" ht="22.5">
      <c r="A78" s="54"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164"/>
      <c r="C78" s="163" t="s">
        <v>165</v>
      </c>
      <c r="D78" s="150" t="s">
        <v>25</v>
      </c>
      <c r="E78" s="150" t="s">
        <v>75</v>
      </c>
      <c r="F78" s="150" t="s">
        <v>166</v>
      </c>
      <c r="G78" s="195" t="s">
        <v>555</v>
      </c>
      <c r="H78" s="152"/>
      <c r="I78" s="152"/>
      <c r="J78" s="167"/>
      <c r="K78" s="161"/>
      <c r="L78" s="154"/>
      <c r="M78" s="157"/>
      <c r="N78" s="156"/>
      <c r="O78" s="157"/>
      <c r="P78" s="157"/>
      <c r="Q78" s="157"/>
    </row>
    <row r="79" spans="1:17" ht="33.75">
      <c r="A79" s="54"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58"/>
      <c r="C79" s="182"/>
      <c r="D79" s="151"/>
      <c r="E79" s="151"/>
      <c r="F79" s="150" t="s">
        <v>167</v>
      </c>
      <c r="G79" s="195" t="s">
        <v>555</v>
      </c>
      <c r="H79" s="152"/>
      <c r="I79" s="152"/>
      <c r="J79" s="167"/>
      <c r="K79" s="161"/>
      <c r="L79" s="154"/>
      <c r="M79" s="157"/>
      <c r="N79" s="156"/>
      <c r="O79" s="157"/>
      <c r="P79" s="157"/>
      <c r="Q79" s="157"/>
    </row>
    <row r="80" spans="1:17" ht="22.5">
      <c r="A80" s="54"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58"/>
      <c r="C80" s="182"/>
      <c r="D80" s="151"/>
      <c r="E80" s="150" t="s">
        <v>168</v>
      </c>
      <c r="F80" s="150" t="s">
        <v>169</v>
      </c>
      <c r="G80" s="195" t="s">
        <v>555</v>
      </c>
      <c r="H80" s="152"/>
      <c r="I80" s="152"/>
      <c r="J80" s="167"/>
      <c r="K80" s="157"/>
      <c r="L80" s="154"/>
      <c r="M80" s="157"/>
      <c r="N80" s="157"/>
      <c r="O80" s="157"/>
      <c r="P80" s="157"/>
      <c r="Q80" s="157"/>
    </row>
    <row r="81" spans="1:17" ht="33.75">
      <c r="A81" s="54"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58"/>
      <c r="C81" s="182"/>
      <c r="D81" s="151"/>
      <c r="E81" s="150" t="s">
        <v>170</v>
      </c>
      <c r="F81" s="152" t="s">
        <v>171</v>
      </c>
      <c r="G81" s="195" t="s">
        <v>555</v>
      </c>
      <c r="H81" s="152"/>
      <c r="I81" s="152"/>
      <c r="J81" s="167"/>
      <c r="K81" s="161"/>
      <c r="L81" s="154"/>
      <c r="M81" s="157"/>
      <c r="N81" s="157"/>
      <c r="O81" s="157"/>
      <c r="P81" s="157"/>
      <c r="Q81" s="157"/>
    </row>
    <row r="82" spans="1:17" ht="33.75">
      <c r="A82" s="54"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58"/>
      <c r="C82" s="182"/>
      <c r="D82" s="151"/>
      <c r="E82" s="160"/>
      <c r="F82" s="152" t="s">
        <v>172</v>
      </c>
      <c r="G82" s="195" t="s">
        <v>555</v>
      </c>
      <c r="H82" s="152"/>
      <c r="I82" s="152"/>
      <c r="J82" s="167"/>
      <c r="K82" s="157"/>
      <c r="L82" s="154"/>
      <c r="M82" s="157"/>
      <c r="N82" s="157"/>
      <c r="O82" s="157"/>
      <c r="P82" s="157"/>
      <c r="Q82" s="157"/>
    </row>
    <row r="83" spans="1:17" ht="22.5">
      <c r="A83" s="54"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58"/>
      <c r="C83" s="182"/>
      <c r="D83" s="151"/>
      <c r="E83" s="160" t="s">
        <v>173</v>
      </c>
      <c r="F83" s="152" t="s">
        <v>174</v>
      </c>
      <c r="G83" s="195" t="s">
        <v>555</v>
      </c>
      <c r="H83" s="152"/>
      <c r="I83" s="152"/>
      <c r="J83" s="167"/>
      <c r="K83" s="157"/>
      <c r="L83" s="154"/>
      <c r="M83" s="157"/>
      <c r="N83" s="157"/>
      <c r="O83" s="157"/>
      <c r="P83" s="157"/>
      <c r="Q83" s="157"/>
    </row>
    <row r="84" spans="1:17" ht="22.5">
      <c r="A84" s="54"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58"/>
      <c r="C84" s="183"/>
      <c r="D84" s="160"/>
      <c r="E84" s="160" t="s">
        <v>175</v>
      </c>
      <c r="F84" s="152" t="s">
        <v>176</v>
      </c>
      <c r="G84" s="195" t="s">
        <v>555</v>
      </c>
      <c r="H84" s="152"/>
      <c r="I84" s="152"/>
      <c r="J84" s="167"/>
      <c r="K84" s="157"/>
      <c r="L84" s="154"/>
      <c r="M84" s="157"/>
      <c r="N84" s="157"/>
      <c r="O84" s="157"/>
      <c r="P84" s="157"/>
      <c r="Q84" s="157"/>
    </row>
    <row r="85" spans="1:17" ht="22.5">
      <c r="A85" s="54"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58"/>
      <c r="C85" s="151" t="s">
        <v>177</v>
      </c>
      <c r="D85" s="151" t="s">
        <v>25</v>
      </c>
      <c r="E85" s="152" t="s">
        <v>75</v>
      </c>
      <c r="F85" s="152" t="s">
        <v>178</v>
      </c>
      <c r="G85" s="195" t="s">
        <v>555</v>
      </c>
      <c r="H85" s="152"/>
      <c r="I85" s="184"/>
      <c r="J85" s="167"/>
      <c r="K85" s="157"/>
      <c r="L85" s="154"/>
      <c r="M85" s="157"/>
      <c r="N85" s="157"/>
      <c r="O85" s="157"/>
      <c r="P85" s="157"/>
      <c r="Q85" s="157"/>
    </row>
    <row r="86" spans="1:17" ht="22.5">
      <c r="A86" s="54"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58"/>
      <c r="C86" s="182"/>
      <c r="D86" s="151"/>
      <c r="E86" s="160" t="s">
        <v>168</v>
      </c>
      <c r="F86" s="152" t="s">
        <v>179</v>
      </c>
      <c r="G86" s="195" t="s">
        <v>555</v>
      </c>
      <c r="H86" s="152"/>
      <c r="I86" s="184"/>
      <c r="J86" s="167"/>
      <c r="K86" s="157"/>
      <c r="L86" s="154"/>
      <c r="M86" s="157"/>
      <c r="N86" s="157"/>
      <c r="O86" s="157"/>
      <c r="P86" s="157"/>
      <c r="Q86" s="157"/>
    </row>
    <row r="87" spans="1:17" ht="33.75">
      <c r="A87" s="54"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58"/>
      <c r="C87" s="183"/>
      <c r="D87" s="160"/>
      <c r="E87" s="160" t="s">
        <v>180</v>
      </c>
      <c r="F87" s="152" t="s">
        <v>181</v>
      </c>
      <c r="G87" s="195" t="s">
        <v>555</v>
      </c>
      <c r="H87" s="152"/>
      <c r="I87" s="152"/>
      <c r="J87" s="167"/>
      <c r="K87" s="157"/>
      <c r="L87" s="154"/>
      <c r="M87" s="157"/>
      <c r="N87" s="157"/>
      <c r="O87" s="157"/>
      <c r="P87" s="157"/>
      <c r="Q87" s="157"/>
    </row>
    <row r="88" spans="1:17" ht="22.5">
      <c r="A88" s="54"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58"/>
      <c r="C88" s="162" t="s">
        <v>182</v>
      </c>
      <c r="D88" s="151" t="s">
        <v>25</v>
      </c>
      <c r="E88" s="150" t="s">
        <v>75</v>
      </c>
      <c r="F88" s="150" t="s">
        <v>183</v>
      </c>
      <c r="G88" s="195" t="s">
        <v>555</v>
      </c>
      <c r="H88" s="152"/>
      <c r="I88" s="184"/>
      <c r="J88" s="167"/>
      <c r="K88" s="157"/>
      <c r="L88" s="154"/>
      <c r="M88" s="157"/>
      <c r="N88" s="156"/>
      <c r="O88" s="157"/>
      <c r="P88" s="157"/>
      <c r="Q88" s="157"/>
    </row>
    <row r="89" spans="1:17" ht="33.75">
      <c r="A89" s="54"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58"/>
      <c r="C89" s="182"/>
      <c r="D89" s="151"/>
      <c r="E89" s="160"/>
      <c r="F89" s="150" t="s">
        <v>184</v>
      </c>
      <c r="G89" s="195" t="s">
        <v>555</v>
      </c>
      <c r="H89" s="152"/>
      <c r="I89" s="184"/>
      <c r="J89" s="167"/>
      <c r="K89" s="157"/>
      <c r="L89" s="154"/>
      <c r="M89" s="157"/>
      <c r="N89" s="157"/>
      <c r="O89" s="157"/>
      <c r="P89" s="157"/>
      <c r="Q89" s="157"/>
    </row>
    <row r="90" spans="1:17" ht="22.5">
      <c r="A90" s="54"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58"/>
      <c r="C90" s="182"/>
      <c r="D90" s="151"/>
      <c r="E90" s="152" t="s">
        <v>168</v>
      </c>
      <c r="F90" s="152" t="s">
        <v>185</v>
      </c>
      <c r="G90" s="195" t="s">
        <v>555</v>
      </c>
      <c r="H90" s="152"/>
      <c r="I90" s="184"/>
      <c r="J90" s="167"/>
      <c r="K90" s="157"/>
      <c r="L90" s="154"/>
      <c r="M90" s="157"/>
      <c r="N90" s="157"/>
      <c r="O90" s="157"/>
      <c r="P90" s="157"/>
      <c r="Q90" s="157"/>
    </row>
    <row r="91" spans="1:17" ht="33.75">
      <c r="A91" s="54"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58"/>
      <c r="C91" s="182"/>
      <c r="D91" s="151"/>
      <c r="E91" s="151" t="s">
        <v>170</v>
      </c>
      <c r="F91" s="152" t="s">
        <v>186</v>
      </c>
      <c r="G91" s="195" t="s">
        <v>555</v>
      </c>
      <c r="H91" s="152"/>
      <c r="I91" s="152"/>
      <c r="J91" s="167"/>
      <c r="K91" s="157"/>
      <c r="L91" s="154"/>
      <c r="M91" s="157"/>
      <c r="N91" s="157"/>
      <c r="O91" s="157"/>
      <c r="P91" s="157"/>
      <c r="Q91" s="157"/>
    </row>
    <row r="92" spans="1:17" ht="33.75">
      <c r="A92" s="54"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58"/>
      <c r="C92" s="182"/>
      <c r="D92" s="151"/>
      <c r="E92" s="160"/>
      <c r="F92" s="152" t="s">
        <v>187</v>
      </c>
      <c r="G92" s="195" t="s">
        <v>555</v>
      </c>
      <c r="H92" s="152"/>
      <c r="I92" s="152"/>
      <c r="J92" s="167"/>
      <c r="K92" s="157"/>
      <c r="L92" s="154"/>
      <c r="M92" s="157"/>
      <c r="N92" s="157"/>
      <c r="O92" s="157"/>
      <c r="P92" s="157"/>
      <c r="Q92" s="157"/>
    </row>
    <row r="93" spans="1:17" ht="33.75">
      <c r="A93" s="54"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58"/>
      <c r="C93" s="183"/>
      <c r="D93" s="160"/>
      <c r="E93" s="160" t="s">
        <v>180</v>
      </c>
      <c r="F93" s="152" t="s">
        <v>188</v>
      </c>
      <c r="G93" s="195" t="s">
        <v>555</v>
      </c>
      <c r="H93" s="152"/>
      <c r="I93" s="152"/>
      <c r="J93" s="167"/>
      <c r="K93" s="157"/>
      <c r="L93" s="154"/>
      <c r="M93" s="157"/>
      <c r="N93" s="157"/>
      <c r="O93" s="157"/>
      <c r="P93" s="157"/>
      <c r="Q93" s="157"/>
    </row>
    <row r="94" spans="1:17" ht="22.5">
      <c r="A94" s="54"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58"/>
      <c r="C94" s="151" t="s">
        <v>189</v>
      </c>
      <c r="D94" s="151" t="s">
        <v>25</v>
      </c>
      <c r="E94" s="151" t="s">
        <v>190</v>
      </c>
      <c r="F94" s="152" t="s">
        <v>191</v>
      </c>
      <c r="G94" s="195" t="s">
        <v>555</v>
      </c>
      <c r="H94" s="152"/>
      <c r="I94" s="152"/>
      <c r="J94" s="167"/>
      <c r="K94" s="157"/>
      <c r="L94" s="154"/>
      <c r="M94" s="157"/>
      <c r="N94" s="157"/>
      <c r="O94" s="157"/>
      <c r="P94" s="157"/>
      <c r="Q94" s="157"/>
    </row>
    <row r="95" spans="1:17" ht="33.75">
      <c r="A95" s="54"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58"/>
      <c r="C95" s="158"/>
      <c r="D95" s="151"/>
      <c r="E95" s="151"/>
      <c r="F95" s="152" t="s">
        <v>192</v>
      </c>
      <c r="G95" s="195" t="s">
        <v>555</v>
      </c>
      <c r="H95" s="152"/>
      <c r="I95" s="152"/>
      <c r="J95" s="167"/>
      <c r="K95" s="157"/>
      <c r="L95" s="154"/>
      <c r="M95" s="157"/>
      <c r="N95" s="157"/>
      <c r="O95" s="157"/>
      <c r="P95" s="157"/>
      <c r="Q95" s="157"/>
    </row>
    <row r="96" spans="1:17" ht="22.5">
      <c r="A96" s="54"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58"/>
      <c r="C96" s="158"/>
      <c r="D96" s="151"/>
      <c r="E96" s="151"/>
      <c r="F96" s="152" t="s">
        <v>193</v>
      </c>
      <c r="G96" s="195" t="s">
        <v>555</v>
      </c>
      <c r="H96" s="152"/>
      <c r="I96" s="152"/>
      <c r="J96" s="167"/>
      <c r="K96" s="157"/>
      <c r="L96" s="154"/>
      <c r="M96" s="157"/>
      <c r="N96" s="157"/>
      <c r="O96" s="157"/>
      <c r="P96" s="157"/>
      <c r="Q96" s="157"/>
    </row>
    <row r="97" spans="1:17" ht="33.75">
      <c r="A97" s="54"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58"/>
      <c r="C97" s="182"/>
      <c r="D97" s="151"/>
      <c r="E97" s="151"/>
      <c r="F97" s="152" t="s">
        <v>194</v>
      </c>
      <c r="G97" s="195" t="s">
        <v>555</v>
      </c>
      <c r="H97" s="152"/>
      <c r="I97" s="152"/>
      <c r="J97" s="167"/>
      <c r="K97" s="157"/>
      <c r="L97" s="154"/>
      <c r="M97" s="157"/>
      <c r="N97" s="157"/>
      <c r="O97" s="157"/>
      <c r="P97" s="157"/>
      <c r="Q97" s="157"/>
    </row>
    <row r="98" spans="1:17" ht="33.75">
      <c r="A98" s="54"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58"/>
      <c r="C98" s="182"/>
      <c r="D98" s="151"/>
      <c r="E98" s="160"/>
      <c r="F98" s="152" t="s">
        <v>195</v>
      </c>
      <c r="G98" s="195" t="s">
        <v>555</v>
      </c>
      <c r="H98" s="152"/>
      <c r="I98" s="152"/>
      <c r="J98" s="167"/>
      <c r="K98" s="157"/>
      <c r="L98" s="154"/>
      <c r="M98" s="157"/>
      <c r="N98" s="157"/>
      <c r="O98" s="157"/>
      <c r="P98" s="157"/>
      <c r="Q98" s="157"/>
    </row>
    <row r="99" spans="1:17" ht="22.5">
      <c r="A99" s="54"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58"/>
      <c r="C99" s="158"/>
      <c r="D99" s="151"/>
      <c r="E99" s="151" t="s">
        <v>196</v>
      </c>
      <c r="F99" s="152" t="s">
        <v>197</v>
      </c>
      <c r="G99" s="195" t="s">
        <v>555</v>
      </c>
      <c r="H99" s="152"/>
      <c r="I99" s="184"/>
      <c r="J99" s="167"/>
      <c r="K99" s="157"/>
      <c r="L99" s="154"/>
      <c r="M99" s="157"/>
      <c r="N99" s="157"/>
      <c r="O99" s="157"/>
      <c r="P99" s="157"/>
      <c r="Q99" s="157"/>
    </row>
    <row r="100" spans="1:17" ht="33.75">
      <c r="A100" s="54"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80"/>
      <c r="C100" s="164"/>
      <c r="D100" s="151"/>
      <c r="E100" s="151"/>
      <c r="F100" s="152" t="s">
        <v>198</v>
      </c>
      <c r="G100" s="195" t="s">
        <v>555</v>
      </c>
      <c r="H100" s="152"/>
      <c r="I100" s="152"/>
      <c r="J100" s="167"/>
      <c r="K100" s="157"/>
      <c r="L100" s="154"/>
      <c r="M100" s="157"/>
      <c r="N100" s="157"/>
      <c r="O100" s="157"/>
      <c r="P100" s="157"/>
      <c r="Q100" s="157"/>
    </row>
    <row r="101" spans="1:17" ht="22.5">
      <c r="A101" s="54"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80"/>
      <c r="C101" s="164"/>
      <c r="D101" s="151"/>
      <c r="E101" s="151"/>
      <c r="F101" s="152" t="s">
        <v>199</v>
      </c>
      <c r="G101" s="195" t="s">
        <v>555</v>
      </c>
      <c r="H101" s="152"/>
      <c r="I101" s="184"/>
      <c r="J101" s="167"/>
      <c r="K101" s="157"/>
      <c r="L101" s="154"/>
      <c r="M101" s="157"/>
      <c r="N101" s="157"/>
      <c r="O101" s="157"/>
      <c r="P101" s="157"/>
      <c r="Q101" s="157"/>
    </row>
    <row r="102" spans="1:17" ht="33.75">
      <c r="A102" s="54"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58"/>
      <c r="C102" s="182"/>
      <c r="D102" s="151"/>
      <c r="E102" s="151"/>
      <c r="F102" s="152" t="s">
        <v>200</v>
      </c>
      <c r="G102" s="195" t="s">
        <v>555</v>
      </c>
      <c r="H102" s="152"/>
      <c r="I102" s="152"/>
      <c r="J102" s="167"/>
      <c r="K102" s="157"/>
      <c r="L102" s="154"/>
      <c r="M102" s="157"/>
      <c r="N102" s="157"/>
      <c r="O102" s="157"/>
      <c r="P102" s="157"/>
      <c r="Q102" s="157"/>
    </row>
    <row r="103" spans="1:17" ht="33.75">
      <c r="A103" s="54"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58"/>
      <c r="C103" s="182"/>
      <c r="D103" s="151"/>
      <c r="E103" s="151"/>
      <c r="F103" s="150" t="s">
        <v>201</v>
      </c>
      <c r="G103" s="195" t="s">
        <v>555</v>
      </c>
      <c r="H103" s="150"/>
      <c r="I103" s="150"/>
      <c r="J103" s="168"/>
      <c r="K103" s="172"/>
      <c r="L103" s="170"/>
      <c r="M103" s="172"/>
      <c r="N103" s="172"/>
      <c r="O103" s="172"/>
      <c r="P103" s="172"/>
      <c r="Q103" s="172"/>
    </row>
    <row r="104" spans="1:17" ht="33.75">
      <c r="A104" s="54"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81"/>
      <c r="C104" s="183"/>
      <c r="D104" s="160"/>
      <c r="E104" s="152" t="s">
        <v>180</v>
      </c>
      <c r="F104" s="152" t="s">
        <v>202</v>
      </c>
      <c r="G104" s="195" t="s">
        <v>555</v>
      </c>
      <c r="H104" s="152"/>
      <c r="I104" s="152"/>
      <c r="J104" s="167"/>
      <c r="K104" s="157"/>
      <c r="L104" s="154"/>
      <c r="M104" s="157"/>
      <c r="N104" s="157"/>
      <c r="O104" s="157"/>
      <c r="P104" s="157"/>
      <c r="Q104" s="157"/>
    </row>
    <row r="105" spans="1:17" ht="33.75">
      <c r="A105" s="54"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85" t="s">
        <v>203</v>
      </c>
      <c r="C105" s="152" t="s">
        <v>204</v>
      </c>
      <c r="D105" s="152" t="s">
        <v>75</v>
      </c>
      <c r="E105" s="160" t="s">
        <v>75</v>
      </c>
      <c r="F105" s="152" t="s">
        <v>205</v>
      </c>
      <c r="G105" s="195" t="s">
        <v>555</v>
      </c>
      <c r="H105" s="152"/>
      <c r="I105" s="152"/>
      <c r="J105" s="157"/>
      <c r="K105" s="157"/>
      <c r="L105" s="154"/>
      <c r="M105" s="157"/>
      <c r="N105" s="157"/>
      <c r="O105" s="157"/>
      <c r="P105" s="157"/>
      <c r="Q105" s="157"/>
    </row>
    <row r="106" spans="1:17" ht="22.5">
      <c r="A106" s="54"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58"/>
      <c r="C106" s="151" t="s">
        <v>206</v>
      </c>
      <c r="D106" s="151" t="s">
        <v>75</v>
      </c>
      <c r="E106" s="151" t="s">
        <v>75</v>
      </c>
      <c r="F106" s="152" t="s">
        <v>207</v>
      </c>
      <c r="G106" s="195" t="s">
        <v>555</v>
      </c>
      <c r="H106" s="152"/>
      <c r="I106" s="152"/>
      <c r="J106" s="157"/>
      <c r="K106" s="157"/>
      <c r="L106" s="154"/>
      <c r="M106" s="157"/>
      <c r="N106" s="157"/>
      <c r="O106" s="157"/>
      <c r="P106" s="157"/>
      <c r="Q106" s="157"/>
    </row>
    <row r="107" spans="1:17" ht="22.5">
      <c r="A107" s="54"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58"/>
      <c r="C107" s="160"/>
      <c r="D107" s="160"/>
      <c r="E107" s="160"/>
      <c r="F107" s="152" t="s">
        <v>208</v>
      </c>
      <c r="G107" s="195" t="s">
        <v>555</v>
      </c>
      <c r="H107" s="152"/>
      <c r="I107" s="152"/>
      <c r="J107" s="157"/>
      <c r="K107" s="157"/>
      <c r="L107" s="154"/>
      <c r="M107" s="157"/>
      <c r="N107" s="157"/>
      <c r="O107" s="157"/>
      <c r="P107" s="157"/>
      <c r="Q107" s="157"/>
    </row>
    <row r="108" spans="1:17" ht="22.5">
      <c r="A108" s="54"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58"/>
      <c r="C108" s="160" t="s">
        <v>209</v>
      </c>
      <c r="D108" s="160" t="s">
        <v>75</v>
      </c>
      <c r="E108" s="160" t="s">
        <v>75</v>
      </c>
      <c r="F108" s="152" t="s">
        <v>210</v>
      </c>
      <c r="G108" s="195" t="s">
        <v>555</v>
      </c>
      <c r="H108" s="152"/>
      <c r="I108" s="152"/>
      <c r="J108" s="157"/>
      <c r="K108" s="157"/>
      <c r="L108" s="154"/>
      <c r="M108" s="157"/>
      <c r="N108" s="157"/>
      <c r="O108" s="157"/>
      <c r="P108" s="157"/>
      <c r="Q108" s="157"/>
    </row>
    <row r="109" spans="1:17" ht="22.5">
      <c r="A109" s="54"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58"/>
      <c r="C109" s="151" t="s">
        <v>211</v>
      </c>
      <c r="D109" s="151" t="s">
        <v>75</v>
      </c>
      <c r="E109" s="151" t="s">
        <v>75</v>
      </c>
      <c r="F109" s="152" t="s">
        <v>212</v>
      </c>
      <c r="G109" s="195" t="s">
        <v>555</v>
      </c>
      <c r="H109" s="152"/>
      <c r="I109" s="152"/>
      <c r="J109" s="157"/>
      <c r="K109" s="157"/>
      <c r="L109" s="154"/>
      <c r="M109" s="157"/>
      <c r="N109" s="157"/>
      <c r="O109" s="157"/>
      <c r="P109" s="157"/>
      <c r="Q109" s="157"/>
    </row>
    <row r="110" spans="1:17" ht="22.5">
      <c r="A110" s="54"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86"/>
      <c r="C110" s="160"/>
      <c r="D110" s="160"/>
      <c r="E110" s="160"/>
      <c r="F110" s="152" t="s">
        <v>213</v>
      </c>
      <c r="G110" s="195" t="s">
        <v>555</v>
      </c>
      <c r="H110" s="152"/>
      <c r="I110" s="152"/>
      <c r="J110" s="157"/>
      <c r="K110" s="157"/>
      <c r="L110" s="154"/>
      <c r="M110" s="157"/>
      <c r="N110" s="157"/>
      <c r="O110" s="157"/>
      <c r="P110" s="157"/>
      <c r="Q110" s="157"/>
    </row>
    <row r="111" spans="1:17" ht="22.5">
      <c r="A111" s="54"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29" t="s">
        <v>214</v>
      </c>
      <c r="C111" s="96" t="s">
        <v>215</v>
      </c>
      <c r="D111" s="96" t="s">
        <v>75</v>
      </c>
      <c r="E111" s="129" t="s">
        <v>75</v>
      </c>
      <c r="F111" s="95" t="s">
        <v>216</v>
      </c>
      <c r="G111" s="193"/>
      <c r="H111" s="95"/>
      <c r="I111" s="95"/>
      <c r="J111" s="34"/>
      <c r="K111" s="34"/>
      <c r="L111" s="34"/>
      <c r="M111" s="34"/>
      <c r="N111" s="34"/>
      <c r="O111" s="34"/>
      <c r="P111" s="34"/>
      <c r="Q111" s="34"/>
    </row>
    <row r="112" spans="1:17" ht="22.5">
      <c r="A112" s="54"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320" t="s">
        <v>217</v>
      </c>
      <c r="C112" s="133"/>
      <c r="D112" s="108"/>
      <c r="E112" s="138"/>
      <c r="F112" s="95" t="s">
        <v>218</v>
      </c>
      <c r="G112" s="193"/>
      <c r="H112" s="95"/>
      <c r="I112" s="95"/>
      <c r="J112" s="34"/>
      <c r="K112" s="34"/>
      <c r="L112" s="34"/>
      <c r="M112" s="34"/>
      <c r="N112" s="34"/>
      <c r="O112" s="34"/>
      <c r="P112" s="34"/>
      <c r="Q112" s="34"/>
    </row>
    <row r="113" spans="1:17" ht="22.5">
      <c r="A113" s="54"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320"/>
      <c r="C113" s="133"/>
      <c r="D113" s="108"/>
      <c r="E113" s="138"/>
      <c r="F113" s="95" t="s">
        <v>219</v>
      </c>
      <c r="G113" s="193"/>
      <c r="H113" s="95"/>
      <c r="I113" s="95"/>
      <c r="J113" s="34"/>
      <c r="K113" s="34"/>
      <c r="L113" s="34"/>
      <c r="M113" s="34"/>
      <c r="N113" s="34"/>
      <c r="O113" s="34"/>
      <c r="P113" s="34"/>
      <c r="Q113" s="34"/>
    </row>
    <row r="114" spans="1:17" ht="22.5">
      <c r="A114" s="54"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38"/>
      <c r="C114" s="133"/>
      <c r="D114" s="108"/>
      <c r="E114" s="132"/>
      <c r="F114" s="95" t="s">
        <v>220</v>
      </c>
      <c r="G114" s="193"/>
      <c r="H114" s="95"/>
      <c r="I114" s="95"/>
      <c r="J114" s="34"/>
      <c r="K114" s="34"/>
      <c r="L114" s="34"/>
      <c r="M114" s="34"/>
      <c r="N114" s="34"/>
      <c r="O114" s="34"/>
      <c r="P114" s="34"/>
      <c r="Q114" s="34"/>
    </row>
    <row r="115" spans="1:17" ht="22.5">
      <c r="A115" s="54"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38"/>
      <c r="C115" s="133"/>
      <c r="D115" s="108"/>
      <c r="E115" s="108" t="s">
        <v>159</v>
      </c>
      <c r="F115" s="95" t="s">
        <v>221</v>
      </c>
      <c r="G115" s="193"/>
      <c r="H115" s="95"/>
      <c r="I115" s="95"/>
      <c r="J115" s="34"/>
      <c r="K115" s="34"/>
      <c r="L115" s="34"/>
      <c r="M115" s="34"/>
      <c r="N115" s="34"/>
      <c r="O115" s="34"/>
      <c r="P115" s="34"/>
      <c r="Q115" s="34"/>
    </row>
    <row r="116" spans="1:17" ht="22.5">
      <c r="A116" s="54"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38"/>
      <c r="C116" s="133"/>
      <c r="D116" s="108"/>
      <c r="E116" s="108"/>
      <c r="F116" s="95" t="s">
        <v>222</v>
      </c>
      <c r="G116" s="193"/>
      <c r="H116" s="95"/>
      <c r="I116" s="95"/>
      <c r="J116" s="34"/>
      <c r="K116" s="34"/>
      <c r="L116" s="34"/>
      <c r="M116" s="34"/>
      <c r="N116" s="34"/>
      <c r="O116" s="34"/>
      <c r="P116" s="34"/>
      <c r="Q116" s="34"/>
    </row>
    <row r="117" spans="1:17" ht="22.5">
      <c r="A117" s="54"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38"/>
      <c r="C117" s="133"/>
      <c r="D117" s="108"/>
      <c r="E117" s="108"/>
      <c r="F117" s="95" t="s">
        <v>223</v>
      </c>
      <c r="G117" s="193"/>
      <c r="H117" s="95"/>
      <c r="I117" s="95"/>
      <c r="J117" s="34"/>
      <c r="K117" s="34"/>
      <c r="L117" s="34"/>
      <c r="M117" s="34"/>
      <c r="N117" s="34"/>
      <c r="O117" s="34"/>
      <c r="P117" s="34"/>
      <c r="Q117" s="34"/>
    </row>
    <row r="118" spans="1:17" ht="22.5">
      <c r="A118" s="54"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38"/>
      <c r="C118" s="133"/>
      <c r="D118" s="108"/>
      <c r="E118" s="108"/>
      <c r="F118" s="95" t="s">
        <v>224</v>
      </c>
      <c r="G118" s="193"/>
      <c r="H118" s="95"/>
      <c r="I118" s="95"/>
      <c r="J118" s="34"/>
      <c r="K118" s="34"/>
      <c r="L118" s="34"/>
      <c r="M118" s="34"/>
      <c r="N118" s="34"/>
      <c r="O118" s="34"/>
      <c r="P118" s="34"/>
      <c r="Q118" s="34"/>
    </row>
    <row r="119" spans="1:17" ht="33.75">
      <c r="A119" s="54"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38"/>
      <c r="C119" s="133"/>
      <c r="D119" s="108"/>
      <c r="E119" s="132"/>
      <c r="F119" s="152" t="s">
        <v>225</v>
      </c>
      <c r="G119" s="152" t="s">
        <v>556</v>
      </c>
      <c r="H119" s="152"/>
      <c r="I119" s="152"/>
      <c r="J119" s="157"/>
      <c r="K119" s="157"/>
      <c r="L119" s="157"/>
      <c r="M119" s="157"/>
      <c r="N119" s="157"/>
      <c r="O119" s="157"/>
      <c r="P119" s="157"/>
      <c r="Q119" s="157"/>
    </row>
    <row r="120" spans="1:17" ht="33.75">
      <c r="A120" s="54"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38"/>
      <c r="C120" s="133"/>
      <c r="D120" s="108"/>
      <c r="E120" s="108" t="s">
        <v>226</v>
      </c>
      <c r="F120" s="95" t="s">
        <v>227</v>
      </c>
      <c r="G120" s="193"/>
      <c r="H120" s="95"/>
      <c r="I120" s="95"/>
      <c r="J120" s="34"/>
      <c r="K120" s="34"/>
      <c r="L120" s="34"/>
      <c r="M120" s="34"/>
      <c r="N120" s="34"/>
      <c r="O120" s="34"/>
      <c r="P120" s="34"/>
      <c r="Q120" s="34"/>
    </row>
    <row r="121" spans="1:17" ht="33.75">
      <c r="A121" s="54"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38"/>
      <c r="C121" s="133"/>
      <c r="D121" s="108"/>
      <c r="E121" s="108"/>
      <c r="F121" s="95" t="s">
        <v>228</v>
      </c>
      <c r="G121" s="193"/>
      <c r="H121" s="95"/>
      <c r="I121" s="95"/>
      <c r="J121" s="34"/>
      <c r="K121" s="34"/>
      <c r="L121" s="34"/>
      <c r="M121" s="34"/>
      <c r="N121" s="34"/>
      <c r="O121" s="34"/>
      <c r="P121" s="34"/>
      <c r="Q121" s="34"/>
    </row>
    <row r="122" spans="1:17" ht="45">
      <c r="A122" s="54"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38"/>
      <c r="C122" s="133"/>
      <c r="D122" s="108"/>
      <c r="E122" s="108"/>
      <c r="F122" s="152" t="s">
        <v>229</v>
      </c>
      <c r="G122" s="152" t="s">
        <v>557</v>
      </c>
      <c r="H122" s="152"/>
      <c r="I122" s="152"/>
      <c r="J122" s="157"/>
      <c r="K122" s="157"/>
      <c r="L122" s="157"/>
      <c r="M122" s="157"/>
      <c r="N122" s="157"/>
      <c r="O122" s="157"/>
      <c r="P122" s="157"/>
      <c r="Q122" s="157"/>
    </row>
    <row r="123" spans="1:17" ht="45">
      <c r="A123" s="54"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38"/>
      <c r="C123" s="133"/>
      <c r="D123" s="108"/>
      <c r="E123" s="108"/>
      <c r="F123" s="152" t="s">
        <v>230</v>
      </c>
      <c r="G123" s="152" t="s">
        <v>557</v>
      </c>
      <c r="H123" s="152"/>
      <c r="I123" s="152"/>
      <c r="J123" s="157"/>
      <c r="K123" s="157"/>
      <c r="L123" s="157"/>
      <c r="M123" s="157"/>
      <c r="N123" s="157"/>
      <c r="O123" s="157"/>
      <c r="P123" s="157"/>
      <c r="Q123" s="157"/>
    </row>
    <row r="124" spans="1:17" ht="33.75">
      <c r="A124" s="54"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38"/>
      <c r="C124" s="133"/>
      <c r="D124" s="108"/>
      <c r="E124" s="132"/>
      <c r="F124" s="152" t="s">
        <v>231</v>
      </c>
      <c r="G124" s="152" t="s">
        <v>557</v>
      </c>
      <c r="H124" s="152"/>
      <c r="I124" s="152"/>
      <c r="J124" s="157"/>
      <c r="K124" s="157"/>
      <c r="L124" s="157"/>
      <c r="M124" s="157"/>
      <c r="N124" s="157"/>
      <c r="O124" s="157"/>
      <c r="P124" s="157"/>
      <c r="Q124" s="157"/>
    </row>
    <row r="125" spans="1:17" ht="33.75">
      <c r="A125" s="54"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38"/>
      <c r="C125" s="133"/>
      <c r="D125" s="132"/>
      <c r="E125" s="132" t="s">
        <v>232</v>
      </c>
      <c r="F125" s="95" t="s">
        <v>233</v>
      </c>
      <c r="G125" s="193"/>
      <c r="H125" s="95"/>
      <c r="I125" s="95"/>
      <c r="J125" s="34"/>
      <c r="K125" s="34"/>
      <c r="L125" s="34"/>
      <c r="M125" s="34"/>
      <c r="N125" s="34"/>
      <c r="O125" s="34"/>
      <c r="P125" s="34"/>
      <c r="Q125" s="34"/>
    </row>
    <row r="126" spans="1:17" ht="33.75">
      <c r="A126" s="54"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38"/>
      <c r="C126" s="131"/>
      <c r="D126" s="132" t="s">
        <v>180</v>
      </c>
      <c r="E126" s="132" t="s">
        <v>75</v>
      </c>
      <c r="F126" s="95" t="s">
        <v>234</v>
      </c>
      <c r="G126" s="193"/>
      <c r="H126" s="95"/>
      <c r="I126" s="95"/>
      <c r="J126" s="34"/>
      <c r="K126" s="34"/>
      <c r="L126" s="34"/>
      <c r="M126" s="34"/>
      <c r="N126" s="34"/>
      <c r="O126" s="34"/>
      <c r="P126" s="34"/>
      <c r="Q126" s="34"/>
    </row>
    <row r="127" spans="1:17" ht="33.75">
      <c r="A127" s="54"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38"/>
      <c r="C127" s="108" t="s">
        <v>67</v>
      </c>
      <c r="D127" s="108" t="s">
        <v>235</v>
      </c>
      <c r="E127" s="152" t="s">
        <v>236</v>
      </c>
      <c r="F127" s="152" t="s">
        <v>237</v>
      </c>
      <c r="G127" s="152" t="s">
        <v>557</v>
      </c>
      <c r="H127" s="152"/>
      <c r="I127" s="152"/>
      <c r="J127" s="157"/>
      <c r="K127" s="157"/>
      <c r="L127" s="157"/>
      <c r="M127" s="157"/>
      <c r="N127" s="157"/>
      <c r="O127" s="157"/>
      <c r="P127" s="157"/>
      <c r="Q127" s="157"/>
    </row>
    <row r="128" spans="1:17" ht="22.5">
      <c r="A128" s="54"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38"/>
      <c r="C128" s="108"/>
      <c r="D128" s="108"/>
      <c r="E128" s="108" t="s">
        <v>238</v>
      </c>
      <c r="F128" s="95" t="s">
        <v>239</v>
      </c>
      <c r="G128" s="193"/>
      <c r="H128" s="95"/>
      <c r="I128" s="95"/>
      <c r="J128" s="34"/>
      <c r="K128" s="34"/>
      <c r="L128" s="34"/>
      <c r="M128" s="34"/>
      <c r="N128" s="34"/>
      <c r="O128" s="34"/>
      <c r="P128" s="34"/>
      <c r="Q128" s="34"/>
    </row>
    <row r="129" spans="1:17" ht="22.5">
      <c r="A129" s="54"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38"/>
      <c r="C129" s="108"/>
      <c r="D129" s="108"/>
      <c r="E129" s="108"/>
      <c r="F129" s="95" t="s">
        <v>240</v>
      </c>
      <c r="G129" s="193"/>
      <c r="H129" s="95"/>
      <c r="I129" s="95"/>
      <c r="J129" s="34"/>
      <c r="K129" s="34"/>
      <c r="L129" s="34"/>
      <c r="M129" s="34"/>
      <c r="N129" s="34"/>
      <c r="O129" s="34"/>
      <c r="P129" s="34"/>
      <c r="Q129" s="34"/>
    </row>
    <row r="130" spans="1:17" ht="45">
      <c r="A130" s="54"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47"/>
      <c r="C130" s="132"/>
      <c r="D130" s="132"/>
      <c r="E130" s="132"/>
      <c r="F130" s="95" t="s">
        <v>241</v>
      </c>
      <c r="G130" s="193"/>
      <c r="H130" s="95"/>
      <c r="I130" s="95"/>
      <c r="J130" s="34"/>
      <c r="K130" s="34"/>
      <c r="L130" s="34"/>
      <c r="M130" s="34"/>
      <c r="N130" s="34"/>
      <c r="O130" s="34"/>
      <c r="P130" s="34"/>
      <c r="Q130" s="34"/>
    </row>
    <row r="131" spans="1:17" ht="33.75">
      <c r="A131" s="54"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29" t="s">
        <v>242</v>
      </c>
      <c r="C131" s="96" t="s">
        <v>215</v>
      </c>
      <c r="D131" s="150" t="s">
        <v>75</v>
      </c>
      <c r="E131" s="187" t="s">
        <v>75</v>
      </c>
      <c r="F131" s="152" t="s">
        <v>243</v>
      </c>
      <c r="G131" s="152" t="s">
        <v>558</v>
      </c>
      <c r="H131" s="152"/>
      <c r="I131" s="152"/>
      <c r="J131" s="157"/>
      <c r="K131" s="157"/>
      <c r="L131" s="157"/>
      <c r="M131" s="157"/>
      <c r="N131" s="157"/>
      <c r="O131" s="157"/>
      <c r="P131" s="157"/>
      <c r="Q131" s="157"/>
    </row>
    <row r="132" spans="1:17" ht="33.75">
      <c r="A132" s="54"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320" t="s">
        <v>244</v>
      </c>
      <c r="C132" s="133"/>
      <c r="D132" s="151"/>
      <c r="E132" s="151"/>
      <c r="F132" s="152" t="s">
        <v>245</v>
      </c>
      <c r="G132" s="152" t="s">
        <v>558</v>
      </c>
      <c r="H132" s="152"/>
      <c r="I132" s="152"/>
      <c r="J132" s="157"/>
      <c r="K132" s="157"/>
      <c r="L132" s="157"/>
      <c r="M132" s="157"/>
      <c r="N132" s="157"/>
      <c r="O132" s="157"/>
      <c r="P132" s="157"/>
      <c r="Q132" s="157"/>
    </row>
    <row r="133" spans="1:17" ht="33.75">
      <c r="A133" s="54"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320"/>
      <c r="C133" s="133"/>
      <c r="D133" s="151"/>
      <c r="E133" s="151"/>
      <c r="F133" s="152" t="s">
        <v>246</v>
      </c>
      <c r="G133" s="152" t="s">
        <v>558</v>
      </c>
      <c r="H133" s="152"/>
      <c r="I133" s="152"/>
      <c r="J133" s="157"/>
      <c r="K133" s="157"/>
      <c r="L133" s="157"/>
      <c r="M133" s="157"/>
      <c r="N133" s="157"/>
      <c r="O133" s="157"/>
      <c r="P133" s="157"/>
      <c r="Q133" s="157"/>
    </row>
    <row r="134" spans="1:17" ht="33.75">
      <c r="A134" s="54"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38"/>
      <c r="C134" s="133"/>
      <c r="D134" s="151"/>
      <c r="E134" s="160"/>
      <c r="F134" s="152" t="s">
        <v>247</v>
      </c>
      <c r="G134" s="152" t="s">
        <v>558</v>
      </c>
      <c r="H134" s="152"/>
      <c r="I134" s="152"/>
      <c r="J134" s="157"/>
      <c r="K134" s="157"/>
      <c r="L134" s="157"/>
      <c r="M134" s="157"/>
      <c r="N134" s="157"/>
      <c r="O134" s="157"/>
      <c r="P134" s="157"/>
      <c r="Q134" s="157"/>
    </row>
    <row r="135" spans="1:17" ht="22.5">
      <c r="A135" s="54"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38"/>
      <c r="C135" s="133"/>
      <c r="D135" s="151"/>
      <c r="E135" s="151" t="s">
        <v>248</v>
      </c>
      <c r="F135" s="152" t="s">
        <v>249</v>
      </c>
      <c r="G135" s="152" t="s">
        <v>559</v>
      </c>
      <c r="H135" s="152"/>
      <c r="I135" s="152"/>
      <c r="J135" s="157"/>
      <c r="K135" s="157"/>
      <c r="L135" s="157"/>
      <c r="M135" s="157"/>
      <c r="N135" s="157"/>
      <c r="O135" s="157"/>
      <c r="P135" s="157"/>
      <c r="Q135" s="157"/>
    </row>
    <row r="136" spans="1:17" ht="33.75">
      <c r="A136" s="54"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38"/>
      <c r="C136" s="133"/>
      <c r="D136" s="160"/>
      <c r="E136" s="160"/>
      <c r="F136" s="152" t="s">
        <v>250</v>
      </c>
      <c r="G136" s="152" t="s">
        <v>559</v>
      </c>
      <c r="H136" s="152"/>
      <c r="I136" s="152"/>
      <c r="J136" s="157"/>
      <c r="K136" s="157"/>
      <c r="L136" s="157"/>
      <c r="M136" s="157"/>
      <c r="N136" s="157"/>
      <c r="O136" s="157"/>
      <c r="P136" s="157"/>
      <c r="Q136" s="157"/>
    </row>
    <row r="137" spans="1:17" ht="33.75">
      <c r="A137" s="54"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38"/>
      <c r="C137" s="131"/>
      <c r="D137" s="132" t="s">
        <v>180</v>
      </c>
      <c r="E137" s="132" t="s">
        <v>75</v>
      </c>
      <c r="F137" s="95" t="s">
        <v>251</v>
      </c>
      <c r="G137" s="193"/>
      <c r="H137" s="95"/>
      <c r="I137" s="95"/>
      <c r="J137" s="34"/>
      <c r="K137" s="34"/>
      <c r="L137" s="34"/>
      <c r="M137" s="34"/>
      <c r="N137" s="34"/>
      <c r="O137" s="34"/>
      <c r="P137" s="34"/>
      <c r="Q137" s="34"/>
    </row>
    <row r="138" spans="1:17" ht="33.75">
      <c r="A138" s="54"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38"/>
      <c r="C138" s="133" t="s">
        <v>252</v>
      </c>
      <c r="D138" s="108" t="s">
        <v>235</v>
      </c>
      <c r="E138" s="95" t="s">
        <v>253</v>
      </c>
      <c r="F138" s="95" t="s">
        <v>254</v>
      </c>
      <c r="G138" s="193"/>
      <c r="H138" s="95"/>
      <c r="I138" s="95"/>
      <c r="J138" s="34"/>
      <c r="K138" s="34"/>
      <c r="L138" s="34"/>
      <c r="M138" s="34"/>
      <c r="N138" s="34"/>
      <c r="O138" s="34"/>
      <c r="P138" s="34"/>
      <c r="Q138" s="34"/>
    </row>
    <row r="139" spans="1:17" ht="33.75">
      <c r="A139" s="54"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38"/>
      <c r="C139" s="133"/>
      <c r="D139" s="108"/>
      <c r="E139" s="95" t="s">
        <v>255</v>
      </c>
      <c r="F139" s="95" t="s">
        <v>256</v>
      </c>
      <c r="G139" s="193"/>
      <c r="H139" s="95"/>
      <c r="I139" s="95"/>
      <c r="J139" s="34"/>
      <c r="K139" s="34"/>
      <c r="L139" s="34"/>
      <c r="M139" s="34"/>
      <c r="N139" s="34"/>
      <c r="O139" s="34"/>
      <c r="P139" s="34"/>
      <c r="Q139" s="34"/>
    </row>
    <row r="140" spans="1:17" ht="33.75">
      <c r="A140" s="54"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38"/>
      <c r="C140" s="133"/>
      <c r="D140" s="108"/>
      <c r="E140" s="95" t="s">
        <v>257</v>
      </c>
      <c r="F140" s="95" t="s">
        <v>258</v>
      </c>
      <c r="G140" s="193"/>
      <c r="H140" s="95"/>
      <c r="I140" s="95"/>
      <c r="J140" s="34"/>
      <c r="K140" s="34"/>
      <c r="L140" s="34"/>
      <c r="M140" s="34"/>
      <c r="N140" s="34"/>
      <c r="O140" s="34"/>
      <c r="P140" s="34"/>
      <c r="Q140" s="34"/>
    </row>
    <row r="141" spans="1:17" ht="33.75">
      <c r="A141" s="54"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38"/>
      <c r="C141" s="133"/>
      <c r="D141" s="108"/>
      <c r="E141" s="152" t="s">
        <v>236</v>
      </c>
      <c r="F141" s="152" t="s">
        <v>259</v>
      </c>
      <c r="G141" s="152" t="s">
        <v>560</v>
      </c>
      <c r="H141" s="152"/>
      <c r="I141" s="152"/>
      <c r="J141" s="157"/>
      <c r="K141" s="157"/>
      <c r="L141" s="157"/>
      <c r="M141" s="157"/>
      <c r="N141" s="157"/>
      <c r="O141" s="157"/>
      <c r="P141" s="157"/>
      <c r="Q141" s="157"/>
    </row>
    <row r="142" spans="1:17" ht="33.75">
      <c r="A142" s="54"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38"/>
      <c r="C142" s="133"/>
      <c r="D142" s="108"/>
      <c r="E142" s="95" t="s">
        <v>260</v>
      </c>
      <c r="F142" s="95" t="s">
        <v>261</v>
      </c>
      <c r="G142" s="193"/>
      <c r="H142" s="95"/>
      <c r="I142" s="95"/>
      <c r="J142" s="34"/>
      <c r="K142" s="34"/>
      <c r="L142" s="34"/>
      <c r="M142" s="34"/>
      <c r="N142" s="34"/>
      <c r="O142" s="34"/>
      <c r="P142" s="34"/>
      <c r="Q142" s="34"/>
    </row>
    <row r="143" spans="1:17" ht="22.5">
      <c r="A143" s="54"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38"/>
      <c r="C143" s="133"/>
      <c r="D143" s="108"/>
      <c r="E143" s="165" t="s">
        <v>262</v>
      </c>
      <c r="F143" s="152" t="s">
        <v>263</v>
      </c>
      <c r="G143" s="152" t="s">
        <v>561</v>
      </c>
      <c r="H143" s="152"/>
      <c r="I143" s="152"/>
      <c r="J143" s="157"/>
      <c r="K143" s="157"/>
      <c r="L143" s="157"/>
      <c r="M143" s="157"/>
      <c r="N143" s="157"/>
      <c r="O143" s="157"/>
      <c r="P143" s="157"/>
      <c r="Q143" s="157"/>
    </row>
    <row r="144" spans="1:17" ht="22.5">
      <c r="A144" s="54"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38"/>
      <c r="C144" s="133"/>
      <c r="D144" s="108"/>
      <c r="E144" s="165"/>
      <c r="F144" s="152" t="s">
        <v>264</v>
      </c>
      <c r="G144" s="152" t="s">
        <v>561</v>
      </c>
      <c r="H144" s="152"/>
      <c r="I144" s="152"/>
      <c r="J144" s="157"/>
      <c r="K144" s="157"/>
      <c r="L144" s="157"/>
      <c r="M144" s="157"/>
      <c r="N144" s="157"/>
      <c r="O144" s="157"/>
      <c r="P144" s="157"/>
      <c r="Q144" s="157"/>
    </row>
    <row r="145" spans="1:17" ht="22.5">
      <c r="A145" s="54"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38"/>
      <c r="C145" s="133"/>
      <c r="D145" s="108"/>
      <c r="E145" s="165"/>
      <c r="F145" s="152" t="s">
        <v>265</v>
      </c>
      <c r="G145" s="152" t="s">
        <v>561</v>
      </c>
      <c r="H145" s="152"/>
      <c r="I145" s="152"/>
      <c r="J145" s="157"/>
      <c r="K145" s="157"/>
      <c r="L145" s="157"/>
      <c r="M145" s="157"/>
      <c r="N145" s="157"/>
      <c r="O145" s="157"/>
      <c r="P145" s="157"/>
      <c r="Q145" s="157"/>
    </row>
    <row r="146" spans="1:17" ht="22.5">
      <c r="A146" s="54"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38"/>
      <c r="C146" s="133"/>
      <c r="D146" s="108"/>
      <c r="E146" s="165"/>
      <c r="F146" s="152" t="s">
        <v>266</v>
      </c>
      <c r="G146" s="152" t="s">
        <v>561</v>
      </c>
      <c r="H146" s="152"/>
      <c r="I146" s="152"/>
      <c r="J146" s="157"/>
      <c r="K146" s="157"/>
      <c r="L146" s="157"/>
      <c r="M146" s="157"/>
      <c r="N146" s="157"/>
      <c r="O146" s="157"/>
      <c r="P146" s="157"/>
      <c r="Q146" s="157"/>
    </row>
    <row r="147" spans="1:17" ht="22.5">
      <c r="A147" s="54"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38"/>
      <c r="C147" s="133"/>
      <c r="D147" s="108"/>
      <c r="E147" s="165"/>
      <c r="F147" s="152" t="s">
        <v>267</v>
      </c>
      <c r="G147" s="152" t="s">
        <v>561</v>
      </c>
      <c r="H147" s="152"/>
      <c r="I147" s="152"/>
      <c r="J147" s="157"/>
      <c r="K147" s="157"/>
      <c r="L147" s="157"/>
      <c r="M147" s="157"/>
      <c r="N147" s="157"/>
      <c r="O147" s="157"/>
      <c r="P147" s="157"/>
      <c r="Q147" s="157"/>
    </row>
    <row r="148" spans="1:17" ht="22.5">
      <c r="A148" s="54"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38"/>
      <c r="C148" s="133"/>
      <c r="D148" s="132"/>
      <c r="E148" s="188"/>
      <c r="F148" s="152" t="s">
        <v>268</v>
      </c>
      <c r="G148" s="152" t="s">
        <v>561</v>
      </c>
      <c r="H148" s="152"/>
      <c r="I148" s="152"/>
      <c r="J148" s="157"/>
      <c r="K148" s="157"/>
      <c r="L148" s="157"/>
      <c r="M148" s="157"/>
      <c r="N148" s="157"/>
      <c r="O148" s="157"/>
      <c r="P148" s="157"/>
      <c r="Q148" s="157"/>
    </row>
    <row r="149" spans="1:17" ht="22.5">
      <c r="A149" s="54"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38"/>
      <c r="C149" s="133"/>
      <c r="D149" s="108" t="s">
        <v>269</v>
      </c>
      <c r="E149" s="138" t="s">
        <v>75</v>
      </c>
      <c r="F149" s="95" t="s">
        <v>270</v>
      </c>
      <c r="G149" s="193"/>
      <c r="H149" s="95"/>
      <c r="I149" s="95"/>
      <c r="J149" s="34"/>
      <c r="K149" s="34"/>
      <c r="L149" s="34"/>
      <c r="M149" s="34"/>
      <c r="N149" s="34"/>
      <c r="O149" s="34"/>
      <c r="P149" s="34"/>
      <c r="Q149" s="34"/>
    </row>
    <row r="150" spans="1:17" ht="22.5">
      <c r="A150" s="54"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38"/>
      <c r="C150" s="133"/>
      <c r="D150" s="108"/>
      <c r="E150" s="132"/>
      <c r="F150" s="95" t="s">
        <v>271</v>
      </c>
      <c r="G150" s="193"/>
      <c r="H150" s="95"/>
      <c r="I150" s="95"/>
      <c r="J150" s="34"/>
      <c r="K150" s="34"/>
      <c r="L150" s="34"/>
      <c r="M150" s="34"/>
      <c r="N150" s="34"/>
      <c r="O150" s="34"/>
      <c r="P150" s="34"/>
      <c r="Q150" s="34"/>
    </row>
    <row r="151" spans="1:17" ht="33.75">
      <c r="A151" s="54"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38"/>
      <c r="C151" s="133"/>
      <c r="D151" s="108"/>
      <c r="E151" s="108" t="s">
        <v>148</v>
      </c>
      <c r="F151" s="95" t="s">
        <v>272</v>
      </c>
      <c r="G151" s="193"/>
      <c r="H151" s="95"/>
      <c r="I151" s="95"/>
      <c r="J151" s="34"/>
      <c r="K151" s="34"/>
      <c r="L151" s="34"/>
      <c r="M151" s="34"/>
      <c r="N151" s="34"/>
      <c r="O151" s="34"/>
      <c r="P151" s="34"/>
      <c r="Q151" s="34"/>
    </row>
    <row r="152" spans="1:17" ht="33.75">
      <c r="A152" s="54"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38"/>
      <c r="C152" s="133"/>
      <c r="D152" s="108"/>
      <c r="E152" s="138"/>
      <c r="F152" s="95" t="s">
        <v>273</v>
      </c>
      <c r="G152" s="193"/>
      <c r="H152" s="95"/>
      <c r="I152" s="95"/>
      <c r="J152" s="34"/>
      <c r="K152" s="34"/>
      <c r="L152" s="34"/>
      <c r="M152" s="34"/>
      <c r="N152" s="34"/>
      <c r="O152" s="34"/>
      <c r="P152" s="34"/>
      <c r="Q152" s="34"/>
    </row>
    <row r="153" spans="1:17" ht="33.75">
      <c r="A153" s="54"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38"/>
      <c r="C153" s="133"/>
      <c r="D153" s="108"/>
      <c r="E153" s="138"/>
      <c r="F153" s="95" t="s">
        <v>274</v>
      </c>
      <c r="G153" s="193"/>
      <c r="H153" s="95"/>
      <c r="I153" s="95"/>
      <c r="J153" s="34"/>
      <c r="K153" s="34"/>
      <c r="L153" s="34"/>
      <c r="M153" s="34"/>
      <c r="N153" s="34"/>
      <c r="O153" s="34"/>
      <c r="P153" s="34"/>
      <c r="Q153" s="34"/>
    </row>
    <row r="154" spans="1:17" ht="33.75">
      <c r="A154" s="54"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38"/>
      <c r="C154" s="133"/>
      <c r="D154" s="108"/>
      <c r="E154" s="138"/>
      <c r="F154" s="95" t="s">
        <v>275</v>
      </c>
      <c r="G154" s="193"/>
      <c r="H154" s="95"/>
      <c r="I154" s="95"/>
      <c r="J154" s="34"/>
      <c r="K154" s="34"/>
      <c r="L154" s="34"/>
      <c r="M154" s="34"/>
      <c r="N154" s="34"/>
      <c r="O154" s="34"/>
      <c r="P154" s="34"/>
      <c r="Q154" s="34"/>
    </row>
    <row r="155" spans="1:17" ht="33.75">
      <c r="A155" s="54"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38"/>
      <c r="C155" s="133"/>
      <c r="D155" s="108"/>
      <c r="E155" s="138"/>
      <c r="F155" s="95" t="s">
        <v>276</v>
      </c>
      <c r="G155" s="193"/>
      <c r="H155" s="95"/>
      <c r="I155" s="95"/>
      <c r="J155" s="34"/>
      <c r="K155" s="34"/>
      <c r="L155" s="34"/>
      <c r="M155" s="34"/>
      <c r="N155" s="34"/>
      <c r="O155" s="34"/>
      <c r="P155" s="34"/>
      <c r="Q155" s="34"/>
    </row>
    <row r="156" spans="1:17" ht="22.5">
      <c r="A156" s="54"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38"/>
      <c r="C156" s="133"/>
      <c r="D156" s="108"/>
      <c r="E156" s="138"/>
      <c r="F156" s="95" t="s">
        <v>277</v>
      </c>
      <c r="G156" s="193"/>
      <c r="H156" s="95"/>
      <c r="I156" s="95"/>
      <c r="J156" s="34"/>
      <c r="K156" s="34"/>
      <c r="L156" s="34"/>
      <c r="M156" s="34"/>
      <c r="N156" s="34"/>
      <c r="O156" s="34"/>
      <c r="P156" s="34"/>
      <c r="Q156" s="34"/>
    </row>
    <row r="157" spans="1:17" ht="22.5">
      <c r="A157" s="54"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38"/>
      <c r="C157" s="133"/>
      <c r="D157" s="108"/>
      <c r="E157" s="138"/>
      <c r="F157" s="95" t="s">
        <v>278</v>
      </c>
      <c r="G157" s="193"/>
      <c r="H157" s="95"/>
      <c r="I157" s="95"/>
      <c r="J157" s="34"/>
      <c r="K157" s="34"/>
      <c r="L157" s="34"/>
      <c r="M157" s="34"/>
      <c r="N157" s="34"/>
      <c r="O157" s="34"/>
      <c r="P157" s="34"/>
      <c r="Q157" s="34"/>
    </row>
    <row r="158" spans="1:17" ht="33.75">
      <c r="A158" s="54"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38"/>
      <c r="C158" s="133"/>
      <c r="D158" s="108"/>
      <c r="E158" s="138"/>
      <c r="F158" s="95" t="s">
        <v>279</v>
      </c>
      <c r="G158" s="193"/>
      <c r="H158" s="95"/>
      <c r="I158" s="95"/>
      <c r="J158" s="34"/>
      <c r="K158" s="34"/>
      <c r="L158" s="34"/>
      <c r="M158" s="34"/>
      <c r="N158" s="34"/>
      <c r="O158" s="34"/>
      <c r="P158" s="34"/>
      <c r="Q158" s="34"/>
    </row>
    <row r="159" spans="1:17" ht="33.75">
      <c r="A159" s="54"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38"/>
      <c r="C159" s="133"/>
      <c r="D159" s="108"/>
      <c r="E159" s="138"/>
      <c r="F159" s="95" t="s">
        <v>280</v>
      </c>
      <c r="G159" s="193"/>
      <c r="H159" s="95"/>
      <c r="I159" s="95"/>
      <c r="J159" s="34"/>
      <c r="K159" s="34"/>
      <c r="L159" s="34"/>
      <c r="M159" s="34"/>
      <c r="N159" s="34"/>
      <c r="O159" s="34"/>
      <c r="P159" s="34"/>
      <c r="Q159" s="34"/>
    </row>
    <row r="160" spans="1:17" ht="33.75">
      <c r="A160" s="54"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38"/>
      <c r="C160" s="133"/>
      <c r="D160" s="108"/>
      <c r="E160" s="138"/>
      <c r="F160" s="95" t="s">
        <v>281</v>
      </c>
      <c r="G160" s="193"/>
      <c r="H160" s="95"/>
      <c r="I160" s="95"/>
      <c r="J160" s="34"/>
      <c r="K160" s="34"/>
      <c r="L160" s="34"/>
      <c r="M160" s="34"/>
      <c r="N160" s="34"/>
      <c r="O160" s="34"/>
      <c r="P160" s="34"/>
      <c r="Q160" s="34"/>
    </row>
    <row r="161" spans="1:17" ht="33.75">
      <c r="A161" s="54"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38"/>
      <c r="C161" s="133"/>
      <c r="D161" s="108"/>
      <c r="E161" s="132"/>
      <c r="F161" s="95" t="s">
        <v>282</v>
      </c>
      <c r="G161" s="193"/>
      <c r="H161" s="95"/>
      <c r="I161" s="95"/>
      <c r="J161" s="34"/>
      <c r="K161" s="34"/>
      <c r="L161" s="34"/>
      <c r="M161" s="34"/>
      <c r="N161" s="34"/>
      <c r="O161" s="34"/>
      <c r="P161" s="34"/>
      <c r="Q161" s="34"/>
    </row>
    <row r="162" spans="1:17">
      <c r="A162" s="54"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38"/>
      <c r="C162" s="133"/>
      <c r="D162" s="108"/>
      <c r="E162" s="108" t="s">
        <v>82</v>
      </c>
      <c r="F162" s="95" t="s">
        <v>283</v>
      </c>
      <c r="G162" s="193"/>
      <c r="H162" s="95"/>
      <c r="I162" s="95"/>
      <c r="J162" s="34"/>
      <c r="K162" s="34"/>
      <c r="L162" s="34"/>
      <c r="M162" s="34"/>
      <c r="N162" s="34"/>
      <c r="O162" s="34"/>
      <c r="P162" s="34"/>
      <c r="Q162" s="34"/>
    </row>
    <row r="163" spans="1:17">
      <c r="A163" s="54"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38"/>
      <c r="C163" s="133"/>
      <c r="D163" s="108"/>
      <c r="E163" s="108"/>
      <c r="F163" s="95" t="s">
        <v>284</v>
      </c>
      <c r="G163" s="193"/>
      <c r="H163" s="95"/>
      <c r="I163" s="95"/>
      <c r="J163" s="34"/>
      <c r="K163" s="34"/>
      <c r="L163" s="34"/>
      <c r="M163" s="34"/>
      <c r="N163" s="34"/>
      <c r="O163" s="34"/>
      <c r="P163" s="34"/>
      <c r="Q163" s="34"/>
    </row>
    <row r="164" spans="1:17" ht="22.5">
      <c r="A164" s="54"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38"/>
      <c r="C164" s="133"/>
      <c r="D164" s="108"/>
      <c r="E164" s="108"/>
      <c r="F164" s="95" t="s">
        <v>285</v>
      </c>
      <c r="G164" s="193"/>
      <c r="H164" s="95"/>
      <c r="I164" s="95"/>
      <c r="J164" s="34"/>
      <c r="K164" s="34"/>
      <c r="L164" s="34"/>
      <c r="M164" s="34"/>
      <c r="N164" s="34"/>
      <c r="O164" s="34"/>
      <c r="P164" s="34"/>
      <c r="Q164" s="34"/>
    </row>
    <row r="165" spans="1:17" ht="22.5">
      <c r="A165" s="54"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38"/>
      <c r="C165" s="133"/>
      <c r="D165" s="108"/>
      <c r="E165" s="108"/>
      <c r="F165" s="95" t="s">
        <v>286</v>
      </c>
      <c r="G165" s="193"/>
      <c r="H165" s="95"/>
      <c r="I165" s="95"/>
      <c r="J165" s="34"/>
      <c r="K165" s="34"/>
      <c r="L165" s="34"/>
      <c r="M165" s="34"/>
      <c r="N165" s="34"/>
      <c r="O165" s="34"/>
      <c r="P165" s="34"/>
      <c r="Q165" s="34"/>
    </row>
    <row r="166" spans="1:17" ht="22.5">
      <c r="A166" s="54"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38"/>
      <c r="C166" s="133"/>
      <c r="D166" s="108"/>
      <c r="E166" s="108"/>
      <c r="F166" s="95" t="s">
        <v>287</v>
      </c>
      <c r="G166" s="193"/>
      <c r="H166" s="95"/>
      <c r="I166" s="95"/>
      <c r="J166" s="34"/>
      <c r="K166" s="34"/>
      <c r="L166" s="34"/>
      <c r="M166" s="34"/>
      <c r="N166" s="34"/>
      <c r="O166" s="34"/>
      <c r="P166" s="34"/>
      <c r="Q166" s="34"/>
    </row>
    <row r="167" spans="1:17" ht="33.75">
      <c r="A167" s="54"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38"/>
      <c r="C167" s="133"/>
      <c r="D167" s="108"/>
      <c r="E167" s="108"/>
      <c r="F167" s="152" t="s">
        <v>288</v>
      </c>
      <c r="G167" s="152" t="s">
        <v>556</v>
      </c>
      <c r="H167" s="152"/>
      <c r="I167" s="152"/>
      <c r="J167" s="157"/>
      <c r="K167" s="157"/>
      <c r="L167" s="157"/>
      <c r="M167" s="157"/>
      <c r="N167" s="157"/>
      <c r="O167" s="157"/>
      <c r="P167" s="157"/>
      <c r="Q167" s="157"/>
    </row>
    <row r="168" spans="1:17" ht="22.5">
      <c r="A168" s="54"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108"/>
      <c r="C168" s="133"/>
      <c r="D168" s="108"/>
      <c r="E168" s="132"/>
      <c r="F168" s="152" t="s">
        <v>289</v>
      </c>
      <c r="G168" s="152" t="s">
        <v>561</v>
      </c>
      <c r="H168" s="152"/>
      <c r="I168" s="152"/>
      <c r="J168" s="157"/>
      <c r="K168" s="157"/>
      <c r="L168" s="157"/>
      <c r="M168" s="157"/>
      <c r="N168" s="157"/>
      <c r="O168" s="157"/>
      <c r="P168" s="157"/>
      <c r="Q168" s="157"/>
    </row>
    <row r="169" spans="1:17" ht="22.5">
      <c r="A169" s="54"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108"/>
      <c r="C169" s="133"/>
      <c r="D169" s="108"/>
      <c r="E169" s="96" t="s">
        <v>226</v>
      </c>
      <c r="F169" s="95" t="s">
        <v>290</v>
      </c>
      <c r="G169" s="193"/>
      <c r="H169" s="95"/>
      <c r="I169" s="95"/>
      <c r="J169" s="34"/>
      <c r="K169" s="34"/>
      <c r="L169" s="34"/>
      <c r="M169" s="34"/>
      <c r="N169" s="34"/>
      <c r="O169" s="34"/>
      <c r="P169" s="34"/>
      <c r="Q169" s="34"/>
    </row>
    <row r="170" spans="1:17" ht="33.75">
      <c r="A170" s="54"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38"/>
      <c r="C170" s="133"/>
      <c r="D170" s="108"/>
      <c r="E170" s="108"/>
      <c r="F170" s="95" t="s">
        <v>291</v>
      </c>
      <c r="G170" s="193"/>
      <c r="H170" s="95"/>
      <c r="I170" s="95"/>
      <c r="J170" s="34"/>
      <c r="K170" s="34"/>
      <c r="L170" s="34"/>
      <c r="M170" s="34"/>
      <c r="N170" s="34"/>
      <c r="O170" s="34"/>
      <c r="P170" s="34"/>
      <c r="Q170" s="34"/>
    </row>
    <row r="171" spans="1:17" ht="33.75">
      <c r="A171" s="54"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38"/>
      <c r="C171" s="133"/>
      <c r="D171" s="108"/>
      <c r="E171" s="108"/>
      <c r="F171" s="95" t="s">
        <v>292</v>
      </c>
      <c r="G171" s="193"/>
      <c r="H171" s="95"/>
      <c r="I171" s="95"/>
      <c r="J171" s="34"/>
      <c r="K171" s="34"/>
      <c r="L171" s="34"/>
      <c r="M171" s="34"/>
      <c r="N171" s="34"/>
      <c r="O171" s="34"/>
      <c r="P171" s="34"/>
      <c r="Q171" s="34"/>
    </row>
    <row r="172" spans="1:17" ht="45">
      <c r="A172" s="54"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38"/>
      <c r="C172" s="133"/>
      <c r="D172" s="108"/>
      <c r="E172" s="108"/>
      <c r="F172" s="95" t="s">
        <v>293</v>
      </c>
      <c r="G172" s="193"/>
      <c r="H172" s="95"/>
      <c r="I172" s="95"/>
      <c r="J172" s="34"/>
      <c r="K172" s="34"/>
      <c r="L172" s="34"/>
      <c r="M172" s="34"/>
      <c r="N172" s="34"/>
      <c r="O172" s="34"/>
      <c r="P172" s="34"/>
      <c r="Q172" s="34"/>
    </row>
    <row r="173" spans="1:17" ht="45">
      <c r="A173" s="54"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38"/>
      <c r="C173" s="133"/>
      <c r="D173" s="108"/>
      <c r="E173" s="108"/>
      <c r="F173" s="95" t="s">
        <v>294</v>
      </c>
      <c r="G173" s="193"/>
      <c r="H173" s="95"/>
      <c r="I173" s="95"/>
      <c r="J173" s="34"/>
      <c r="K173" s="34"/>
      <c r="L173" s="34"/>
      <c r="M173" s="34"/>
      <c r="N173" s="34"/>
      <c r="O173" s="34"/>
      <c r="P173" s="34"/>
      <c r="Q173" s="34"/>
    </row>
    <row r="174" spans="1:17" ht="33.75">
      <c r="A174" s="54"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38"/>
      <c r="C174" s="133"/>
      <c r="D174" s="108"/>
      <c r="E174" s="108"/>
      <c r="F174" s="95" t="s">
        <v>295</v>
      </c>
      <c r="G174" s="193"/>
      <c r="H174" s="95"/>
      <c r="I174" s="95"/>
      <c r="J174" s="34"/>
      <c r="K174" s="34"/>
      <c r="L174" s="34"/>
      <c r="M174" s="34"/>
      <c r="N174" s="34"/>
      <c r="O174" s="34"/>
      <c r="P174" s="34"/>
      <c r="Q174" s="34"/>
    </row>
    <row r="175" spans="1:17" ht="45">
      <c r="A175" s="54"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38"/>
      <c r="C175" s="133"/>
      <c r="D175" s="108"/>
      <c r="E175" s="108"/>
      <c r="F175" s="152" t="s">
        <v>296</v>
      </c>
      <c r="G175" s="152" t="s">
        <v>560</v>
      </c>
      <c r="H175" s="152"/>
      <c r="I175" s="152"/>
      <c r="J175" s="157"/>
      <c r="K175" s="157"/>
      <c r="L175" s="157"/>
      <c r="M175" s="157"/>
      <c r="N175" s="157"/>
      <c r="O175" s="157"/>
      <c r="P175" s="157"/>
      <c r="Q175" s="157"/>
    </row>
    <row r="176" spans="1:17" ht="45">
      <c r="A176" s="54"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38"/>
      <c r="C176" s="133"/>
      <c r="D176" s="108"/>
      <c r="E176" s="108"/>
      <c r="F176" s="152" t="s">
        <v>297</v>
      </c>
      <c r="G176" s="152" t="s">
        <v>560</v>
      </c>
      <c r="H176" s="152"/>
      <c r="I176" s="152"/>
      <c r="J176" s="157"/>
      <c r="K176" s="157"/>
      <c r="L176" s="157"/>
      <c r="M176" s="157"/>
      <c r="N176" s="157"/>
      <c r="O176" s="157"/>
      <c r="P176" s="157"/>
      <c r="Q176" s="157"/>
    </row>
    <row r="177" spans="1:17" ht="33.75">
      <c r="A177" s="54"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38"/>
      <c r="C177" s="133"/>
      <c r="D177" s="108"/>
      <c r="E177" s="132"/>
      <c r="F177" s="152" t="s">
        <v>298</v>
      </c>
      <c r="G177" s="152" t="s">
        <v>560</v>
      </c>
      <c r="H177" s="152"/>
      <c r="I177" s="152"/>
      <c r="J177" s="157"/>
      <c r="K177" s="157"/>
      <c r="L177" s="157"/>
      <c r="M177" s="157"/>
      <c r="N177" s="157"/>
      <c r="O177" s="157"/>
      <c r="P177" s="157"/>
      <c r="Q177" s="157"/>
    </row>
    <row r="178" spans="1:17" ht="33.75">
      <c r="A178" s="54"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38"/>
      <c r="C178" s="133"/>
      <c r="D178" s="108"/>
      <c r="E178" s="95" t="s">
        <v>260</v>
      </c>
      <c r="F178" s="95" t="s">
        <v>299</v>
      </c>
      <c r="G178" s="193"/>
      <c r="H178" s="95"/>
      <c r="I178" s="95"/>
      <c r="J178" s="34"/>
      <c r="K178" s="34"/>
      <c r="L178" s="34"/>
      <c r="M178" s="34"/>
      <c r="N178" s="34"/>
      <c r="O178" s="34"/>
      <c r="P178" s="34"/>
      <c r="Q178" s="34"/>
    </row>
    <row r="179" spans="1:17" ht="22.5">
      <c r="A179" s="54"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32"/>
      <c r="C179" s="131"/>
      <c r="D179" s="132"/>
      <c r="E179" s="159" t="s">
        <v>300</v>
      </c>
      <c r="F179" s="152" t="s">
        <v>301</v>
      </c>
      <c r="G179" s="152" t="s">
        <v>562</v>
      </c>
      <c r="H179" s="152"/>
      <c r="I179" s="152"/>
      <c r="J179" s="157"/>
      <c r="K179" s="157"/>
      <c r="L179" s="157"/>
      <c r="M179" s="157"/>
      <c r="N179" s="157"/>
      <c r="O179" s="157"/>
      <c r="P179" s="157"/>
      <c r="Q179" s="157"/>
    </row>
    <row r="180" spans="1:17" ht="22.5">
      <c r="A180" s="54"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150" t="s">
        <v>302</v>
      </c>
      <c r="C180" s="150" t="s">
        <v>215</v>
      </c>
      <c r="D180" s="189" t="s">
        <v>303</v>
      </c>
      <c r="E180" s="152" t="s">
        <v>75</v>
      </c>
      <c r="F180" s="152" t="s">
        <v>304</v>
      </c>
      <c r="G180" s="196" t="s">
        <v>563</v>
      </c>
      <c r="H180" s="152"/>
      <c r="I180" s="152"/>
      <c r="J180" s="157"/>
      <c r="K180" s="157"/>
      <c r="L180" s="157"/>
      <c r="M180" s="157"/>
      <c r="N180" s="157"/>
      <c r="O180" s="157"/>
      <c r="P180" s="157"/>
      <c r="Q180" s="157"/>
    </row>
    <row r="181" spans="1:17" ht="22.5">
      <c r="A181" s="54"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51"/>
      <c r="C181" s="162"/>
      <c r="D181" s="189" t="s">
        <v>305</v>
      </c>
      <c r="E181" s="152" t="s">
        <v>75</v>
      </c>
      <c r="F181" s="152" t="s">
        <v>306</v>
      </c>
      <c r="G181" s="196" t="s">
        <v>563</v>
      </c>
      <c r="H181" s="152"/>
      <c r="I181" s="152"/>
      <c r="J181" s="157"/>
      <c r="K181" s="157"/>
      <c r="L181" s="157"/>
      <c r="M181" s="157"/>
      <c r="N181" s="157"/>
      <c r="O181" s="157"/>
      <c r="P181" s="157"/>
      <c r="Q181" s="157"/>
    </row>
    <row r="182" spans="1:17" ht="22.5">
      <c r="A182" s="54"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60"/>
      <c r="C182" s="159"/>
      <c r="D182" s="159" t="s">
        <v>307</v>
      </c>
      <c r="E182" s="159" t="s">
        <v>75</v>
      </c>
      <c r="F182" s="152" t="s">
        <v>308</v>
      </c>
      <c r="G182" s="196" t="s">
        <v>563</v>
      </c>
      <c r="H182" s="152"/>
      <c r="I182" s="152"/>
      <c r="J182" s="157"/>
      <c r="K182" s="157"/>
      <c r="L182" s="157"/>
      <c r="M182" s="157"/>
      <c r="N182" s="157"/>
      <c r="O182" s="157"/>
      <c r="P182" s="157"/>
      <c r="Q182" s="157"/>
    </row>
    <row r="183" spans="1:17" ht="22.5">
      <c r="A183" s="54"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150" t="s">
        <v>309</v>
      </c>
      <c r="C183" s="150" t="s">
        <v>215</v>
      </c>
      <c r="D183" s="150" t="s">
        <v>75</v>
      </c>
      <c r="E183" s="152" t="s">
        <v>310</v>
      </c>
      <c r="F183" s="152" t="s">
        <v>311</v>
      </c>
      <c r="G183" s="196" t="s">
        <v>564</v>
      </c>
      <c r="H183" s="152"/>
      <c r="I183" s="152"/>
      <c r="J183" s="157"/>
      <c r="K183" s="157"/>
      <c r="L183" s="157"/>
      <c r="M183" s="157"/>
      <c r="N183" s="157"/>
      <c r="O183" s="157"/>
      <c r="P183" s="157"/>
      <c r="Q183" s="157"/>
    </row>
    <row r="184" spans="1:17" ht="22.5">
      <c r="A184" s="54"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65"/>
      <c r="C184" s="165"/>
      <c r="D184" s="151"/>
      <c r="E184" s="151" t="s">
        <v>82</v>
      </c>
      <c r="F184" s="152" t="s">
        <v>312</v>
      </c>
      <c r="G184" s="196" t="s">
        <v>564</v>
      </c>
      <c r="H184" s="152"/>
      <c r="I184" s="152"/>
      <c r="J184" s="157"/>
      <c r="K184" s="157"/>
      <c r="L184" s="157"/>
      <c r="M184" s="157"/>
      <c r="N184" s="157"/>
      <c r="O184" s="157"/>
      <c r="P184" s="157"/>
      <c r="Q184" s="157"/>
    </row>
    <row r="185" spans="1:17" ht="22.5">
      <c r="A185" s="54"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65"/>
      <c r="C185" s="190"/>
      <c r="D185" s="151"/>
      <c r="E185" s="160"/>
      <c r="F185" s="152" t="s">
        <v>313</v>
      </c>
      <c r="G185" s="196" t="s">
        <v>564</v>
      </c>
      <c r="H185" s="152"/>
      <c r="I185" s="152"/>
      <c r="J185" s="157"/>
      <c r="K185" s="157"/>
      <c r="L185" s="157"/>
      <c r="M185" s="157"/>
      <c r="N185" s="157"/>
      <c r="O185" s="157"/>
      <c r="P185" s="157"/>
      <c r="Q185" s="157"/>
    </row>
    <row r="186" spans="1:17" ht="22.5">
      <c r="A186" s="54"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65"/>
      <c r="C186" s="162"/>
      <c r="D186" s="151"/>
      <c r="E186" s="151" t="s">
        <v>314</v>
      </c>
      <c r="F186" s="152" t="s">
        <v>315</v>
      </c>
      <c r="G186" s="196" t="s">
        <v>564</v>
      </c>
      <c r="H186" s="152"/>
      <c r="I186" s="152"/>
      <c r="J186" s="157"/>
      <c r="K186" s="157"/>
      <c r="L186" s="157"/>
      <c r="M186" s="157"/>
      <c r="N186" s="157"/>
      <c r="O186" s="157"/>
      <c r="P186" s="157"/>
      <c r="Q186" s="157"/>
    </row>
    <row r="187" spans="1:17" ht="22.5">
      <c r="A187" s="54"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65"/>
      <c r="C187" s="162"/>
      <c r="D187" s="191"/>
      <c r="E187" s="160"/>
      <c r="F187" s="152" t="s">
        <v>316</v>
      </c>
      <c r="G187" s="196" t="s">
        <v>564</v>
      </c>
      <c r="H187" s="152"/>
      <c r="I187" s="152"/>
      <c r="J187" s="157"/>
      <c r="K187" s="157"/>
      <c r="L187" s="157"/>
      <c r="M187" s="157"/>
      <c r="N187" s="157"/>
      <c r="O187" s="157"/>
      <c r="P187" s="157"/>
      <c r="Q187" s="157"/>
    </row>
    <row r="188" spans="1:17" ht="33.75">
      <c r="A188" s="54"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65"/>
      <c r="C188" s="159"/>
      <c r="D188" s="160" t="s">
        <v>180</v>
      </c>
      <c r="E188" s="160" t="s">
        <v>75</v>
      </c>
      <c r="F188" s="152" t="s">
        <v>317</v>
      </c>
      <c r="G188" s="196" t="s">
        <v>564</v>
      </c>
      <c r="H188" s="152"/>
      <c r="I188" s="152"/>
      <c r="J188" s="157"/>
      <c r="K188" s="157"/>
      <c r="L188" s="157"/>
      <c r="M188" s="157"/>
      <c r="N188" s="157"/>
      <c r="O188" s="157"/>
      <c r="P188" s="157"/>
      <c r="Q188" s="157"/>
    </row>
    <row r="189" spans="1:17" ht="22.5">
      <c r="A189" s="54"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65"/>
      <c r="C189" s="162" t="s">
        <v>318</v>
      </c>
      <c r="D189" s="151" t="s">
        <v>319</v>
      </c>
      <c r="E189" s="151" t="s">
        <v>320</v>
      </c>
      <c r="F189" s="152" t="s">
        <v>321</v>
      </c>
      <c r="G189" s="196" t="s">
        <v>564</v>
      </c>
      <c r="H189" s="152"/>
      <c r="I189" s="152"/>
      <c r="J189" s="157"/>
      <c r="K189" s="157"/>
      <c r="L189" s="157"/>
      <c r="M189" s="157"/>
      <c r="N189" s="157"/>
      <c r="O189" s="157"/>
      <c r="P189" s="157"/>
      <c r="Q189" s="157"/>
    </row>
    <row r="190" spans="1:17" ht="22.5">
      <c r="A190" s="54"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65"/>
      <c r="C190" s="190"/>
      <c r="D190" s="151"/>
      <c r="E190" s="151"/>
      <c r="F190" s="152" t="s">
        <v>322</v>
      </c>
      <c r="G190" s="196" t="s">
        <v>564</v>
      </c>
      <c r="H190" s="152"/>
      <c r="I190" s="152"/>
      <c r="J190" s="157"/>
      <c r="K190" s="157"/>
      <c r="L190" s="157"/>
      <c r="M190" s="157"/>
      <c r="N190" s="157"/>
      <c r="O190" s="157"/>
      <c r="P190" s="157"/>
      <c r="Q190" s="157"/>
    </row>
    <row r="191" spans="1:17" ht="22.5">
      <c r="A191" s="54"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65"/>
      <c r="C191" s="190"/>
      <c r="D191" s="151"/>
      <c r="E191" s="151"/>
      <c r="F191" s="152" t="s">
        <v>323</v>
      </c>
      <c r="G191" s="196" t="s">
        <v>564</v>
      </c>
      <c r="H191" s="152"/>
      <c r="I191" s="152"/>
      <c r="J191" s="157"/>
      <c r="K191" s="157"/>
      <c r="L191" s="157"/>
      <c r="M191" s="157"/>
      <c r="N191" s="157"/>
      <c r="O191" s="157"/>
      <c r="P191" s="157"/>
      <c r="Q191" s="157"/>
    </row>
    <row r="192" spans="1:17" ht="22.5">
      <c r="A192" s="54"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65"/>
      <c r="C192" s="190"/>
      <c r="D192" s="151"/>
      <c r="E192" s="151"/>
      <c r="F192" s="152" t="s">
        <v>324</v>
      </c>
      <c r="G192" s="196" t="s">
        <v>564</v>
      </c>
      <c r="H192" s="152"/>
      <c r="I192" s="152"/>
      <c r="J192" s="157"/>
      <c r="K192" s="157"/>
      <c r="L192" s="157"/>
      <c r="M192" s="157"/>
      <c r="N192" s="157"/>
      <c r="O192" s="157"/>
      <c r="P192" s="157"/>
      <c r="Q192" s="157"/>
    </row>
    <row r="193" spans="1:17" ht="22.5">
      <c r="A193" s="54"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65"/>
      <c r="C193" s="190"/>
      <c r="D193" s="151"/>
      <c r="E193" s="151"/>
      <c r="F193" s="152" t="s">
        <v>325</v>
      </c>
      <c r="G193" s="196" t="s">
        <v>564</v>
      </c>
      <c r="H193" s="152"/>
      <c r="I193" s="152"/>
      <c r="J193" s="157"/>
      <c r="K193" s="157"/>
      <c r="L193" s="157"/>
      <c r="M193" s="157"/>
      <c r="N193" s="157"/>
      <c r="O193" s="157"/>
      <c r="P193" s="157"/>
      <c r="Q193" s="157"/>
    </row>
    <row r="194" spans="1:17" ht="22.5">
      <c r="A194" s="54"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65"/>
      <c r="C194" s="190"/>
      <c r="D194" s="151"/>
      <c r="E194" s="151"/>
      <c r="F194" s="152" t="s">
        <v>326</v>
      </c>
      <c r="G194" s="196" t="s">
        <v>564</v>
      </c>
      <c r="H194" s="152"/>
      <c r="I194" s="152"/>
      <c r="J194" s="157"/>
      <c r="K194" s="157"/>
      <c r="L194" s="157"/>
      <c r="M194" s="157"/>
      <c r="N194" s="157"/>
      <c r="O194" s="157"/>
      <c r="P194" s="157"/>
      <c r="Q194" s="157"/>
    </row>
    <row r="195" spans="1:17" ht="22.5">
      <c r="A195" s="54"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65"/>
      <c r="C195" s="190"/>
      <c r="D195" s="151"/>
      <c r="E195" s="160"/>
      <c r="F195" s="152" t="s">
        <v>327</v>
      </c>
      <c r="G195" s="196" t="s">
        <v>564</v>
      </c>
      <c r="H195" s="152"/>
      <c r="I195" s="152"/>
      <c r="J195" s="157"/>
      <c r="K195" s="157"/>
      <c r="L195" s="157"/>
      <c r="M195" s="157"/>
      <c r="N195" s="157"/>
      <c r="O195" s="157"/>
      <c r="P195" s="157"/>
      <c r="Q195" s="157"/>
    </row>
    <row r="196" spans="1:17" ht="22.5">
      <c r="A196" s="54"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65"/>
      <c r="C196" s="165"/>
      <c r="D196" s="160"/>
      <c r="E196" s="160" t="s">
        <v>328</v>
      </c>
      <c r="F196" s="152" t="s">
        <v>329</v>
      </c>
      <c r="G196" s="196" t="s">
        <v>564</v>
      </c>
      <c r="H196" s="152"/>
      <c r="I196" s="152"/>
      <c r="J196" s="157"/>
      <c r="K196" s="157"/>
      <c r="L196" s="157"/>
      <c r="M196" s="157"/>
      <c r="N196" s="157"/>
      <c r="O196" s="157"/>
      <c r="P196" s="157"/>
      <c r="Q196" s="157"/>
    </row>
    <row r="197" spans="1:17" ht="22.5">
      <c r="A197" s="54"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65"/>
      <c r="C197" s="165"/>
      <c r="D197" s="151" t="s">
        <v>330</v>
      </c>
      <c r="E197" s="151" t="s">
        <v>148</v>
      </c>
      <c r="F197" s="152" t="s">
        <v>331</v>
      </c>
      <c r="G197" s="196" t="s">
        <v>564</v>
      </c>
      <c r="H197" s="152"/>
      <c r="I197" s="152"/>
      <c r="J197" s="157"/>
      <c r="K197" s="157"/>
      <c r="L197" s="157"/>
      <c r="M197" s="157"/>
      <c r="N197" s="157"/>
      <c r="O197" s="157"/>
      <c r="P197" s="157"/>
      <c r="Q197" s="157"/>
    </row>
    <row r="198" spans="1:17" ht="22.5">
      <c r="A198" s="54"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65"/>
      <c r="C198" s="165"/>
      <c r="D198" s="151"/>
      <c r="E198" s="151"/>
      <c r="F198" s="152" t="s">
        <v>332</v>
      </c>
      <c r="G198" s="196" t="s">
        <v>564</v>
      </c>
      <c r="H198" s="152"/>
      <c r="I198" s="152"/>
      <c r="J198" s="157"/>
      <c r="K198" s="157"/>
      <c r="L198" s="157"/>
      <c r="M198" s="157"/>
      <c r="N198" s="157"/>
      <c r="O198" s="157"/>
      <c r="P198" s="157"/>
      <c r="Q198" s="157"/>
    </row>
    <row r="199" spans="1:17" ht="22.5">
      <c r="A199" s="54"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65"/>
      <c r="C199" s="165"/>
      <c r="D199" s="151"/>
      <c r="E199" s="151"/>
      <c r="F199" s="152" t="s">
        <v>333</v>
      </c>
      <c r="G199" s="196" t="s">
        <v>564</v>
      </c>
      <c r="H199" s="152"/>
      <c r="I199" s="152"/>
      <c r="J199" s="157"/>
      <c r="K199" s="157"/>
      <c r="L199" s="157"/>
      <c r="M199" s="157"/>
      <c r="N199" s="157"/>
      <c r="O199" s="157"/>
      <c r="P199" s="157"/>
      <c r="Q199" s="157"/>
    </row>
    <row r="200" spans="1:17" ht="22.5">
      <c r="A200" s="54"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65"/>
      <c r="C200" s="165"/>
      <c r="D200" s="151"/>
      <c r="E200" s="151"/>
      <c r="F200" s="152" t="s">
        <v>334</v>
      </c>
      <c r="G200" s="196" t="s">
        <v>564</v>
      </c>
      <c r="H200" s="152"/>
      <c r="I200" s="152"/>
      <c r="J200" s="157"/>
      <c r="K200" s="157"/>
      <c r="L200" s="157"/>
      <c r="M200" s="157"/>
      <c r="N200" s="157"/>
      <c r="O200" s="157"/>
      <c r="P200" s="157"/>
      <c r="Q200" s="157"/>
    </row>
    <row r="201" spans="1:17" ht="33.75">
      <c r="A201" s="54"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65"/>
      <c r="C201" s="165"/>
      <c r="D201" s="151"/>
      <c r="E201" s="151"/>
      <c r="F201" s="152" t="s">
        <v>335</v>
      </c>
      <c r="G201" s="196" t="s">
        <v>564</v>
      </c>
      <c r="H201" s="152"/>
      <c r="I201" s="152"/>
      <c r="J201" s="157"/>
      <c r="K201" s="157"/>
      <c r="L201" s="157"/>
      <c r="M201" s="157"/>
      <c r="N201" s="157"/>
      <c r="O201" s="157"/>
      <c r="P201" s="157"/>
      <c r="Q201" s="157"/>
    </row>
    <row r="202" spans="1:17" ht="33.75">
      <c r="A202" s="54"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65"/>
      <c r="C202" s="165"/>
      <c r="D202" s="151"/>
      <c r="E202" s="151"/>
      <c r="F202" s="152" t="s">
        <v>336</v>
      </c>
      <c r="G202" s="196" t="s">
        <v>564</v>
      </c>
      <c r="H202" s="152"/>
      <c r="I202" s="152"/>
      <c r="J202" s="157"/>
      <c r="K202" s="157"/>
      <c r="L202" s="157"/>
      <c r="M202" s="157"/>
      <c r="N202" s="157"/>
      <c r="O202" s="157"/>
      <c r="P202" s="157"/>
      <c r="Q202" s="157"/>
    </row>
    <row r="203" spans="1:17" ht="45">
      <c r="A203" s="54"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65"/>
      <c r="C203" s="165"/>
      <c r="D203" s="151"/>
      <c r="E203" s="151"/>
      <c r="F203" s="152" t="s">
        <v>337</v>
      </c>
      <c r="G203" s="196" t="s">
        <v>564</v>
      </c>
      <c r="H203" s="152"/>
      <c r="I203" s="152"/>
      <c r="J203" s="157"/>
      <c r="K203" s="157"/>
      <c r="L203" s="157"/>
      <c r="M203" s="157"/>
      <c r="N203" s="157"/>
      <c r="O203" s="157"/>
      <c r="P203" s="157"/>
      <c r="Q203" s="157"/>
    </row>
    <row r="204" spans="1:17" ht="33.75">
      <c r="A204" s="54"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65"/>
      <c r="C204" s="165"/>
      <c r="D204" s="151"/>
      <c r="E204" s="151"/>
      <c r="F204" s="152" t="s">
        <v>338</v>
      </c>
      <c r="G204" s="196" t="s">
        <v>564</v>
      </c>
      <c r="H204" s="152"/>
      <c r="I204" s="152"/>
      <c r="J204" s="157"/>
      <c r="K204" s="157"/>
      <c r="L204" s="157"/>
      <c r="M204" s="157"/>
      <c r="N204" s="157"/>
      <c r="O204" s="157"/>
      <c r="P204" s="157"/>
      <c r="Q204" s="157"/>
    </row>
    <row r="205" spans="1:17" ht="33.75">
      <c r="A205" s="54"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65"/>
      <c r="C205" s="165"/>
      <c r="D205" s="151"/>
      <c r="E205" s="151"/>
      <c r="F205" s="152" t="s">
        <v>339</v>
      </c>
      <c r="G205" s="196" t="s">
        <v>564</v>
      </c>
      <c r="H205" s="152"/>
      <c r="I205" s="152"/>
      <c r="J205" s="157"/>
      <c r="K205" s="157"/>
      <c r="L205" s="157"/>
      <c r="M205" s="157"/>
      <c r="N205" s="157"/>
      <c r="O205" s="157"/>
      <c r="P205" s="157"/>
      <c r="Q205" s="157"/>
    </row>
    <row r="206" spans="1:17" ht="22.5">
      <c r="A206" s="54"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65"/>
      <c r="C206" s="165"/>
      <c r="D206" s="151"/>
      <c r="E206" s="151"/>
      <c r="F206" s="152" t="s">
        <v>340</v>
      </c>
      <c r="G206" s="196" t="s">
        <v>564</v>
      </c>
      <c r="H206" s="152"/>
      <c r="I206" s="152"/>
      <c r="J206" s="157"/>
      <c r="K206" s="157"/>
      <c r="L206" s="157"/>
      <c r="M206" s="157"/>
      <c r="N206" s="157"/>
      <c r="O206" s="157"/>
      <c r="P206" s="157"/>
      <c r="Q206" s="157"/>
    </row>
    <row r="207" spans="1:17" ht="22.5">
      <c r="A207" s="54"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65"/>
      <c r="C207" s="165"/>
      <c r="D207" s="151"/>
      <c r="E207" s="151"/>
      <c r="F207" s="152" t="s">
        <v>341</v>
      </c>
      <c r="G207" s="196" t="s">
        <v>564</v>
      </c>
      <c r="H207" s="152"/>
      <c r="I207" s="152"/>
      <c r="J207" s="157"/>
      <c r="K207" s="157"/>
      <c r="L207" s="157"/>
      <c r="M207" s="157"/>
      <c r="N207" s="157"/>
      <c r="O207" s="157"/>
      <c r="P207" s="157"/>
      <c r="Q207" s="157"/>
    </row>
    <row r="208" spans="1:17" ht="33.75">
      <c r="A208" s="54"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65"/>
      <c r="C208" s="165"/>
      <c r="D208" s="151"/>
      <c r="E208" s="151"/>
      <c r="F208" s="152" t="s">
        <v>342</v>
      </c>
      <c r="G208" s="196" t="s">
        <v>564</v>
      </c>
      <c r="H208" s="152"/>
      <c r="I208" s="152"/>
      <c r="J208" s="157"/>
      <c r="K208" s="157"/>
      <c r="L208" s="157"/>
      <c r="M208" s="157"/>
      <c r="N208" s="157"/>
      <c r="O208" s="157"/>
      <c r="P208" s="157"/>
      <c r="Q208" s="157"/>
    </row>
    <row r="209" spans="1:17" ht="22.5">
      <c r="A209" s="54"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51"/>
      <c r="C209" s="165"/>
      <c r="D209" s="160"/>
      <c r="E209" s="160"/>
      <c r="F209" s="152" t="s">
        <v>343</v>
      </c>
      <c r="G209" s="196" t="s">
        <v>564</v>
      </c>
      <c r="H209" s="152"/>
      <c r="I209" s="152"/>
      <c r="J209" s="157"/>
      <c r="K209" s="157"/>
      <c r="L209" s="157"/>
      <c r="M209" s="157"/>
      <c r="N209" s="157"/>
      <c r="O209" s="157"/>
      <c r="P209" s="157"/>
      <c r="Q209" s="157"/>
    </row>
    <row r="210" spans="1:17" ht="22.5">
      <c r="A210" s="54"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51"/>
      <c r="C210" s="165"/>
      <c r="D210" s="150" t="s">
        <v>344</v>
      </c>
      <c r="E210" s="150" t="s">
        <v>148</v>
      </c>
      <c r="F210" s="152" t="s">
        <v>345</v>
      </c>
      <c r="G210" s="196" t="s">
        <v>564</v>
      </c>
      <c r="H210" s="152"/>
      <c r="I210" s="152"/>
      <c r="J210" s="157"/>
      <c r="K210" s="157"/>
      <c r="L210" s="157"/>
      <c r="M210" s="157"/>
      <c r="N210" s="157"/>
      <c r="O210" s="157"/>
      <c r="P210" s="157"/>
      <c r="Q210" s="157"/>
    </row>
    <row r="211" spans="1:17" ht="22.5">
      <c r="A211" s="54"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65"/>
      <c r="C211" s="165"/>
      <c r="D211" s="151"/>
      <c r="E211" s="151"/>
      <c r="F211" s="152" t="s">
        <v>346</v>
      </c>
      <c r="G211" s="196" t="s">
        <v>564</v>
      </c>
      <c r="H211" s="152"/>
      <c r="I211" s="152"/>
      <c r="J211" s="157"/>
      <c r="K211" s="157"/>
      <c r="L211" s="157"/>
      <c r="M211" s="157"/>
      <c r="N211" s="157"/>
      <c r="O211" s="157"/>
      <c r="P211" s="157"/>
      <c r="Q211" s="157"/>
    </row>
    <row r="212" spans="1:17" ht="22.5">
      <c r="A212" s="54"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65"/>
      <c r="C212" s="165"/>
      <c r="D212" s="151"/>
      <c r="E212" s="151"/>
      <c r="F212" s="152" t="s">
        <v>347</v>
      </c>
      <c r="G212" s="196" t="s">
        <v>564</v>
      </c>
      <c r="H212" s="152"/>
      <c r="I212" s="152"/>
      <c r="J212" s="157"/>
      <c r="K212" s="157"/>
      <c r="L212" s="157"/>
      <c r="M212" s="157"/>
      <c r="N212" s="157"/>
      <c r="O212" s="157"/>
      <c r="P212" s="157"/>
      <c r="Q212" s="157"/>
    </row>
    <row r="213" spans="1:17" ht="22.5">
      <c r="A213" s="54"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65"/>
      <c r="C213" s="165"/>
      <c r="D213" s="151"/>
      <c r="E213" s="151"/>
      <c r="F213" s="152" t="s">
        <v>333</v>
      </c>
      <c r="G213" s="196" t="s">
        <v>564</v>
      </c>
      <c r="H213" s="152"/>
      <c r="I213" s="152"/>
      <c r="J213" s="157"/>
      <c r="K213" s="157"/>
      <c r="L213" s="157"/>
      <c r="M213" s="157"/>
      <c r="N213" s="157"/>
      <c r="O213" s="157"/>
      <c r="P213" s="157"/>
      <c r="Q213" s="157"/>
    </row>
    <row r="214" spans="1:17" ht="22.5">
      <c r="A214" s="54"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65"/>
      <c r="C214" s="165"/>
      <c r="D214" s="151"/>
      <c r="E214" s="151"/>
      <c r="F214" s="152" t="s">
        <v>334</v>
      </c>
      <c r="G214" s="196" t="s">
        <v>564</v>
      </c>
      <c r="H214" s="152"/>
      <c r="I214" s="152"/>
      <c r="J214" s="157"/>
      <c r="K214" s="157"/>
      <c r="L214" s="157"/>
      <c r="M214" s="157"/>
      <c r="N214" s="157"/>
      <c r="O214" s="157"/>
      <c r="P214" s="157"/>
      <c r="Q214" s="157"/>
    </row>
    <row r="215" spans="1:17" ht="45">
      <c r="A215" s="54"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65"/>
      <c r="C215" s="165"/>
      <c r="D215" s="151"/>
      <c r="E215" s="151"/>
      <c r="F215" s="152" t="s">
        <v>348</v>
      </c>
      <c r="G215" s="196" t="s">
        <v>564</v>
      </c>
      <c r="H215" s="152"/>
      <c r="I215" s="152"/>
      <c r="J215" s="157"/>
      <c r="K215" s="157"/>
      <c r="L215" s="157"/>
      <c r="M215" s="157"/>
      <c r="N215" s="157"/>
      <c r="O215" s="157"/>
      <c r="P215" s="157"/>
      <c r="Q215" s="157"/>
    </row>
    <row r="216" spans="1:17" ht="33.75">
      <c r="A216" s="54"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65"/>
      <c r="C216" s="165"/>
      <c r="D216" s="151"/>
      <c r="E216" s="151"/>
      <c r="F216" s="152" t="s">
        <v>349</v>
      </c>
      <c r="G216" s="196" t="s">
        <v>564</v>
      </c>
      <c r="H216" s="152"/>
      <c r="I216" s="152"/>
      <c r="J216" s="157"/>
      <c r="K216" s="157"/>
      <c r="L216" s="157"/>
      <c r="M216" s="157"/>
      <c r="N216" s="157"/>
      <c r="O216" s="157"/>
      <c r="P216" s="157"/>
      <c r="Q216" s="157"/>
    </row>
    <row r="217" spans="1:17" ht="33.75">
      <c r="A217" s="54"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65"/>
      <c r="C217" s="165"/>
      <c r="D217" s="151"/>
      <c r="E217" s="151"/>
      <c r="F217" s="152" t="s">
        <v>350</v>
      </c>
      <c r="G217" s="196" t="s">
        <v>564</v>
      </c>
      <c r="H217" s="152"/>
      <c r="I217" s="152"/>
      <c r="J217" s="157"/>
      <c r="K217" s="157"/>
      <c r="L217" s="157"/>
      <c r="M217" s="157"/>
      <c r="N217" s="157"/>
      <c r="O217" s="157"/>
      <c r="P217" s="157"/>
      <c r="Q217" s="157"/>
    </row>
    <row r="218" spans="1:17" ht="45">
      <c r="A218" s="54"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65"/>
      <c r="C218" s="165"/>
      <c r="D218" s="151"/>
      <c r="E218" s="151"/>
      <c r="F218" s="152" t="s">
        <v>351</v>
      </c>
      <c r="G218" s="196" t="s">
        <v>564</v>
      </c>
      <c r="H218" s="152"/>
      <c r="I218" s="152"/>
      <c r="J218" s="157"/>
      <c r="K218" s="157"/>
      <c r="L218" s="157"/>
      <c r="M218" s="157"/>
      <c r="N218" s="157"/>
      <c r="O218" s="157"/>
      <c r="P218" s="157"/>
      <c r="Q218" s="157"/>
    </row>
    <row r="219" spans="1:17" ht="33.75">
      <c r="A219" s="54"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65"/>
      <c r="C219" s="165"/>
      <c r="D219" s="151"/>
      <c r="E219" s="151"/>
      <c r="F219" s="152" t="s">
        <v>352</v>
      </c>
      <c r="G219" s="196" t="s">
        <v>564</v>
      </c>
      <c r="H219" s="152"/>
      <c r="I219" s="152"/>
      <c r="J219" s="157"/>
      <c r="K219" s="157"/>
      <c r="L219" s="157"/>
      <c r="M219" s="157"/>
      <c r="N219" s="157"/>
      <c r="O219" s="157"/>
      <c r="P219" s="157"/>
      <c r="Q219" s="157"/>
    </row>
    <row r="220" spans="1:17" ht="33.75">
      <c r="A220" s="54"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65"/>
      <c r="C220" s="165"/>
      <c r="D220" s="151"/>
      <c r="E220" s="151"/>
      <c r="F220" s="152" t="s">
        <v>353</v>
      </c>
      <c r="G220" s="196" t="s">
        <v>564</v>
      </c>
      <c r="H220" s="152"/>
      <c r="I220" s="152"/>
      <c r="J220" s="157"/>
      <c r="K220" s="157"/>
      <c r="L220" s="157"/>
      <c r="M220" s="157"/>
      <c r="N220" s="157"/>
      <c r="O220" s="157"/>
      <c r="P220" s="157"/>
      <c r="Q220" s="157"/>
    </row>
    <row r="221" spans="1:17" ht="22.5">
      <c r="A221" s="54"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65"/>
      <c r="C221" s="165"/>
      <c r="D221" s="151"/>
      <c r="E221" s="151"/>
      <c r="F221" s="152" t="s">
        <v>354</v>
      </c>
      <c r="G221" s="196" t="s">
        <v>564</v>
      </c>
      <c r="H221" s="152"/>
      <c r="I221" s="152"/>
      <c r="J221" s="157"/>
      <c r="K221" s="157"/>
      <c r="L221" s="157"/>
      <c r="M221" s="157"/>
      <c r="N221" s="157"/>
      <c r="O221" s="157"/>
      <c r="P221" s="157"/>
      <c r="Q221" s="157"/>
    </row>
    <row r="222" spans="1:17" ht="22.5">
      <c r="A222" s="54"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65"/>
      <c r="C222" s="165"/>
      <c r="D222" s="151"/>
      <c r="E222" s="151"/>
      <c r="F222" s="152" t="s">
        <v>355</v>
      </c>
      <c r="G222" s="196" t="s">
        <v>564</v>
      </c>
      <c r="H222" s="152"/>
      <c r="I222" s="152"/>
      <c r="J222" s="157"/>
      <c r="K222" s="157"/>
      <c r="L222" s="157"/>
      <c r="M222" s="157"/>
      <c r="N222" s="157"/>
      <c r="O222" s="157"/>
      <c r="P222" s="157"/>
      <c r="Q222" s="157"/>
    </row>
    <row r="223" spans="1:17" ht="33.75">
      <c r="A223" s="54"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65"/>
      <c r="C223" s="165"/>
      <c r="D223" s="151"/>
      <c r="E223" s="151"/>
      <c r="F223" s="152" t="s">
        <v>356</v>
      </c>
      <c r="G223" s="196" t="s">
        <v>564</v>
      </c>
      <c r="H223" s="152"/>
      <c r="I223" s="152"/>
      <c r="J223" s="157"/>
      <c r="K223" s="157"/>
      <c r="L223" s="157"/>
      <c r="M223" s="157"/>
      <c r="N223" s="157"/>
      <c r="O223" s="157"/>
      <c r="P223" s="157"/>
      <c r="Q223" s="157"/>
    </row>
    <row r="224" spans="1:17" ht="22.5">
      <c r="A224" s="54"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65"/>
      <c r="C224" s="165"/>
      <c r="D224" s="151"/>
      <c r="E224" s="160"/>
      <c r="F224" s="152" t="s">
        <v>343</v>
      </c>
      <c r="G224" s="196" t="s">
        <v>564</v>
      </c>
      <c r="H224" s="152"/>
      <c r="I224" s="152"/>
      <c r="J224" s="157"/>
      <c r="K224" s="157"/>
      <c r="L224" s="157"/>
      <c r="M224" s="157"/>
      <c r="N224" s="157"/>
      <c r="O224" s="157"/>
      <c r="P224" s="157"/>
      <c r="Q224" s="157"/>
    </row>
    <row r="225" spans="1:17" ht="45">
      <c r="A225" s="54"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65"/>
      <c r="C225" s="165"/>
      <c r="D225" s="151"/>
      <c r="E225" s="151" t="s">
        <v>357</v>
      </c>
      <c r="F225" s="152" t="s">
        <v>358</v>
      </c>
      <c r="G225" s="196" t="s">
        <v>564</v>
      </c>
      <c r="H225" s="152"/>
      <c r="I225" s="152"/>
      <c r="J225" s="157"/>
      <c r="K225" s="157"/>
      <c r="L225" s="157"/>
      <c r="M225" s="157"/>
      <c r="N225" s="157"/>
      <c r="O225" s="157"/>
      <c r="P225" s="157"/>
      <c r="Q225" s="157"/>
    </row>
    <row r="226" spans="1:17" ht="45">
      <c r="A226" s="54"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65"/>
      <c r="C226" s="165"/>
      <c r="D226" s="151"/>
      <c r="E226" s="151"/>
      <c r="F226" s="152" t="s">
        <v>359</v>
      </c>
      <c r="G226" s="196" t="s">
        <v>564</v>
      </c>
      <c r="H226" s="152"/>
      <c r="I226" s="152"/>
      <c r="J226" s="157"/>
      <c r="K226" s="157"/>
      <c r="L226" s="157"/>
      <c r="M226" s="157"/>
      <c r="N226" s="157"/>
      <c r="O226" s="157"/>
      <c r="P226" s="157"/>
      <c r="Q226" s="157"/>
    </row>
    <row r="227" spans="1:17" ht="33.75">
      <c r="A227" s="54"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65"/>
      <c r="C227" s="165"/>
      <c r="D227" s="151"/>
      <c r="E227" s="160"/>
      <c r="F227" s="152" t="s">
        <v>360</v>
      </c>
      <c r="G227" s="196" t="s">
        <v>564</v>
      </c>
      <c r="H227" s="152"/>
      <c r="I227" s="152"/>
      <c r="J227" s="157"/>
      <c r="K227" s="157"/>
      <c r="L227" s="157"/>
      <c r="M227" s="157"/>
      <c r="N227" s="157"/>
      <c r="O227" s="157"/>
      <c r="P227" s="157"/>
      <c r="Q227" s="157"/>
    </row>
    <row r="228" spans="1:17" ht="33.75">
      <c r="A228" s="54"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65"/>
      <c r="C228" s="165"/>
      <c r="D228" s="151"/>
      <c r="E228" s="160" t="s">
        <v>173</v>
      </c>
      <c r="F228" s="152" t="s">
        <v>361</v>
      </c>
      <c r="G228" s="196" t="s">
        <v>564</v>
      </c>
      <c r="H228" s="152"/>
      <c r="I228" s="152"/>
      <c r="J228" s="157"/>
      <c r="K228" s="157"/>
      <c r="L228" s="157"/>
      <c r="M228" s="157"/>
      <c r="N228" s="157"/>
      <c r="O228" s="157"/>
      <c r="P228" s="157"/>
      <c r="Q228" s="157"/>
    </row>
    <row r="229" spans="1:17" ht="22.5">
      <c r="A229" s="54"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60"/>
      <c r="C229" s="160"/>
      <c r="D229" s="160"/>
      <c r="E229" s="188" t="s">
        <v>362</v>
      </c>
      <c r="F229" s="152" t="s">
        <v>363</v>
      </c>
      <c r="G229" s="196" t="s">
        <v>564</v>
      </c>
      <c r="H229" s="152"/>
      <c r="I229" s="152"/>
      <c r="J229" s="157"/>
      <c r="K229" s="157"/>
      <c r="L229" s="157"/>
      <c r="M229" s="157"/>
      <c r="N229" s="157"/>
      <c r="O229" s="157"/>
      <c r="P229" s="157"/>
      <c r="Q229" s="157"/>
    </row>
    <row r="230" spans="1:17" ht="22.5">
      <c r="A230" s="54"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150" t="s">
        <v>364</v>
      </c>
      <c r="C230" s="150" t="s">
        <v>215</v>
      </c>
      <c r="D230" s="150" t="s">
        <v>75</v>
      </c>
      <c r="E230" s="152" t="s">
        <v>75</v>
      </c>
      <c r="F230" s="152" t="s">
        <v>365</v>
      </c>
      <c r="G230" s="196" t="s">
        <v>565</v>
      </c>
      <c r="H230" s="152"/>
      <c r="I230" s="152"/>
      <c r="J230" s="157"/>
      <c r="K230" s="157"/>
      <c r="L230" s="157"/>
      <c r="M230" s="157"/>
      <c r="N230" s="157"/>
      <c r="O230" s="157"/>
      <c r="P230" s="157"/>
      <c r="Q230" s="157"/>
    </row>
    <row r="231" spans="1:17" ht="22.5">
      <c r="A231" s="54"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65"/>
      <c r="C231" s="151"/>
      <c r="D231" s="151"/>
      <c r="E231" s="151" t="s">
        <v>159</v>
      </c>
      <c r="F231" s="152" t="s">
        <v>366</v>
      </c>
      <c r="G231" s="196" t="s">
        <v>565</v>
      </c>
      <c r="H231" s="152"/>
      <c r="I231" s="152"/>
      <c r="J231" s="157"/>
      <c r="K231" s="157"/>
      <c r="L231" s="157"/>
      <c r="M231" s="157"/>
      <c r="N231" s="157"/>
      <c r="O231" s="157"/>
      <c r="P231" s="157"/>
      <c r="Q231" s="157"/>
    </row>
    <row r="232" spans="1:17" ht="22.5">
      <c r="A232" s="54"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65"/>
      <c r="C232" s="151"/>
      <c r="D232" s="151"/>
      <c r="E232" s="151"/>
      <c r="F232" s="152" t="s">
        <v>367</v>
      </c>
      <c r="G232" s="196" t="s">
        <v>565</v>
      </c>
      <c r="H232" s="152"/>
      <c r="I232" s="152"/>
      <c r="J232" s="157"/>
      <c r="K232" s="157"/>
      <c r="L232" s="157"/>
      <c r="M232" s="157"/>
      <c r="N232" s="157"/>
      <c r="O232" s="157"/>
      <c r="P232" s="157"/>
      <c r="Q232" s="157"/>
    </row>
    <row r="233" spans="1:17" ht="22.5">
      <c r="A233" s="54"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65"/>
      <c r="C233" s="151"/>
      <c r="D233" s="151"/>
      <c r="E233" s="151"/>
      <c r="F233" s="152" t="s">
        <v>368</v>
      </c>
      <c r="G233" s="196" t="s">
        <v>565</v>
      </c>
      <c r="H233" s="152"/>
      <c r="I233" s="152"/>
      <c r="J233" s="157"/>
      <c r="K233" s="157"/>
      <c r="L233" s="157"/>
      <c r="M233" s="157"/>
      <c r="N233" s="157"/>
      <c r="O233" s="157"/>
      <c r="P233" s="157"/>
      <c r="Q233" s="157"/>
    </row>
    <row r="234" spans="1:17" ht="22.5">
      <c r="A234" s="54"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65"/>
      <c r="C234" s="151"/>
      <c r="D234" s="151"/>
      <c r="E234" s="151"/>
      <c r="F234" s="152" t="s">
        <v>369</v>
      </c>
      <c r="G234" s="196" t="s">
        <v>565</v>
      </c>
      <c r="H234" s="152"/>
      <c r="I234" s="152"/>
      <c r="J234" s="157"/>
      <c r="K234" s="157"/>
      <c r="L234" s="157"/>
      <c r="M234" s="157"/>
      <c r="N234" s="157"/>
      <c r="O234" s="157"/>
      <c r="P234" s="157"/>
      <c r="Q234" s="157"/>
    </row>
    <row r="235" spans="1:17" ht="33.75">
      <c r="A235" s="54"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65"/>
      <c r="C235" s="151"/>
      <c r="D235" s="151"/>
      <c r="E235" s="160"/>
      <c r="F235" s="152" t="s">
        <v>370</v>
      </c>
      <c r="G235" s="196" t="s">
        <v>565</v>
      </c>
      <c r="H235" s="152"/>
      <c r="I235" s="152"/>
      <c r="J235" s="157"/>
      <c r="K235" s="157"/>
      <c r="L235" s="157"/>
      <c r="M235" s="157"/>
      <c r="N235" s="157"/>
      <c r="O235" s="157"/>
      <c r="P235" s="157"/>
      <c r="Q235" s="157"/>
    </row>
    <row r="236" spans="1:17" ht="33.75">
      <c r="A236" s="54"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65"/>
      <c r="C236" s="151"/>
      <c r="D236" s="151"/>
      <c r="E236" s="151" t="s">
        <v>226</v>
      </c>
      <c r="F236" s="152" t="s">
        <v>371</v>
      </c>
      <c r="G236" s="196" t="s">
        <v>565</v>
      </c>
      <c r="H236" s="152"/>
      <c r="I236" s="152"/>
      <c r="J236" s="157"/>
      <c r="K236" s="157"/>
      <c r="L236" s="157"/>
      <c r="M236" s="157"/>
      <c r="N236" s="157"/>
      <c r="O236" s="157"/>
      <c r="P236" s="157"/>
      <c r="Q236" s="157"/>
    </row>
    <row r="237" spans="1:17" ht="33.75">
      <c r="A237" s="54"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65"/>
      <c r="C237" s="151"/>
      <c r="D237" s="151"/>
      <c r="E237" s="151"/>
      <c r="F237" s="152" t="s">
        <v>372</v>
      </c>
      <c r="G237" s="196" t="s">
        <v>565</v>
      </c>
      <c r="H237" s="152"/>
      <c r="I237" s="152"/>
      <c r="J237" s="157"/>
      <c r="K237" s="157"/>
      <c r="L237" s="157"/>
      <c r="M237" s="157"/>
      <c r="N237" s="157"/>
      <c r="O237" s="157"/>
      <c r="P237" s="157"/>
      <c r="Q237" s="157"/>
    </row>
    <row r="238" spans="1:17" ht="45">
      <c r="A238" s="54"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65"/>
      <c r="C238" s="151"/>
      <c r="D238" s="151"/>
      <c r="E238" s="151"/>
      <c r="F238" s="152" t="s">
        <v>373</v>
      </c>
      <c r="G238" s="196" t="s">
        <v>565</v>
      </c>
      <c r="H238" s="152"/>
      <c r="I238" s="152"/>
      <c r="J238" s="157"/>
      <c r="K238" s="157"/>
      <c r="L238" s="157"/>
      <c r="M238" s="157"/>
      <c r="N238" s="157"/>
      <c r="O238" s="157"/>
      <c r="P238" s="157"/>
      <c r="Q238" s="157"/>
    </row>
    <row r="239" spans="1:17" ht="45">
      <c r="A239" s="54"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65"/>
      <c r="C239" s="151"/>
      <c r="D239" s="151"/>
      <c r="E239" s="151"/>
      <c r="F239" s="152" t="s">
        <v>374</v>
      </c>
      <c r="G239" s="196" t="s">
        <v>565</v>
      </c>
      <c r="H239" s="152"/>
      <c r="I239" s="152"/>
      <c r="J239" s="157"/>
      <c r="K239" s="157"/>
      <c r="L239" s="157"/>
      <c r="M239" s="157"/>
      <c r="N239" s="157"/>
      <c r="O239" s="157"/>
      <c r="P239" s="157"/>
      <c r="Q239" s="157"/>
    </row>
    <row r="240" spans="1:17" ht="33.75">
      <c r="A240" s="54"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65"/>
      <c r="C240" s="151"/>
      <c r="D240" s="151"/>
      <c r="E240" s="160"/>
      <c r="F240" s="152" t="s">
        <v>375</v>
      </c>
      <c r="G240" s="196" t="s">
        <v>565</v>
      </c>
      <c r="H240" s="152"/>
      <c r="I240" s="152"/>
      <c r="J240" s="157"/>
      <c r="K240" s="157"/>
      <c r="L240" s="157"/>
      <c r="M240" s="157"/>
      <c r="N240" s="157"/>
      <c r="O240" s="157"/>
      <c r="P240" s="157"/>
      <c r="Q240" s="157"/>
    </row>
    <row r="241" spans="1:17" ht="33.75">
      <c r="A241" s="54"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65"/>
      <c r="C241" s="159"/>
      <c r="D241" s="160"/>
      <c r="E241" s="160" t="s">
        <v>232</v>
      </c>
      <c r="F241" s="152" t="s">
        <v>376</v>
      </c>
      <c r="G241" s="196" t="s">
        <v>565</v>
      </c>
      <c r="H241" s="152"/>
      <c r="I241" s="152"/>
      <c r="J241" s="157"/>
      <c r="K241" s="157"/>
      <c r="L241" s="157"/>
      <c r="M241" s="157"/>
      <c r="N241" s="157"/>
      <c r="O241" s="157"/>
      <c r="P241" s="157"/>
      <c r="Q241" s="157"/>
    </row>
    <row r="242" spans="1:17" ht="33.75">
      <c r="A242" s="54"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160"/>
      <c r="C242" s="160" t="s">
        <v>67</v>
      </c>
      <c r="D242" s="160" t="s">
        <v>235</v>
      </c>
      <c r="E242" s="160" t="s">
        <v>236</v>
      </c>
      <c r="F242" s="152" t="s">
        <v>377</v>
      </c>
      <c r="G242" s="196" t="s">
        <v>565</v>
      </c>
      <c r="H242" s="152"/>
      <c r="I242" s="152"/>
      <c r="J242" s="157"/>
      <c r="K242" s="157"/>
      <c r="L242" s="157"/>
      <c r="M242" s="157"/>
      <c r="N242" s="157"/>
      <c r="O242" s="157"/>
      <c r="P242" s="157"/>
      <c r="Q242" s="157"/>
    </row>
    <row r="243" spans="1:17" ht="22.5">
      <c r="A243" s="54"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150" t="s">
        <v>378</v>
      </c>
      <c r="C243" s="150" t="s">
        <v>379</v>
      </c>
      <c r="D243" s="150" t="s">
        <v>75</v>
      </c>
      <c r="E243" s="150" t="s">
        <v>75</v>
      </c>
      <c r="F243" s="152" t="s">
        <v>380</v>
      </c>
      <c r="G243" s="196" t="s">
        <v>565</v>
      </c>
      <c r="H243" s="152"/>
      <c r="I243" s="152"/>
      <c r="J243" s="157"/>
      <c r="K243" s="157"/>
      <c r="L243" s="157"/>
      <c r="M243" s="157"/>
      <c r="N243" s="157"/>
      <c r="O243" s="157"/>
      <c r="P243" s="157"/>
      <c r="Q243" s="157"/>
    </row>
    <row r="244" spans="1:17" ht="22.5">
      <c r="A244" s="54"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165"/>
      <c r="C244" s="151"/>
      <c r="D244" s="160"/>
      <c r="E244" s="160"/>
      <c r="F244" s="152" t="s">
        <v>381</v>
      </c>
      <c r="G244" s="196" t="s">
        <v>565</v>
      </c>
      <c r="H244" s="152"/>
      <c r="I244" s="152"/>
      <c r="J244" s="157"/>
      <c r="K244" s="157"/>
      <c r="L244" s="157"/>
      <c r="M244" s="157"/>
      <c r="N244" s="157"/>
      <c r="O244" s="157"/>
      <c r="P244" s="157"/>
      <c r="Q244" s="157"/>
    </row>
    <row r="245" spans="1:17" ht="33.75">
      <c r="A245" s="54"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165"/>
      <c r="C245" s="151"/>
      <c r="D245" s="151" t="s">
        <v>180</v>
      </c>
      <c r="E245" s="151" t="s">
        <v>75</v>
      </c>
      <c r="F245" s="152" t="s">
        <v>382</v>
      </c>
      <c r="G245" s="196" t="s">
        <v>565</v>
      </c>
      <c r="H245" s="152"/>
      <c r="I245" s="152"/>
      <c r="J245" s="157"/>
      <c r="K245" s="157"/>
      <c r="L245" s="157"/>
      <c r="M245" s="157"/>
      <c r="N245" s="157"/>
      <c r="O245" s="157"/>
      <c r="P245" s="157"/>
      <c r="Q245" s="157"/>
    </row>
    <row r="246" spans="1:17" ht="33.75">
      <c r="A246" s="54"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165"/>
      <c r="C246" s="160"/>
      <c r="D246" s="160"/>
      <c r="E246" s="160"/>
      <c r="F246" s="152" t="s">
        <v>383</v>
      </c>
      <c r="G246" s="196" t="s">
        <v>565</v>
      </c>
      <c r="H246" s="152"/>
      <c r="I246" s="152"/>
      <c r="J246" s="157"/>
      <c r="K246" s="157"/>
      <c r="L246" s="157"/>
      <c r="M246" s="157"/>
      <c r="N246" s="157"/>
      <c r="O246" s="157"/>
      <c r="P246" s="157"/>
      <c r="Q246" s="157"/>
    </row>
    <row r="247" spans="1:17" ht="33.75">
      <c r="A247" s="54"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65"/>
      <c r="C247" s="162" t="s">
        <v>384</v>
      </c>
      <c r="D247" s="151" t="s">
        <v>235</v>
      </c>
      <c r="E247" s="152" t="s">
        <v>253</v>
      </c>
      <c r="F247" s="152" t="s">
        <v>385</v>
      </c>
      <c r="G247" s="196" t="s">
        <v>565</v>
      </c>
      <c r="H247" s="152"/>
      <c r="I247" s="152"/>
      <c r="J247" s="157"/>
      <c r="K247" s="157"/>
      <c r="L247" s="157"/>
      <c r="M247" s="157"/>
      <c r="N247" s="157"/>
      <c r="O247" s="157"/>
      <c r="P247" s="157"/>
      <c r="Q247" s="157"/>
    </row>
    <row r="248" spans="1:17" ht="33.75">
      <c r="A248" s="54"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165"/>
      <c r="C248" s="162"/>
      <c r="D248" s="151"/>
      <c r="E248" s="152" t="s">
        <v>257</v>
      </c>
      <c r="F248" s="152" t="s">
        <v>386</v>
      </c>
      <c r="G248" s="196" t="s">
        <v>565</v>
      </c>
      <c r="H248" s="152"/>
      <c r="I248" s="152"/>
      <c r="J248" s="157"/>
      <c r="K248" s="157"/>
      <c r="L248" s="157"/>
      <c r="M248" s="157"/>
      <c r="N248" s="157"/>
      <c r="O248" s="157"/>
      <c r="P248" s="157"/>
      <c r="Q248" s="157"/>
    </row>
    <row r="249" spans="1:17" ht="33.75">
      <c r="A249" s="54"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165"/>
      <c r="C249" s="165"/>
      <c r="D249" s="162"/>
      <c r="E249" s="152" t="s">
        <v>236</v>
      </c>
      <c r="F249" s="152" t="s">
        <v>387</v>
      </c>
      <c r="G249" s="196" t="s">
        <v>565</v>
      </c>
      <c r="H249" s="152"/>
      <c r="I249" s="152"/>
      <c r="J249" s="157"/>
      <c r="K249" s="157"/>
      <c r="L249" s="157"/>
      <c r="M249" s="157"/>
      <c r="N249" s="157"/>
      <c r="O249" s="157"/>
      <c r="P249" s="157"/>
      <c r="Q249" s="157"/>
    </row>
    <row r="250" spans="1:17" ht="33.75">
      <c r="A250" s="54"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165"/>
      <c r="C250" s="162"/>
      <c r="D250" s="160"/>
      <c r="E250" s="152" t="s">
        <v>260</v>
      </c>
      <c r="F250" s="152" t="s">
        <v>388</v>
      </c>
      <c r="G250" s="196" t="s">
        <v>565</v>
      </c>
      <c r="H250" s="152"/>
      <c r="I250" s="152"/>
      <c r="J250" s="157"/>
      <c r="K250" s="157"/>
      <c r="L250" s="157"/>
      <c r="M250" s="157"/>
      <c r="N250" s="157"/>
      <c r="O250" s="157"/>
      <c r="P250" s="157"/>
      <c r="Q250" s="157"/>
    </row>
    <row r="251" spans="1:17" ht="22.5">
      <c r="A251" s="54"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165"/>
      <c r="C251" s="165"/>
      <c r="D251" s="151" t="s">
        <v>269</v>
      </c>
      <c r="E251" s="165" t="s">
        <v>75</v>
      </c>
      <c r="F251" s="152" t="s">
        <v>389</v>
      </c>
      <c r="G251" s="196" t="s">
        <v>565</v>
      </c>
      <c r="H251" s="152"/>
      <c r="I251" s="152"/>
      <c r="J251" s="157"/>
      <c r="K251" s="157"/>
      <c r="L251" s="157"/>
      <c r="M251" s="157"/>
      <c r="N251" s="157"/>
      <c r="O251" s="157"/>
      <c r="P251" s="157"/>
      <c r="Q251" s="157"/>
    </row>
    <row r="252" spans="1:17" ht="22.5">
      <c r="A252" s="54"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165"/>
      <c r="C252" s="165"/>
      <c r="D252" s="162"/>
      <c r="E252" s="160"/>
      <c r="F252" s="152" t="s">
        <v>390</v>
      </c>
      <c r="G252" s="196" t="s">
        <v>565</v>
      </c>
      <c r="H252" s="152"/>
      <c r="I252" s="152"/>
      <c r="J252" s="157"/>
      <c r="K252" s="157"/>
      <c r="L252" s="157"/>
      <c r="M252" s="157"/>
      <c r="N252" s="157"/>
      <c r="O252" s="157"/>
      <c r="P252" s="157"/>
      <c r="Q252" s="157"/>
    </row>
    <row r="253" spans="1:17" ht="33.75">
      <c r="A253" s="54"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165"/>
      <c r="C253" s="165"/>
      <c r="D253" s="162"/>
      <c r="E253" s="151" t="s">
        <v>148</v>
      </c>
      <c r="F253" s="152" t="s">
        <v>391</v>
      </c>
      <c r="G253" s="196" t="s">
        <v>565</v>
      </c>
      <c r="H253" s="152"/>
      <c r="I253" s="152"/>
      <c r="J253" s="157"/>
      <c r="K253" s="157"/>
      <c r="L253" s="157"/>
      <c r="M253" s="157"/>
      <c r="N253" s="157"/>
      <c r="O253" s="157"/>
      <c r="P253" s="157"/>
      <c r="Q253" s="157"/>
    </row>
    <row r="254" spans="1:17" ht="33.75">
      <c r="A254" s="54"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165"/>
      <c r="C254" s="165"/>
      <c r="D254" s="162"/>
      <c r="E254" s="151"/>
      <c r="F254" s="152" t="s">
        <v>392</v>
      </c>
      <c r="G254" s="196" t="s">
        <v>565</v>
      </c>
      <c r="H254" s="152"/>
      <c r="I254" s="152"/>
      <c r="J254" s="157"/>
      <c r="K254" s="157"/>
      <c r="L254" s="157"/>
      <c r="M254" s="157"/>
      <c r="N254" s="157"/>
      <c r="O254" s="157"/>
      <c r="P254" s="157"/>
      <c r="Q254" s="157"/>
    </row>
    <row r="255" spans="1:17" ht="33.75">
      <c r="A255" s="54"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165"/>
      <c r="C255" s="165"/>
      <c r="D255" s="162"/>
      <c r="E255" s="151"/>
      <c r="F255" s="152" t="s">
        <v>393</v>
      </c>
      <c r="G255" s="196" t="s">
        <v>565</v>
      </c>
      <c r="H255" s="152"/>
      <c r="I255" s="152"/>
      <c r="J255" s="157"/>
      <c r="K255" s="157"/>
      <c r="L255" s="157"/>
      <c r="M255" s="157"/>
      <c r="N255" s="157"/>
      <c r="O255" s="157"/>
      <c r="P255" s="157"/>
      <c r="Q255" s="157"/>
    </row>
    <row r="256" spans="1:17" ht="33.75">
      <c r="A256" s="54"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165"/>
      <c r="C256" s="165"/>
      <c r="D256" s="162"/>
      <c r="E256" s="151"/>
      <c r="F256" s="152" t="s">
        <v>394</v>
      </c>
      <c r="G256" s="196" t="s">
        <v>565</v>
      </c>
      <c r="H256" s="152"/>
      <c r="I256" s="152"/>
      <c r="J256" s="157"/>
      <c r="K256" s="157"/>
      <c r="L256" s="157"/>
      <c r="M256" s="157"/>
      <c r="N256" s="157"/>
      <c r="O256" s="157"/>
      <c r="P256" s="157"/>
      <c r="Q256" s="157"/>
    </row>
    <row r="257" spans="1:17" ht="33.75">
      <c r="A257" s="54"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51"/>
      <c r="C257" s="151"/>
      <c r="D257" s="151"/>
      <c r="E257" s="165"/>
      <c r="F257" s="152" t="s">
        <v>395</v>
      </c>
      <c r="G257" s="196" t="s">
        <v>565</v>
      </c>
      <c r="H257" s="152"/>
      <c r="I257" s="152"/>
      <c r="J257" s="157"/>
      <c r="K257" s="157"/>
      <c r="L257" s="157"/>
      <c r="M257" s="157"/>
      <c r="N257" s="157"/>
      <c r="O257" s="157"/>
      <c r="P257" s="157"/>
      <c r="Q257" s="157"/>
    </row>
    <row r="258" spans="1:17" ht="22.5">
      <c r="A258" s="54"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165"/>
      <c r="C258" s="151"/>
      <c r="D258" s="151"/>
      <c r="E258" s="165"/>
      <c r="F258" s="152" t="s">
        <v>396</v>
      </c>
      <c r="G258" s="196" t="s">
        <v>565</v>
      </c>
      <c r="H258" s="152"/>
      <c r="I258" s="152"/>
      <c r="J258" s="157"/>
      <c r="K258" s="157"/>
      <c r="L258" s="157"/>
      <c r="M258" s="157"/>
      <c r="N258" s="157"/>
      <c r="O258" s="157"/>
      <c r="P258" s="157"/>
      <c r="Q258" s="157"/>
    </row>
    <row r="259" spans="1:17" ht="22.5">
      <c r="A259" s="54"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165"/>
      <c r="C259" s="151"/>
      <c r="D259" s="151"/>
      <c r="E259" s="165"/>
      <c r="F259" s="152" t="s">
        <v>397</v>
      </c>
      <c r="G259" s="196" t="s">
        <v>565</v>
      </c>
      <c r="H259" s="152"/>
      <c r="I259" s="152"/>
      <c r="J259" s="157"/>
      <c r="K259" s="157"/>
      <c r="L259" s="157"/>
      <c r="M259" s="157"/>
      <c r="N259" s="157"/>
      <c r="O259" s="157"/>
      <c r="P259" s="157"/>
      <c r="Q259" s="157"/>
    </row>
    <row r="260" spans="1:17" ht="33.75">
      <c r="A260" s="54"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165"/>
      <c r="C260" s="151"/>
      <c r="D260" s="151"/>
      <c r="E260" s="165"/>
      <c r="F260" s="152" t="s">
        <v>398</v>
      </c>
      <c r="G260" s="196" t="s">
        <v>565</v>
      </c>
      <c r="H260" s="152"/>
      <c r="I260" s="152"/>
      <c r="J260" s="157"/>
      <c r="K260" s="157"/>
      <c r="L260" s="157"/>
      <c r="M260" s="157"/>
      <c r="N260" s="157"/>
      <c r="O260" s="157"/>
      <c r="P260" s="157"/>
      <c r="Q260" s="157"/>
    </row>
    <row r="261" spans="1:17" ht="33.75">
      <c r="A261" s="54"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165"/>
      <c r="C261" s="151"/>
      <c r="D261" s="151"/>
      <c r="E261" s="165"/>
      <c r="F261" s="152" t="s">
        <v>399</v>
      </c>
      <c r="G261" s="196" t="s">
        <v>565</v>
      </c>
      <c r="H261" s="152"/>
      <c r="I261" s="152"/>
      <c r="J261" s="157"/>
      <c r="K261" s="157"/>
      <c r="L261" s="157"/>
      <c r="M261" s="157"/>
      <c r="N261" s="157"/>
      <c r="O261" s="157"/>
      <c r="P261" s="157"/>
      <c r="Q261" s="157"/>
    </row>
    <row r="262" spans="1:17" ht="33.75">
      <c r="A262" s="54"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165"/>
      <c r="C262" s="151"/>
      <c r="D262" s="151"/>
      <c r="E262" s="151"/>
      <c r="F262" s="152" t="s">
        <v>400</v>
      </c>
      <c r="G262" s="196" t="s">
        <v>565</v>
      </c>
      <c r="H262" s="152"/>
      <c r="I262" s="152"/>
      <c r="J262" s="157"/>
      <c r="K262" s="157"/>
      <c r="L262" s="157"/>
      <c r="M262" s="157"/>
      <c r="N262" s="157"/>
      <c r="O262" s="157"/>
      <c r="P262" s="157"/>
      <c r="Q262" s="157"/>
    </row>
    <row r="263" spans="1:17" ht="33.75">
      <c r="A263" s="54"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165"/>
      <c r="C263" s="151"/>
      <c r="D263" s="151"/>
      <c r="E263" s="160"/>
      <c r="F263" s="152" t="s">
        <v>401</v>
      </c>
      <c r="G263" s="196" t="s">
        <v>565</v>
      </c>
      <c r="H263" s="152"/>
      <c r="I263" s="152"/>
      <c r="J263" s="157"/>
      <c r="K263" s="157"/>
      <c r="L263" s="157"/>
      <c r="M263" s="157"/>
      <c r="N263" s="157"/>
      <c r="O263" s="157"/>
      <c r="P263" s="157"/>
      <c r="Q263" s="157"/>
    </row>
    <row r="264" spans="1:17">
      <c r="A264" s="54"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165"/>
      <c r="C264" s="151"/>
      <c r="D264" s="151"/>
      <c r="E264" s="151" t="s">
        <v>82</v>
      </c>
      <c r="F264" s="152" t="s">
        <v>402</v>
      </c>
      <c r="G264" s="196" t="s">
        <v>565</v>
      </c>
      <c r="H264" s="152"/>
      <c r="I264" s="152"/>
      <c r="J264" s="157"/>
      <c r="K264" s="157"/>
      <c r="L264" s="157"/>
      <c r="M264" s="157"/>
      <c r="N264" s="157"/>
      <c r="O264" s="157"/>
      <c r="P264" s="157"/>
      <c r="Q264" s="157"/>
    </row>
    <row r="265" spans="1:17">
      <c r="A265" s="54"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165"/>
      <c r="C265" s="151"/>
      <c r="D265" s="151"/>
      <c r="E265" s="151"/>
      <c r="F265" s="152" t="s">
        <v>403</v>
      </c>
      <c r="G265" s="196" t="s">
        <v>565</v>
      </c>
      <c r="H265" s="152"/>
      <c r="I265" s="152"/>
      <c r="J265" s="157"/>
      <c r="K265" s="157"/>
      <c r="L265" s="157"/>
      <c r="M265" s="157"/>
      <c r="N265" s="157"/>
      <c r="O265" s="157"/>
      <c r="P265" s="157"/>
      <c r="Q265" s="157"/>
    </row>
    <row r="266" spans="1:17" ht="22.5">
      <c r="A266" s="54"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165"/>
      <c r="C266" s="165"/>
      <c r="D266" s="151"/>
      <c r="E266" s="151"/>
      <c r="F266" s="152" t="s">
        <v>404</v>
      </c>
      <c r="G266" s="196" t="s">
        <v>565</v>
      </c>
      <c r="H266" s="152"/>
      <c r="I266" s="152"/>
      <c r="J266" s="157"/>
      <c r="K266" s="157"/>
      <c r="L266" s="157"/>
      <c r="M266" s="157"/>
      <c r="N266" s="157"/>
      <c r="O266" s="157"/>
      <c r="P266" s="157"/>
      <c r="Q266" s="157"/>
    </row>
    <row r="267" spans="1:17" ht="22.5">
      <c r="A267" s="54"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165"/>
      <c r="C267" s="165"/>
      <c r="D267" s="162"/>
      <c r="E267" s="151"/>
      <c r="F267" s="152" t="s">
        <v>405</v>
      </c>
      <c r="G267" s="196" t="s">
        <v>565</v>
      </c>
      <c r="H267" s="152"/>
      <c r="I267" s="152"/>
      <c r="J267" s="157"/>
      <c r="K267" s="157"/>
      <c r="L267" s="157"/>
      <c r="M267" s="157"/>
      <c r="N267" s="157"/>
      <c r="O267" s="157"/>
      <c r="P267" s="157"/>
      <c r="Q267" s="157"/>
    </row>
    <row r="268" spans="1:17" ht="22.5">
      <c r="A268" s="54"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165"/>
      <c r="C268" s="165"/>
      <c r="D268" s="162"/>
      <c r="E268" s="151"/>
      <c r="F268" s="152" t="s">
        <v>406</v>
      </c>
      <c r="G268" s="196" t="s">
        <v>565</v>
      </c>
      <c r="H268" s="152"/>
      <c r="I268" s="152"/>
      <c r="J268" s="157"/>
      <c r="K268" s="157"/>
      <c r="L268" s="157"/>
      <c r="M268" s="157"/>
      <c r="N268" s="157"/>
      <c r="O268" s="157"/>
      <c r="P268" s="157"/>
      <c r="Q268" s="157"/>
    </row>
    <row r="269" spans="1:17" ht="33.75">
      <c r="A269" s="54"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165"/>
      <c r="C269" s="165"/>
      <c r="D269" s="162"/>
      <c r="E269" s="160"/>
      <c r="F269" s="152" t="s">
        <v>407</v>
      </c>
      <c r="G269" s="196" t="s">
        <v>565</v>
      </c>
      <c r="H269" s="152"/>
      <c r="I269" s="152"/>
      <c r="J269" s="157"/>
      <c r="K269" s="157"/>
      <c r="L269" s="157"/>
      <c r="M269" s="157"/>
      <c r="N269" s="157"/>
      <c r="O269" s="157"/>
      <c r="P269" s="157"/>
      <c r="Q269" s="157"/>
    </row>
    <row r="270" spans="1:17" ht="22.5">
      <c r="A270" s="54"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165"/>
      <c r="C270" s="165"/>
      <c r="D270" s="162"/>
      <c r="E270" s="151" t="s">
        <v>226</v>
      </c>
      <c r="F270" s="152" t="s">
        <v>408</v>
      </c>
      <c r="G270" s="196" t="s">
        <v>565</v>
      </c>
      <c r="H270" s="152"/>
      <c r="I270" s="152"/>
      <c r="J270" s="157"/>
      <c r="K270" s="157"/>
      <c r="L270" s="157"/>
      <c r="M270" s="157"/>
      <c r="N270" s="157"/>
      <c r="O270" s="157"/>
      <c r="P270" s="157"/>
      <c r="Q270" s="157"/>
    </row>
    <row r="271" spans="1:17" ht="33.75">
      <c r="A271" s="54"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165"/>
      <c r="C271" s="165"/>
      <c r="D271" s="162"/>
      <c r="E271" s="151"/>
      <c r="F271" s="152" t="s">
        <v>409</v>
      </c>
      <c r="G271" s="196" t="s">
        <v>565</v>
      </c>
      <c r="H271" s="152"/>
      <c r="I271" s="152"/>
      <c r="J271" s="157"/>
      <c r="K271" s="157"/>
      <c r="L271" s="157"/>
      <c r="M271" s="157"/>
      <c r="N271" s="157"/>
      <c r="O271" s="157"/>
      <c r="P271" s="157"/>
      <c r="Q271" s="157"/>
    </row>
    <row r="272" spans="1:17" ht="45">
      <c r="A272" s="54"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165"/>
      <c r="C272" s="165"/>
      <c r="D272" s="162"/>
      <c r="E272" s="151"/>
      <c r="F272" s="152" t="s">
        <v>410</v>
      </c>
      <c r="G272" s="196" t="s">
        <v>565</v>
      </c>
      <c r="H272" s="152"/>
      <c r="I272" s="152"/>
      <c r="J272" s="157"/>
      <c r="K272" s="157"/>
      <c r="L272" s="157"/>
      <c r="M272" s="157"/>
      <c r="N272" s="157"/>
      <c r="O272" s="157"/>
      <c r="P272" s="157"/>
      <c r="Q272" s="157"/>
    </row>
    <row r="273" spans="1:17" ht="45">
      <c r="A273" s="54"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165"/>
      <c r="C273" s="165"/>
      <c r="D273" s="162"/>
      <c r="E273" s="151"/>
      <c r="F273" s="152" t="s">
        <v>411</v>
      </c>
      <c r="G273" s="196" t="s">
        <v>565</v>
      </c>
      <c r="H273" s="152"/>
      <c r="I273" s="152"/>
      <c r="J273" s="157"/>
      <c r="K273" s="157"/>
      <c r="L273" s="157"/>
      <c r="M273" s="157"/>
      <c r="N273" s="157"/>
      <c r="O273" s="157"/>
      <c r="P273" s="157"/>
      <c r="Q273" s="157"/>
    </row>
    <row r="274" spans="1:17" ht="22.5">
      <c r="A274" s="54"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165"/>
      <c r="C274" s="165"/>
      <c r="D274" s="162"/>
      <c r="E274" s="151"/>
      <c r="F274" s="152" t="s">
        <v>412</v>
      </c>
      <c r="G274" s="196" t="s">
        <v>565</v>
      </c>
      <c r="H274" s="152"/>
      <c r="I274" s="152"/>
      <c r="J274" s="157"/>
      <c r="K274" s="157"/>
      <c r="L274" s="157"/>
      <c r="M274" s="157"/>
      <c r="N274" s="157"/>
      <c r="O274" s="157"/>
      <c r="P274" s="157"/>
      <c r="Q274" s="157"/>
    </row>
    <row r="275" spans="1:17" ht="45">
      <c r="A275" s="54"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165"/>
      <c r="C275" s="165"/>
      <c r="D275" s="162"/>
      <c r="E275" s="151"/>
      <c r="F275" s="152" t="s">
        <v>413</v>
      </c>
      <c r="G275" s="196" t="s">
        <v>565</v>
      </c>
      <c r="H275" s="152"/>
      <c r="I275" s="152"/>
      <c r="J275" s="157"/>
      <c r="K275" s="157"/>
      <c r="L275" s="157"/>
      <c r="M275" s="157"/>
      <c r="N275" s="157"/>
      <c r="O275" s="157"/>
      <c r="P275" s="157"/>
      <c r="Q275" s="157"/>
    </row>
    <row r="276" spans="1:17" ht="45">
      <c r="A276" s="54"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165"/>
      <c r="C276" s="165"/>
      <c r="D276" s="162"/>
      <c r="E276" s="151"/>
      <c r="F276" s="152" t="s">
        <v>414</v>
      </c>
      <c r="G276" s="196" t="s">
        <v>565</v>
      </c>
      <c r="H276" s="152"/>
      <c r="I276" s="152"/>
      <c r="J276" s="157"/>
      <c r="K276" s="157"/>
      <c r="L276" s="157"/>
      <c r="M276" s="157"/>
      <c r="N276" s="157"/>
      <c r="O276" s="157"/>
      <c r="P276" s="157"/>
      <c r="Q276" s="157"/>
    </row>
    <row r="277" spans="1:17" ht="22.5">
      <c r="A277" s="54"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165"/>
      <c r="C277" s="165"/>
      <c r="D277" s="162"/>
      <c r="E277" s="160"/>
      <c r="F277" s="152" t="s">
        <v>415</v>
      </c>
      <c r="G277" s="196" t="s">
        <v>565</v>
      </c>
      <c r="H277" s="152"/>
      <c r="I277" s="152"/>
      <c r="J277" s="157"/>
      <c r="K277" s="157"/>
      <c r="L277" s="157"/>
      <c r="M277" s="157"/>
      <c r="N277" s="157"/>
      <c r="O277" s="157"/>
      <c r="P277" s="157"/>
      <c r="Q277" s="157"/>
    </row>
    <row r="278" spans="1:17" ht="22.5">
      <c r="A278" s="54"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188"/>
      <c r="C278" s="188"/>
      <c r="D278" s="159"/>
      <c r="E278" s="160" t="s">
        <v>260</v>
      </c>
      <c r="F278" s="152" t="s">
        <v>416</v>
      </c>
      <c r="G278" s="196" t="s">
        <v>565</v>
      </c>
      <c r="H278" s="152"/>
      <c r="I278" s="152"/>
      <c r="J278" s="157"/>
      <c r="K278" s="157"/>
      <c r="L278" s="157"/>
      <c r="M278" s="157"/>
      <c r="N278" s="157"/>
      <c r="O278" s="157"/>
      <c r="P278" s="157"/>
      <c r="Q278" s="157"/>
    </row>
    <row r="279" spans="1:17" ht="22.5">
      <c r="A279" s="54"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129" t="s">
        <v>417</v>
      </c>
      <c r="C279" s="96" t="s">
        <v>418</v>
      </c>
      <c r="D279" s="96" t="s">
        <v>75</v>
      </c>
      <c r="E279" s="96" t="s">
        <v>75</v>
      </c>
      <c r="F279" s="95" t="s">
        <v>419</v>
      </c>
      <c r="G279" s="95"/>
      <c r="H279" s="95"/>
      <c r="I279" s="95"/>
      <c r="J279" s="34"/>
      <c r="K279" s="34"/>
      <c r="L279" s="32"/>
      <c r="M279" s="34"/>
      <c r="N279" s="34"/>
      <c r="O279" s="34"/>
      <c r="P279" s="34"/>
      <c r="Q279" s="34"/>
    </row>
    <row r="280" spans="1:17" ht="22.5">
      <c r="A280" s="54"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130"/>
      <c r="C280" s="135"/>
      <c r="D280" s="108"/>
      <c r="E280" s="108"/>
      <c r="F280" s="95" t="s">
        <v>420</v>
      </c>
      <c r="G280" s="95"/>
      <c r="H280" s="95"/>
      <c r="I280" s="95"/>
      <c r="J280" s="34"/>
      <c r="K280" s="34"/>
      <c r="L280" s="32"/>
      <c r="M280" s="34"/>
      <c r="N280" s="34"/>
      <c r="O280" s="34"/>
      <c r="P280" s="34"/>
      <c r="Q280" s="34"/>
    </row>
    <row r="281" spans="1:17" ht="22.5">
      <c r="A281" s="54"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130"/>
      <c r="C281" s="135"/>
      <c r="D281" s="108"/>
      <c r="E281" s="108"/>
      <c r="F281" s="95" t="s">
        <v>421</v>
      </c>
      <c r="G281" s="95"/>
      <c r="H281" s="95"/>
      <c r="I281" s="95"/>
      <c r="J281" s="34"/>
      <c r="K281" s="34"/>
      <c r="L281" s="32"/>
      <c r="M281" s="34"/>
      <c r="N281" s="34"/>
      <c r="O281" s="34"/>
      <c r="P281" s="34"/>
      <c r="Q281" s="34"/>
    </row>
    <row r="282" spans="1:17" ht="22.5">
      <c r="A282" s="54"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130"/>
      <c r="C282" s="145"/>
      <c r="D282" s="132"/>
      <c r="E282" s="132"/>
      <c r="F282" s="95" t="s">
        <v>422</v>
      </c>
      <c r="G282" s="95"/>
      <c r="H282" s="95"/>
      <c r="I282" s="95"/>
      <c r="J282" s="34"/>
      <c r="K282" s="34"/>
      <c r="L282" s="32"/>
      <c r="M282" s="34"/>
      <c r="N282" s="34"/>
      <c r="O282" s="34"/>
      <c r="P282" s="34"/>
      <c r="Q282" s="34"/>
    </row>
    <row r="283" spans="1:17" ht="22.5">
      <c r="A283" s="54"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130"/>
      <c r="C283" s="108" t="s">
        <v>423</v>
      </c>
      <c r="D283" s="108" t="s">
        <v>235</v>
      </c>
      <c r="E283" s="95" t="s">
        <v>253</v>
      </c>
      <c r="F283" s="95" t="s">
        <v>424</v>
      </c>
      <c r="G283" s="95"/>
      <c r="H283" s="95"/>
      <c r="I283" s="95"/>
      <c r="J283" s="34"/>
      <c r="K283" s="34"/>
      <c r="L283" s="32"/>
      <c r="M283" s="34"/>
      <c r="N283" s="34"/>
      <c r="O283" s="34"/>
      <c r="P283" s="34"/>
      <c r="Q283" s="34"/>
    </row>
    <row r="284" spans="1:17" ht="22.5">
      <c r="A284" s="54"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130"/>
      <c r="C284" s="135"/>
      <c r="D284" s="108"/>
      <c r="E284" s="132" t="s">
        <v>255</v>
      </c>
      <c r="F284" s="95" t="s">
        <v>425</v>
      </c>
      <c r="G284" s="95"/>
      <c r="H284" s="95"/>
      <c r="I284" s="95"/>
      <c r="J284" s="34"/>
      <c r="K284" s="34"/>
      <c r="L284" s="32"/>
      <c r="M284" s="34"/>
      <c r="N284" s="34"/>
      <c r="O284" s="34"/>
      <c r="P284" s="34"/>
      <c r="Q284" s="34"/>
    </row>
    <row r="285" spans="1:17" ht="22.5">
      <c r="A285" s="54"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130"/>
      <c r="C285" s="135"/>
      <c r="D285" s="108"/>
      <c r="E285" s="95" t="s">
        <v>257</v>
      </c>
      <c r="F285" s="95" t="s">
        <v>426</v>
      </c>
      <c r="G285" s="95"/>
      <c r="H285" s="95"/>
      <c r="I285" s="95"/>
      <c r="J285" s="34"/>
      <c r="K285" s="34"/>
      <c r="L285" s="32"/>
      <c r="M285" s="34"/>
      <c r="N285" s="34"/>
      <c r="O285" s="34"/>
      <c r="P285" s="34"/>
      <c r="Q285" s="34"/>
    </row>
    <row r="286" spans="1:17" ht="22.5">
      <c r="A286" s="54"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130"/>
      <c r="C286" s="135"/>
      <c r="D286" s="132"/>
      <c r="E286" s="132" t="s">
        <v>173</v>
      </c>
      <c r="F286" s="95" t="s">
        <v>427</v>
      </c>
      <c r="G286" s="95"/>
      <c r="H286" s="95"/>
      <c r="I286" s="95"/>
      <c r="J286" s="34"/>
      <c r="K286" s="34"/>
      <c r="L286" s="32"/>
      <c r="M286" s="34"/>
      <c r="N286" s="34"/>
      <c r="O286" s="34"/>
      <c r="P286" s="34"/>
      <c r="Q286" s="34"/>
    </row>
    <row r="287" spans="1:17" ht="22.5">
      <c r="A287" s="54"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130"/>
      <c r="C287" s="130"/>
      <c r="D287" s="108" t="s">
        <v>428</v>
      </c>
      <c r="E287" s="108" t="s">
        <v>429</v>
      </c>
      <c r="F287" s="95" t="s">
        <v>430</v>
      </c>
      <c r="G287" s="95"/>
      <c r="H287" s="95"/>
      <c r="I287" s="95"/>
      <c r="J287" s="34"/>
      <c r="K287" s="34"/>
      <c r="L287" s="32"/>
      <c r="M287" s="34"/>
      <c r="N287" s="34"/>
      <c r="O287" s="34"/>
      <c r="P287" s="34"/>
      <c r="Q287" s="34"/>
    </row>
    <row r="288" spans="1:17" ht="22.5">
      <c r="A288" s="54"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130"/>
      <c r="C288" s="130"/>
      <c r="D288" s="133"/>
      <c r="E288" s="108"/>
      <c r="F288" s="95" t="s">
        <v>431</v>
      </c>
      <c r="G288" s="95"/>
      <c r="H288" s="95"/>
      <c r="I288" s="95"/>
      <c r="J288" s="34"/>
      <c r="K288" s="34"/>
      <c r="L288" s="32"/>
      <c r="M288" s="34"/>
      <c r="N288" s="34"/>
      <c r="O288" s="34"/>
      <c r="P288" s="34"/>
      <c r="Q288" s="34"/>
    </row>
    <row r="289" spans="1:17" ht="33.75">
      <c r="A289" s="54"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130"/>
      <c r="C289" s="130"/>
      <c r="D289" s="133"/>
      <c r="E289" s="108"/>
      <c r="F289" s="95" t="s">
        <v>432</v>
      </c>
      <c r="G289" s="95"/>
      <c r="H289" s="95"/>
      <c r="I289" s="95"/>
      <c r="J289" s="34"/>
      <c r="K289" s="34"/>
      <c r="L289" s="32"/>
      <c r="M289" s="34"/>
      <c r="N289" s="34"/>
      <c r="O289" s="34"/>
      <c r="P289" s="34"/>
      <c r="Q289" s="34"/>
    </row>
    <row r="290" spans="1:17" ht="33.75">
      <c r="A290" s="54"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130"/>
      <c r="C290" s="130"/>
      <c r="D290" s="133"/>
      <c r="E290" s="108"/>
      <c r="F290" s="95" t="s">
        <v>273</v>
      </c>
      <c r="G290" s="95"/>
      <c r="H290" s="95"/>
      <c r="I290" s="95"/>
      <c r="J290" s="34"/>
      <c r="K290" s="34"/>
      <c r="L290" s="32"/>
      <c r="M290" s="34"/>
      <c r="N290" s="34"/>
      <c r="O290" s="34"/>
      <c r="P290" s="34"/>
      <c r="Q290" s="34"/>
    </row>
    <row r="291" spans="1:17" ht="33.75">
      <c r="A291" s="54"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130"/>
      <c r="C291" s="130"/>
      <c r="D291" s="133"/>
      <c r="E291" s="108"/>
      <c r="F291" s="95" t="s">
        <v>274</v>
      </c>
      <c r="G291" s="95"/>
      <c r="H291" s="95"/>
      <c r="I291" s="95"/>
      <c r="J291" s="34"/>
      <c r="K291" s="34"/>
      <c r="L291" s="32"/>
      <c r="M291" s="34"/>
      <c r="N291" s="34"/>
      <c r="O291" s="34"/>
      <c r="P291" s="34"/>
      <c r="Q291" s="34"/>
    </row>
    <row r="292" spans="1:17" ht="33.75">
      <c r="A292" s="54"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130"/>
      <c r="C292" s="130"/>
      <c r="D292" s="133"/>
      <c r="E292" s="108"/>
      <c r="F292" s="95" t="s">
        <v>275</v>
      </c>
      <c r="G292" s="95"/>
      <c r="H292" s="95"/>
      <c r="I292" s="95"/>
      <c r="J292" s="34"/>
      <c r="K292" s="34"/>
      <c r="L292" s="32"/>
      <c r="M292" s="34"/>
      <c r="N292" s="34"/>
      <c r="O292" s="34"/>
      <c r="P292" s="34"/>
      <c r="Q292" s="34"/>
    </row>
    <row r="293" spans="1:17" ht="33.75">
      <c r="A293" s="54"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130"/>
      <c r="C293" s="130"/>
      <c r="D293" s="133"/>
      <c r="E293" s="108"/>
      <c r="F293" s="95" t="s">
        <v>433</v>
      </c>
      <c r="G293" s="95"/>
      <c r="H293" s="95"/>
      <c r="I293" s="95"/>
      <c r="J293" s="34"/>
      <c r="K293" s="34"/>
      <c r="L293" s="32"/>
      <c r="M293" s="34"/>
      <c r="N293" s="34"/>
      <c r="O293" s="34"/>
      <c r="P293" s="34"/>
      <c r="Q293" s="34"/>
    </row>
    <row r="294" spans="1:17" ht="22.5">
      <c r="A294" s="54"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130"/>
      <c r="C294" s="130"/>
      <c r="D294" s="133"/>
      <c r="E294" s="108"/>
      <c r="F294" s="95" t="s">
        <v>434</v>
      </c>
      <c r="G294" s="95"/>
      <c r="H294" s="95"/>
      <c r="I294" s="95"/>
      <c r="J294" s="34"/>
      <c r="K294" s="34"/>
      <c r="L294" s="32"/>
      <c r="M294" s="34"/>
      <c r="N294" s="34"/>
      <c r="O294" s="34"/>
      <c r="P294" s="34"/>
      <c r="Q294" s="34"/>
    </row>
    <row r="295" spans="1:17" ht="22.5">
      <c r="A295" s="54"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137"/>
      <c r="C295" s="137"/>
      <c r="D295" s="131"/>
      <c r="E295" s="132"/>
      <c r="F295" s="95" t="s">
        <v>435</v>
      </c>
      <c r="G295" s="95"/>
      <c r="H295" s="95"/>
      <c r="I295" s="95"/>
      <c r="J295" s="34"/>
      <c r="K295" s="34"/>
      <c r="L295" s="32"/>
      <c r="M295" s="34"/>
      <c r="N295" s="34"/>
      <c r="O295" s="34"/>
      <c r="P295" s="34"/>
      <c r="Q295" s="34"/>
    </row>
  </sheetData>
  <autoFilter ref="A10:Q10" xr:uid="{00000000-0001-0000-0200-000000000000}"/>
  <mergeCells count="2">
    <mergeCell ref="B112:B113"/>
    <mergeCell ref="B132:B133"/>
  </mergeCells>
  <phoneticPr fontId="2"/>
  <dataValidations count="1">
    <dataValidation type="list" allowBlank="1" showInputMessage="1" showErrorMessage="1" sqref="O11:O295" xr:uid="{D8650AAA-B56D-482C-9D04-14FF2B2F5F94}">
      <formula1>"OK,NG"</formula1>
    </dataValidation>
  </dataValidations>
  <printOptions horizontalCentered="1"/>
  <pageMargins left="0.39370078740157483" right="0.39370078740157483" top="0.39370078740157483" bottom="0.39370078740157483" header="0.19685039370078741" footer="0.19685039370078741"/>
  <pageSetup paperSize="9" scale="56" fitToHeight="0" orientation="landscape" verticalDpi="300" r:id="rId1"/>
  <headerFooter alignWithMargins="0">
    <oddFooter>&amp;C&amp;"ＭＳ 明朝,標準"&amp;9- &amp;P -</oddFooter>
  </headerFooter>
  <rowBreaks count="8" manualBreakCount="8">
    <brk id="41" max="17" man="1"/>
    <brk id="77" max="17" man="1"/>
    <brk id="110" max="17" man="1"/>
    <brk id="148" max="17" man="1"/>
    <brk id="182" max="17" man="1"/>
    <brk id="209" max="17" man="1"/>
    <brk id="242" max="17" man="1"/>
    <brk id="278" max="17"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1E866-7322-438E-A463-E03DD268E7D2}">
  <sheetPr>
    <pageSetUpPr fitToPage="1"/>
  </sheetPr>
  <dimension ref="A1:Q382"/>
  <sheetViews>
    <sheetView showGridLines="0" view="pageBreakPreview" zoomScaleNormal="100" zoomScaleSheetLayoutView="100" workbookViewId="0">
      <pane ySplit="10" topLeftCell="A11" activePane="bottomLeft" state="frozen"/>
      <selection pane="bottomLeft"/>
    </sheetView>
  </sheetViews>
  <sheetFormatPr defaultColWidth="9" defaultRowHeight="11.25" outlineLevelCol="1"/>
  <cols>
    <col min="1" max="2" width="8.625" style="25" customWidth="1"/>
    <col min="3" max="3" width="8.625" style="26" customWidth="1"/>
    <col min="4" max="5" width="8.625" style="25" customWidth="1"/>
    <col min="6" max="6" width="40.625" style="25" customWidth="1"/>
    <col min="7" max="7" width="28.125" style="25" hidden="1" customWidth="1" outlineLevel="1"/>
    <col min="8" max="8" width="16.375" style="25" customWidth="1" collapsed="1"/>
    <col min="9" max="9" width="16.375" style="25" customWidth="1"/>
    <col min="10" max="11" width="25.625" style="25" customWidth="1"/>
    <col min="12" max="12" width="12.625" style="25" customWidth="1"/>
    <col min="13" max="17" width="8.625" style="25" customWidth="1"/>
    <col min="18" max="16384" width="9" style="25"/>
  </cols>
  <sheetData>
    <row r="1" spans="1:17">
      <c r="A1" s="25" t="s">
        <v>549</v>
      </c>
    </row>
    <row r="2" spans="1:17">
      <c r="A2" s="25" t="s">
        <v>4</v>
      </c>
    </row>
    <row r="4" spans="1:17">
      <c r="A4" s="25" t="s">
        <v>552</v>
      </c>
    </row>
    <row r="5" spans="1:17">
      <c r="A5" s="25" t="s">
        <v>15</v>
      </c>
    </row>
    <row r="6" spans="1:17">
      <c r="A6" s="25" t="s">
        <v>16</v>
      </c>
      <c r="N6" s="25" t="s">
        <v>18</v>
      </c>
      <c r="P6" s="25" t="s">
        <v>0</v>
      </c>
    </row>
    <row r="7" spans="1:17">
      <c r="A7" s="25" t="s">
        <v>17</v>
      </c>
      <c r="N7" s="25" t="s">
        <v>19</v>
      </c>
      <c r="P7" s="25" t="s">
        <v>1</v>
      </c>
    </row>
    <row r="8" spans="1:17" ht="12" thickBot="1">
      <c r="A8" s="27" t="s">
        <v>592</v>
      </c>
      <c r="B8" s="27"/>
      <c r="C8" s="28"/>
      <c r="D8" s="27"/>
      <c r="E8" s="27"/>
      <c r="F8" s="27"/>
      <c r="G8" s="27"/>
      <c r="H8" s="27"/>
      <c r="I8" s="27"/>
      <c r="J8" s="27"/>
      <c r="K8" s="27"/>
      <c r="L8" s="27"/>
      <c r="M8" s="27"/>
      <c r="N8" s="27"/>
      <c r="O8" s="27"/>
      <c r="P8" s="27"/>
      <c r="Q8" s="27"/>
    </row>
    <row r="9" spans="1:17" ht="12" customHeight="1" thickTop="1"/>
    <row r="10" spans="1:17" s="31" customFormat="1">
      <c r="A10" s="47" t="s">
        <v>22</v>
      </c>
      <c r="B10" s="48" t="s">
        <v>59</v>
      </c>
      <c r="C10" s="48" t="s">
        <v>60</v>
      </c>
      <c r="D10" s="48" t="s">
        <v>61</v>
      </c>
      <c r="E10" s="48" t="s">
        <v>62</v>
      </c>
      <c r="F10" s="48" t="s">
        <v>63</v>
      </c>
      <c r="G10" s="48" t="s">
        <v>64</v>
      </c>
      <c r="H10" s="48" t="s">
        <v>65</v>
      </c>
      <c r="I10" s="48" t="s">
        <v>66</v>
      </c>
      <c r="J10" s="49" t="s">
        <v>2</v>
      </c>
      <c r="K10" s="50" t="s">
        <v>3</v>
      </c>
      <c r="L10" s="51" t="s">
        <v>591</v>
      </c>
      <c r="M10" s="52" t="s">
        <v>5</v>
      </c>
      <c r="N10" s="52" t="s">
        <v>14</v>
      </c>
      <c r="O10" s="52" t="s">
        <v>6</v>
      </c>
      <c r="P10" s="52" t="s">
        <v>7</v>
      </c>
      <c r="Q10" s="53" t="s">
        <v>8</v>
      </c>
    </row>
    <row r="11" spans="1:17" ht="22.5">
      <c r="A11" s="54"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87" t="s">
        <v>67</v>
      </c>
      <c r="C11" s="150" t="s">
        <v>68</v>
      </c>
      <c r="D11" s="151" t="s">
        <v>69</v>
      </c>
      <c r="E11" s="150" t="s">
        <v>70</v>
      </c>
      <c r="F11" s="150" t="s">
        <v>71</v>
      </c>
      <c r="G11" s="237" t="s">
        <v>581</v>
      </c>
      <c r="H11" s="153"/>
      <c r="I11" s="153"/>
      <c r="J11" s="153"/>
      <c r="K11" s="153"/>
      <c r="L11" s="154"/>
      <c r="M11" s="155"/>
      <c r="N11" s="156"/>
      <c r="O11" s="156"/>
      <c r="P11" s="155"/>
      <c r="Q11" s="157"/>
    </row>
    <row r="12" spans="1:17" ht="22.5">
      <c r="A12" s="54"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58"/>
      <c r="C12" s="158"/>
      <c r="D12" s="151"/>
      <c r="E12" s="150" t="s">
        <v>72</v>
      </c>
      <c r="F12" s="150" t="s">
        <v>73</v>
      </c>
      <c r="G12" s="237" t="s">
        <v>581</v>
      </c>
      <c r="H12" s="153"/>
      <c r="I12" s="153"/>
      <c r="J12" s="153"/>
      <c r="K12" s="153"/>
      <c r="L12" s="154"/>
      <c r="M12" s="155"/>
      <c r="N12" s="156"/>
      <c r="O12" s="156"/>
      <c r="P12" s="155"/>
      <c r="Q12" s="157"/>
    </row>
    <row r="13" spans="1:17" s="31" customFormat="1" ht="33.75">
      <c r="A13" s="54"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58"/>
      <c r="C13" s="158"/>
      <c r="D13" s="150" t="s">
        <v>74</v>
      </c>
      <c r="E13" s="150" t="s">
        <v>75</v>
      </c>
      <c r="F13" s="150" t="s">
        <v>76</v>
      </c>
      <c r="G13" s="237" t="s">
        <v>581</v>
      </c>
      <c r="H13" s="153"/>
      <c r="I13" s="153"/>
      <c r="J13" s="153"/>
      <c r="K13" s="153"/>
      <c r="L13" s="154"/>
      <c r="M13" s="157"/>
      <c r="N13" s="156"/>
      <c r="O13" s="157"/>
      <c r="P13" s="156"/>
      <c r="Q13" s="155"/>
    </row>
    <row r="14" spans="1:17" s="31" customFormat="1" ht="22.5">
      <c r="A14" s="54"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58"/>
      <c r="C14" s="158"/>
      <c r="D14" s="151"/>
      <c r="E14" s="151"/>
      <c r="F14" s="150" t="s">
        <v>77</v>
      </c>
      <c r="G14" s="237" t="s">
        <v>581</v>
      </c>
      <c r="H14" s="153"/>
      <c r="I14" s="153"/>
      <c r="J14" s="153"/>
      <c r="K14" s="153"/>
      <c r="L14" s="154"/>
      <c r="M14" s="157"/>
      <c r="N14" s="156"/>
      <c r="O14" s="157"/>
      <c r="P14" s="156"/>
      <c r="Q14" s="155"/>
    </row>
    <row r="15" spans="1:17" s="31" customFormat="1" ht="22.5">
      <c r="A15" s="54"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58"/>
      <c r="C15" s="158"/>
      <c r="D15" s="151"/>
      <c r="E15" s="151"/>
      <c r="F15" s="152" t="s">
        <v>78</v>
      </c>
      <c r="G15" s="237" t="s">
        <v>581</v>
      </c>
      <c r="H15" s="153"/>
      <c r="I15" s="152"/>
      <c r="J15" s="153"/>
      <c r="K15" s="153"/>
      <c r="L15" s="154"/>
      <c r="M15" s="155"/>
      <c r="N15" s="155"/>
      <c r="O15" s="157"/>
      <c r="P15" s="156"/>
      <c r="Q15" s="155"/>
    </row>
    <row r="16" spans="1:17" s="31" customFormat="1" ht="22.5">
      <c r="A16" s="54"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58"/>
      <c r="C16" s="158"/>
      <c r="D16" s="151"/>
      <c r="E16" s="151"/>
      <c r="F16" s="152" t="s">
        <v>79</v>
      </c>
      <c r="G16" s="237" t="s">
        <v>581</v>
      </c>
      <c r="H16" s="153"/>
      <c r="I16" s="152"/>
      <c r="J16" s="153"/>
      <c r="K16" s="153"/>
      <c r="L16" s="154"/>
      <c r="M16" s="155"/>
      <c r="N16" s="157"/>
      <c r="O16" s="156"/>
      <c r="P16" s="155"/>
      <c r="Q16" s="157"/>
    </row>
    <row r="17" spans="1:17" s="31" customFormat="1" ht="33.75">
      <c r="A17" s="54"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58"/>
      <c r="C17" s="158"/>
      <c r="D17" s="159"/>
      <c r="E17" s="160"/>
      <c r="F17" s="152" t="s">
        <v>80</v>
      </c>
      <c r="G17" s="237" t="s">
        <v>581</v>
      </c>
      <c r="H17" s="153"/>
      <c r="I17" s="152"/>
      <c r="J17" s="153"/>
      <c r="K17" s="161"/>
      <c r="L17" s="154"/>
      <c r="M17" s="155"/>
      <c r="N17" s="157"/>
      <c r="O17" s="156"/>
      <c r="P17" s="155"/>
      <c r="Q17" s="157"/>
    </row>
    <row r="18" spans="1:17" ht="22.5">
      <c r="A18" s="54"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58"/>
      <c r="C18" s="158"/>
      <c r="D18" s="162" t="s">
        <v>81</v>
      </c>
      <c r="E18" s="151" t="s">
        <v>82</v>
      </c>
      <c r="F18" s="150" t="s">
        <v>83</v>
      </c>
      <c r="G18" s="237" t="s">
        <v>581</v>
      </c>
      <c r="H18" s="153"/>
      <c r="I18" s="153"/>
      <c r="J18" s="153"/>
      <c r="K18" s="153"/>
      <c r="L18" s="154"/>
      <c r="M18" s="155"/>
      <c r="N18" s="157"/>
      <c r="O18" s="156"/>
      <c r="P18" s="155"/>
      <c r="Q18" s="157"/>
    </row>
    <row r="19" spans="1:17" ht="22.5">
      <c r="A19" s="54"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58"/>
      <c r="C19" s="158"/>
      <c r="D19" s="162"/>
      <c r="E19" s="151"/>
      <c r="F19" s="150" t="s">
        <v>84</v>
      </c>
      <c r="G19" s="237" t="s">
        <v>581</v>
      </c>
      <c r="H19" s="153"/>
      <c r="I19" s="153"/>
      <c r="J19" s="153"/>
      <c r="K19" s="153"/>
      <c r="L19" s="154"/>
      <c r="M19" s="155"/>
      <c r="N19" s="157"/>
      <c r="O19" s="156"/>
      <c r="P19" s="155"/>
      <c r="Q19" s="157"/>
    </row>
    <row r="20" spans="1:17" ht="22.5">
      <c r="A20" s="54"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58"/>
      <c r="C20" s="158"/>
      <c r="D20" s="162"/>
      <c r="E20" s="160"/>
      <c r="F20" s="152" t="s">
        <v>85</v>
      </c>
      <c r="G20" s="237" t="s">
        <v>581</v>
      </c>
      <c r="H20" s="153"/>
      <c r="I20" s="152"/>
      <c r="J20" s="153"/>
      <c r="K20" s="153"/>
      <c r="L20" s="154"/>
      <c r="M20" s="155"/>
      <c r="N20" s="157"/>
      <c r="O20" s="156"/>
      <c r="P20" s="155"/>
      <c r="Q20" s="157"/>
    </row>
    <row r="21" spans="1:17" ht="22.5">
      <c r="A21" s="54"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58"/>
      <c r="C21" s="158"/>
      <c r="D21" s="162"/>
      <c r="E21" s="151" t="s">
        <v>86</v>
      </c>
      <c r="F21" s="150" t="s">
        <v>87</v>
      </c>
      <c r="G21" s="237" t="s">
        <v>581</v>
      </c>
      <c r="H21" s="153"/>
      <c r="I21" s="153"/>
      <c r="J21" s="153"/>
      <c r="K21" s="153"/>
      <c r="L21" s="154"/>
      <c r="M21" s="157"/>
      <c r="N21" s="156"/>
      <c r="O21" s="157"/>
      <c r="P21" s="155"/>
      <c r="Q21" s="157"/>
    </row>
    <row r="22" spans="1:17" ht="22.5">
      <c r="A22" s="54"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58"/>
      <c r="C22" s="158"/>
      <c r="D22" s="162"/>
      <c r="E22" s="151"/>
      <c r="F22" s="150" t="s">
        <v>88</v>
      </c>
      <c r="G22" s="237" t="s">
        <v>581</v>
      </c>
      <c r="H22" s="153"/>
      <c r="I22" s="153"/>
      <c r="J22" s="153"/>
      <c r="K22" s="153"/>
      <c r="L22" s="154"/>
      <c r="M22" s="157"/>
      <c r="N22" s="156"/>
      <c r="O22" s="157"/>
      <c r="P22" s="155"/>
      <c r="Q22" s="157"/>
    </row>
    <row r="23" spans="1:17" ht="22.5">
      <c r="A23" s="54"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58"/>
      <c r="C23" s="158"/>
      <c r="D23" s="162"/>
      <c r="E23" s="151"/>
      <c r="F23" s="150" t="s">
        <v>89</v>
      </c>
      <c r="G23" s="237" t="s">
        <v>581</v>
      </c>
      <c r="H23" s="153"/>
      <c r="I23" s="153"/>
      <c r="J23" s="153"/>
      <c r="K23" s="153"/>
      <c r="L23" s="154"/>
      <c r="M23" s="157"/>
      <c r="N23" s="156"/>
      <c r="O23" s="157"/>
      <c r="P23" s="155"/>
      <c r="Q23" s="157"/>
    </row>
    <row r="24" spans="1:17" ht="22.5">
      <c r="A24" s="54"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58"/>
      <c r="C24" s="158"/>
      <c r="D24" s="159"/>
      <c r="E24" s="160"/>
      <c r="F24" s="150" t="s">
        <v>90</v>
      </c>
      <c r="G24" s="237" t="s">
        <v>581</v>
      </c>
      <c r="H24" s="153"/>
      <c r="I24" s="153"/>
      <c r="J24" s="153"/>
      <c r="K24" s="153"/>
      <c r="L24" s="154"/>
      <c r="M24" s="157"/>
      <c r="N24" s="156"/>
      <c r="O24" s="157"/>
      <c r="P24" s="155"/>
      <c r="Q24" s="157"/>
    </row>
    <row r="25" spans="1:17" s="31" customFormat="1" ht="22.5">
      <c r="A25" s="54"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58"/>
      <c r="C25" s="158"/>
      <c r="D25" s="162" t="s">
        <v>91</v>
      </c>
      <c r="E25" s="162" t="s">
        <v>75</v>
      </c>
      <c r="F25" s="150" t="s">
        <v>92</v>
      </c>
      <c r="G25" s="237" t="s">
        <v>581</v>
      </c>
      <c r="H25" s="153"/>
      <c r="I25" s="153"/>
      <c r="J25" s="153"/>
      <c r="K25" s="153"/>
      <c r="L25" s="154"/>
      <c r="M25" s="157"/>
      <c r="N25" s="156"/>
      <c r="O25" s="157"/>
      <c r="P25" s="156"/>
      <c r="Q25" s="155"/>
    </row>
    <row r="26" spans="1:17" s="31" customFormat="1">
      <c r="A26" s="54"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58"/>
      <c r="C26" s="158"/>
      <c r="D26" s="162"/>
      <c r="E26" s="151"/>
      <c r="F26" s="150" t="s">
        <v>93</v>
      </c>
      <c r="G26" s="237" t="s">
        <v>581</v>
      </c>
      <c r="H26" s="153"/>
      <c r="I26" s="153"/>
      <c r="J26" s="153"/>
      <c r="K26" s="153"/>
      <c r="L26" s="154"/>
      <c r="M26" s="155"/>
      <c r="N26" s="155"/>
      <c r="O26" s="157"/>
      <c r="P26" s="156"/>
      <c r="Q26" s="155"/>
    </row>
    <row r="27" spans="1:17" s="31" customFormat="1" ht="33.75">
      <c r="A27" s="54"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58"/>
      <c r="C27" s="158"/>
      <c r="D27" s="163" t="s">
        <v>94</v>
      </c>
      <c r="E27" s="150" t="s">
        <v>95</v>
      </c>
      <c r="F27" s="150" t="s">
        <v>96</v>
      </c>
      <c r="G27" s="237" t="s">
        <v>581</v>
      </c>
      <c r="H27" s="153"/>
      <c r="I27" s="153"/>
      <c r="J27" s="153"/>
      <c r="K27" s="153"/>
      <c r="L27" s="154"/>
      <c r="M27" s="157"/>
      <c r="N27" s="156"/>
      <c r="O27" s="157"/>
      <c r="P27" s="156"/>
      <c r="Q27" s="155"/>
    </row>
    <row r="28" spans="1:17" s="31" customFormat="1" ht="22.5">
      <c r="A28" s="54"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58"/>
      <c r="C28" s="158"/>
      <c r="D28" s="162"/>
      <c r="E28" s="151"/>
      <c r="F28" s="150" t="s">
        <v>97</v>
      </c>
      <c r="G28" s="237" t="s">
        <v>581</v>
      </c>
      <c r="H28" s="153"/>
      <c r="I28" s="153"/>
      <c r="J28" s="153"/>
      <c r="K28" s="153"/>
      <c r="L28" s="154"/>
      <c r="M28" s="155"/>
      <c r="N28" s="155"/>
      <c r="O28" s="157"/>
      <c r="P28" s="156"/>
      <c r="Q28" s="155"/>
    </row>
    <row r="29" spans="1:17" ht="22.5">
      <c r="A29" s="54"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58"/>
      <c r="C29" s="158"/>
      <c r="D29" s="151"/>
      <c r="E29" s="150" t="s">
        <v>98</v>
      </c>
      <c r="F29" s="150" t="s">
        <v>99</v>
      </c>
      <c r="G29" s="237" t="s">
        <v>581</v>
      </c>
      <c r="H29" s="153"/>
      <c r="I29" s="153"/>
      <c r="J29" s="153"/>
      <c r="K29" s="153"/>
      <c r="L29" s="154"/>
      <c r="M29" s="157"/>
      <c r="N29" s="156"/>
      <c r="O29" s="157"/>
      <c r="P29" s="157"/>
      <c r="Q29" s="157"/>
    </row>
    <row r="30" spans="1:17" ht="22.5">
      <c r="A30" s="54"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58"/>
      <c r="C30" s="158"/>
      <c r="D30" s="162"/>
      <c r="E30" s="151"/>
      <c r="F30" s="150" t="s">
        <v>100</v>
      </c>
      <c r="G30" s="237" t="s">
        <v>581</v>
      </c>
      <c r="H30" s="153"/>
      <c r="I30" s="153"/>
      <c r="J30" s="153"/>
      <c r="K30" s="153"/>
      <c r="L30" s="154"/>
      <c r="M30" s="157"/>
      <c r="N30" s="157"/>
      <c r="O30" s="157"/>
      <c r="P30" s="157"/>
      <c r="Q30" s="157"/>
    </row>
    <row r="31" spans="1:17" ht="22.5">
      <c r="A31" s="54"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58"/>
      <c r="C31" s="158"/>
      <c r="D31" s="162"/>
      <c r="E31" s="151"/>
      <c r="F31" s="150" t="s">
        <v>101</v>
      </c>
      <c r="G31" s="237" t="s">
        <v>581</v>
      </c>
      <c r="H31" s="153"/>
      <c r="I31" s="153"/>
      <c r="J31" s="153"/>
      <c r="K31" s="153"/>
      <c r="L31" s="154"/>
      <c r="M31" s="157"/>
      <c r="N31" s="156"/>
      <c r="O31" s="157"/>
      <c r="P31" s="157"/>
      <c r="Q31" s="157"/>
    </row>
    <row r="32" spans="1:17" ht="22.5">
      <c r="A32" s="54"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58"/>
      <c r="C32" s="158"/>
      <c r="D32" s="162"/>
      <c r="E32" s="151"/>
      <c r="F32" s="150" t="s">
        <v>102</v>
      </c>
      <c r="G32" s="237" t="s">
        <v>581</v>
      </c>
      <c r="H32" s="153"/>
      <c r="I32" s="153"/>
      <c r="J32" s="153"/>
      <c r="K32" s="153"/>
      <c r="L32" s="154"/>
      <c r="M32" s="157"/>
      <c r="N32" s="157"/>
      <c r="O32" s="157"/>
      <c r="P32" s="157"/>
      <c r="Q32" s="157"/>
    </row>
    <row r="33" spans="1:17" ht="22.5">
      <c r="A33" s="54"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58"/>
      <c r="C33" s="158"/>
      <c r="D33" s="162"/>
      <c r="E33" s="150" t="s">
        <v>103</v>
      </c>
      <c r="F33" s="152" t="s">
        <v>104</v>
      </c>
      <c r="G33" s="237" t="s">
        <v>581</v>
      </c>
      <c r="H33" s="153"/>
      <c r="I33" s="152"/>
      <c r="J33" s="153"/>
      <c r="K33" s="153"/>
      <c r="L33" s="154"/>
      <c r="M33" s="157"/>
      <c r="N33" s="157"/>
      <c r="O33" s="157"/>
      <c r="P33" s="157"/>
      <c r="Q33" s="157"/>
    </row>
    <row r="34" spans="1:17" ht="22.5">
      <c r="A34" s="54"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58"/>
      <c r="C34" s="158"/>
      <c r="D34" s="162"/>
      <c r="E34" s="160"/>
      <c r="F34" s="152" t="s">
        <v>105</v>
      </c>
      <c r="G34" s="237" t="s">
        <v>581</v>
      </c>
      <c r="H34" s="153"/>
      <c r="I34" s="152"/>
      <c r="J34" s="153"/>
      <c r="K34" s="153"/>
      <c r="L34" s="154"/>
      <c r="M34" s="157"/>
      <c r="N34" s="157"/>
      <c r="O34" s="157"/>
      <c r="P34" s="157"/>
      <c r="Q34" s="157"/>
    </row>
    <row r="35" spans="1:17" ht="45">
      <c r="A35" s="54"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58"/>
      <c r="C35" s="164"/>
      <c r="D35" s="151"/>
      <c r="E35" s="150" t="s">
        <v>106</v>
      </c>
      <c r="F35" s="150" t="s">
        <v>107</v>
      </c>
      <c r="G35" s="237" t="s">
        <v>582</v>
      </c>
      <c r="H35" s="152"/>
      <c r="I35" s="152"/>
      <c r="J35" s="152"/>
      <c r="K35" s="153"/>
      <c r="L35" s="154"/>
      <c r="M35" s="157"/>
      <c r="N35" s="156"/>
      <c r="O35" s="157"/>
      <c r="P35" s="157"/>
      <c r="Q35" s="157"/>
    </row>
    <row r="36" spans="1:17" ht="33.75">
      <c r="A36" s="54"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58"/>
      <c r="C36" s="163" t="s">
        <v>108</v>
      </c>
      <c r="D36" s="163" t="s">
        <v>36</v>
      </c>
      <c r="E36" s="150" t="s">
        <v>36</v>
      </c>
      <c r="F36" s="152" t="s">
        <v>109</v>
      </c>
      <c r="G36" s="238" t="s">
        <v>582</v>
      </c>
      <c r="H36" s="152"/>
      <c r="I36" s="152"/>
      <c r="J36" s="153"/>
      <c r="K36" s="197"/>
      <c r="L36" s="154"/>
      <c r="M36" s="157"/>
      <c r="N36" s="157"/>
      <c r="O36" s="157"/>
      <c r="P36" s="157"/>
      <c r="Q36" s="157"/>
    </row>
    <row r="37" spans="1:17" ht="33.75">
      <c r="A37" s="54"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58"/>
      <c r="C37" s="158"/>
      <c r="D37" s="162"/>
      <c r="E37" s="151"/>
      <c r="F37" s="152" t="s">
        <v>110</v>
      </c>
      <c r="G37" s="238" t="s">
        <v>582</v>
      </c>
      <c r="H37" s="152"/>
      <c r="I37" s="152"/>
      <c r="J37" s="153"/>
      <c r="K37" s="197"/>
      <c r="L37" s="154"/>
      <c r="M37" s="157"/>
      <c r="N37" s="157"/>
      <c r="O37" s="157"/>
      <c r="P37" s="157"/>
      <c r="Q37" s="157"/>
    </row>
    <row r="38" spans="1:17" ht="22.5">
      <c r="A38" s="54"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58"/>
      <c r="C38" s="158"/>
      <c r="D38" s="162"/>
      <c r="E38" s="151"/>
      <c r="F38" s="150" t="s">
        <v>111</v>
      </c>
      <c r="G38" s="238" t="s">
        <v>582</v>
      </c>
      <c r="H38" s="152"/>
      <c r="I38" s="153"/>
      <c r="J38" s="153"/>
      <c r="K38" s="153"/>
      <c r="L38" s="154"/>
      <c r="M38" s="157"/>
      <c r="N38" s="156"/>
      <c r="O38" s="157"/>
      <c r="P38" s="157"/>
      <c r="Q38" s="157"/>
    </row>
    <row r="39" spans="1:17" s="31" customFormat="1" ht="22.5">
      <c r="A39" s="54"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58"/>
      <c r="C39" s="158"/>
      <c r="D39" s="159"/>
      <c r="E39" s="160"/>
      <c r="F39" s="198" t="s">
        <v>112</v>
      </c>
      <c r="G39" s="238" t="s">
        <v>582</v>
      </c>
      <c r="H39" s="152"/>
      <c r="I39" s="153"/>
      <c r="J39" s="153"/>
      <c r="K39" s="153"/>
      <c r="L39" s="154"/>
      <c r="M39" s="155"/>
      <c r="N39" s="156"/>
      <c r="O39" s="156"/>
      <c r="P39" s="155"/>
      <c r="Q39" s="157"/>
    </row>
    <row r="40" spans="1:17" s="31" customFormat="1" ht="33.75">
      <c r="A40" s="54"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58"/>
      <c r="C40" s="158"/>
      <c r="D40" s="162" t="s">
        <v>113</v>
      </c>
      <c r="E40" s="151" t="s">
        <v>75</v>
      </c>
      <c r="F40" s="152" t="s">
        <v>114</v>
      </c>
      <c r="G40" s="238" t="s">
        <v>582</v>
      </c>
      <c r="H40" s="152"/>
      <c r="I40" s="152"/>
      <c r="J40" s="153"/>
      <c r="K40" s="161"/>
      <c r="L40" s="154"/>
      <c r="M40" s="155"/>
      <c r="N40" s="157"/>
      <c r="O40" s="156"/>
      <c r="P40" s="155"/>
      <c r="Q40" s="157"/>
    </row>
    <row r="41" spans="1:17" s="31" customFormat="1">
      <c r="A41" s="54"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86"/>
      <c r="C41" s="186"/>
      <c r="D41" s="159"/>
      <c r="E41" s="160"/>
      <c r="F41" s="152" t="s">
        <v>115</v>
      </c>
      <c r="G41" s="238" t="s">
        <v>582</v>
      </c>
      <c r="H41" s="152"/>
      <c r="I41" s="152"/>
      <c r="J41" s="153"/>
      <c r="K41" s="161"/>
      <c r="L41" s="154"/>
      <c r="M41" s="155"/>
      <c r="N41" s="157"/>
      <c r="O41" s="156"/>
      <c r="P41" s="155"/>
      <c r="Q41" s="157"/>
    </row>
    <row r="42" spans="1:17" s="31" customFormat="1" ht="22.5">
      <c r="A42" s="54"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38" t="s">
        <v>116</v>
      </c>
      <c r="C42" s="139" t="s">
        <v>117</v>
      </c>
      <c r="D42" s="139" t="s">
        <v>118</v>
      </c>
      <c r="E42" s="139" t="s">
        <v>119</v>
      </c>
      <c r="F42" s="95" t="s">
        <v>120</v>
      </c>
      <c r="G42" s="239"/>
      <c r="H42" s="95"/>
      <c r="I42" s="95"/>
      <c r="J42" s="33"/>
      <c r="K42" s="41"/>
      <c r="L42" s="32"/>
      <c r="M42" s="34"/>
      <c r="N42" s="36"/>
      <c r="O42" s="34"/>
      <c r="P42" s="35"/>
      <c r="Q42" s="34"/>
    </row>
    <row r="43" spans="1:17" s="31" customFormat="1" ht="22.5">
      <c r="A43" s="54"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30"/>
      <c r="C43" s="135"/>
      <c r="D43" s="108"/>
      <c r="E43" s="108"/>
      <c r="F43" s="96" t="s">
        <v>121</v>
      </c>
      <c r="G43" s="239"/>
      <c r="H43" s="95"/>
      <c r="I43" s="95"/>
      <c r="J43" s="33"/>
      <c r="K43" s="41"/>
      <c r="L43" s="32"/>
      <c r="M43" s="34"/>
      <c r="N43" s="36"/>
      <c r="O43" s="34"/>
      <c r="P43" s="35"/>
      <c r="Q43" s="34"/>
    </row>
    <row r="44" spans="1:17" s="31" customFormat="1" ht="33.75">
      <c r="A44" s="54"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30"/>
      <c r="C44" s="135"/>
      <c r="D44" s="108"/>
      <c r="E44" s="132"/>
      <c r="F44" s="95" t="s">
        <v>122</v>
      </c>
      <c r="G44" s="239"/>
      <c r="H44" s="95"/>
      <c r="I44" s="95"/>
      <c r="J44" s="33"/>
      <c r="K44" s="41"/>
      <c r="L44" s="32"/>
      <c r="M44" s="35"/>
      <c r="N44" s="34"/>
      <c r="O44" s="36"/>
      <c r="P44" s="35"/>
      <c r="Q44" s="34"/>
    </row>
    <row r="45" spans="1:17" s="31" customFormat="1" ht="22.5">
      <c r="A45" s="54"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30"/>
      <c r="C45" s="135"/>
      <c r="D45" s="108"/>
      <c r="E45" s="108" t="s">
        <v>123</v>
      </c>
      <c r="F45" s="95" t="s">
        <v>124</v>
      </c>
      <c r="G45" s="239"/>
      <c r="H45" s="95"/>
      <c r="I45" s="95"/>
      <c r="J45" s="33"/>
      <c r="K45" s="41"/>
      <c r="L45" s="32"/>
      <c r="M45" s="35"/>
      <c r="N45" s="34"/>
      <c r="O45" s="36"/>
      <c r="P45" s="35"/>
      <c r="Q45" s="34"/>
    </row>
    <row r="46" spans="1:17" s="31" customFormat="1" ht="22.5">
      <c r="A46" s="54"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30"/>
      <c r="C46" s="135"/>
      <c r="D46" s="108"/>
      <c r="E46" s="108"/>
      <c r="F46" s="95" t="s">
        <v>125</v>
      </c>
      <c r="G46" s="239"/>
      <c r="H46" s="95"/>
      <c r="I46" s="95"/>
      <c r="J46" s="33"/>
      <c r="K46" s="41"/>
      <c r="L46" s="32"/>
      <c r="M46" s="35"/>
      <c r="N46" s="34"/>
      <c r="O46" s="36"/>
      <c r="P46" s="35"/>
      <c r="Q46" s="34"/>
    </row>
    <row r="47" spans="1:17" s="31" customFormat="1" ht="33.75">
      <c r="A47" s="54"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30"/>
      <c r="C47" s="135"/>
      <c r="D47" s="108"/>
      <c r="E47" s="132"/>
      <c r="F47" s="95" t="s">
        <v>122</v>
      </c>
      <c r="G47" s="239"/>
      <c r="H47" s="95"/>
      <c r="I47" s="95"/>
      <c r="J47" s="33"/>
      <c r="K47" s="41"/>
      <c r="L47" s="32"/>
      <c r="M47" s="35"/>
      <c r="N47" s="34"/>
      <c r="O47" s="36"/>
      <c r="P47" s="35"/>
      <c r="Q47" s="34"/>
    </row>
    <row r="48" spans="1:17" s="31" customFormat="1" ht="22.5">
      <c r="A48" s="54"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30"/>
      <c r="C48" s="135"/>
      <c r="D48" s="108"/>
      <c r="E48" s="108" t="s">
        <v>126</v>
      </c>
      <c r="F48" s="96" t="s">
        <v>127</v>
      </c>
      <c r="G48" s="239"/>
      <c r="H48" s="95"/>
      <c r="I48" s="95"/>
      <c r="J48" s="33"/>
      <c r="K48" s="41"/>
      <c r="L48" s="32"/>
      <c r="M48" s="34"/>
      <c r="N48" s="36"/>
      <c r="O48" s="34"/>
      <c r="P48" s="35"/>
      <c r="Q48" s="34"/>
    </row>
    <row r="49" spans="1:17" s="31" customFormat="1" ht="22.5">
      <c r="A49" s="54"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30"/>
      <c r="C49" s="135"/>
      <c r="D49" s="108"/>
      <c r="E49" s="108"/>
      <c r="F49" s="96" t="s">
        <v>128</v>
      </c>
      <c r="G49" s="239"/>
      <c r="H49" s="95"/>
      <c r="I49" s="95"/>
      <c r="J49" s="33"/>
      <c r="K49" s="41"/>
      <c r="L49" s="32"/>
      <c r="M49" s="34"/>
      <c r="N49" s="36"/>
      <c r="O49" s="34"/>
      <c r="P49" s="35"/>
      <c r="Q49" s="34"/>
    </row>
    <row r="50" spans="1:17" s="31" customFormat="1" ht="22.5">
      <c r="A50" s="54"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30"/>
      <c r="C50" s="135"/>
      <c r="D50" s="108"/>
      <c r="E50" s="96" t="s">
        <v>129</v>
      </c>
      <c r="F50" s="95" t="s">
        <v>130</v>
      </c>
      <c r="G50" s="239"/>
      <c r="H50" s="95"/>
      <c r="I50" s="95"/>
      <c r="J50" s="33"/>
      <c r="K50" s="41"/>
      <c r="L50" s="32"/>
      <c r="M50" s="35"/>
      <c r="N50" s="34"/>
      <c r="O50" s="36"/>
      <c r="P50" s="35"/>
      <c r="Q50" s="34"/>
    </row>
    <row r="51" spans="1:17" s="31" customFormat="1" ht="22.5">
      <c r="A51" s="54"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30"/>
      <c r="C51" s="135"/>
      <c r="D51" s="108"/>
      <c r="E51" s="108"/>
      <c r="F51" s="95" t="s">
        <v>131</v>
      </c>
      <c r="G51" s="239"/>
      <c r="H51" s="95"/>
      <c r="I51" s="95"/>
      <c r="J51" s="33"/>
      <c r="K51" s="41"/>
      <c r="L51" s="32"/>
      <c r="M51" s="35"/>
      <c r="N51" s="34"/>
      <c r="O51" s="36"/>
      <c r="P51" s="35"/>
      <c r="Q51" s="34"/>
    </row>
    <row r="52" spans="1:17" s="31" customFormat="1" ht="22.5">
      <c r="A52" s="54"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30"/>
      <c r="C52" s="135"/>
      <c r="D52" s="108"/>
      <c r="E52" s="108"/>
      <c r="F52" s="95" t="s">
        <v>132</v>
      </c>
      <c r="G52" s="239"/>
      <c r="H52" s="95"/>
      <c r="I52" s="95"/>
      <c r="J52" s="33"/>
      <c r="K52" s="41"/>
      <c r="L52" s="32"/>
      <c r="M52" s="35"/>
      <c r="N52" s="34"/>
      <c r="O52" s="36"/>
      <c r="P52" s="35"/>
      <c r="Q52" s="34"/>
    </row>
    <row r="53" spans="1:17" s="31" customFormat="1" ht="22.5">
      <c r="A53" s="54"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30"/>
      <c r="C53" s="135"/>
      <c r="D53" s="108"/>
      <c r="E53" s="108"/>
      <c r="F53" s="95" t="s">
        <v>133</v>
      </c>
      <c r="G53" s="239"/>
      <c r="H53" s="95"/>
      <c r="I53" s="95"/>
      <c r="J53" s="33"/>
      <c r="K53" s="41"/>
      <c r="L53" s="32"/>
      <c r="M53" s="35"/>
      <c r="N53" s="34"/>
      <c r="O53" s="36"/>
      <c r="P53" s="35"/>
      <c r="Q53" s="34"/>
    </row>
    <row r="54" spans="1:17" s="31" customFormat="1" ht="22.5">
      <c r="A54" s="54"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30"/>
      <c r="C54" s="135"/>
      <c r="D54" s="108"/>
      <c r="E54" s="108"/>
      <c r="F54" s="95" t="s">
        <v>134</v>
      </c>
      <c r="G54" s="239"/>
      <c r="H54" s="95"/>
      <c r="I54" s="95"/>
      <c r="J54" s="33"/>
      <c r="K54" s="41"/>
      <c r="L54" s="32"/>
      <c r="M54" s="35"/>
      <c r="N54" s="34"/>
      <c r="O54" s="36"/>
      <c r="P54" s="35"/>
      <c r="Q54" s="34"/>
    </row>
    <row r="55" spans="1:17" s="31" customFormat="1" ht="22.5">
      <c r="A55" s="54"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30"/>
      <c r="C55" s="135"/>
      <c r="D55" s="108"/>
      <c r="E55" s="132"/>
      <c r="F55" s="95" t="s">
        <v>135</v>
      </c>
      <c r="G55" s="239"/>
      <c r="H55" s="95"/>
      <c r="I55" s="95"/>
      <c r="J55" s="33"/>
      <c r="K55" s="41"/>
      <c r="L55" s="32"/>
      <c r="M55" s="35"/>
      <c r="N55" s="34"/>
      <c r="O55" s="36"/>
      <c r="P55" s="35"/>
      <c r="Q55" s="34"/>
    </row>
    <row r="56" spans="1:17" s="31" customFormat="1" ht="33.75">
      <c r="A56" s="54"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30"/>
      <c r="C56" s="135"/>
      <c r="D56" s="108"/>
      <c r="E56" s="132" t="s">
        <v>136</v>
      </c>
      <c r="F56" s="95" t="s">
        <v>137</v>
      </c>
      <c r="G56" s="239"/>
      <c r="H56" s="95"/>
      <c r="I56" s="95"/>
      <c r="J56" s="33"/>
      <c r="K56" s="41"/>
      <c r="L56" s="32"/>
      <c r="M56" s="35"/>
      <c r="N56" s="34"/>
      <c r="O56" s="36"/>
      <c r="P56" s="35"/>
      <c r="Q56" s="34"/>
    </row>
    <row r="57" spans="1:17" s="31" customFormat="1" ht="22.5">
      <c r="A57" s="54"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30"/>
      <c r="C57" s="135"/>
      <c r="D57" s="108"/>
      <c r="E57" s="132" t="s">
        <v>138</v>
      </c>
      <c r="F57" s="95" t="s">
        <v>139</v>
      </c>
      <c r="G57" s="239"/>
      <c r="H57" s="95"/>
      <c r="I57" s="95"/>
      <c r="J57" s="33"/>
      <c r="K57" s="41"/>
      <c r="L57" s="32"/>
      <c r="M57" s="35"/>
      <c r="N57" s="34"/>
      <c r="O57" s="36"/>
      <c r="P57" s="35"/>
      <c r="Q57" s="34"/>
    </row>
    <row r="58" spans="1:17" s="31" customFormat="1" ht="22.5">
      <c r="A58" s="54"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30"/>
      <c r="C58" s="135"/>
      <c r="D58" s="132"/>
      <c r="E58" s="132" t="s">
        <v>140</v>
      </c>
      <c r="F58" s="95" t="s">
        <v>141</v>
      </c>
      <c r="G58" s="239"/>
      <c r="H58" s="95"/>
      <c r="I58" s="95"/>
      <c r="J58" s="33"/>
      <c r="K58" s="41"/>
      <c r="L58" s="32"/>
      <c r="M58" s="35"/>
      <c r="N58" s="34"/>
      <c r="O58" s="36"/>
      <c r="P58" s="35"/>
      <c r="Q58" s="34"/>
    </row>
    <row r="59" spans="1:17" s="31" customFormat="1" ht="22.5">
      <c r="A59" s="54"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30"/>
      <c r="C59" s="135"/>
      <c r="D59" s="108" t="s">
        <v>142</v>
      </c>
      <c r="E59" s="108" t="s">
        <v>75</v>
      </c>
      <c r="F59" s="95" t="s">
        <v>143</v>
      </c>
      <c r="G59" s="239"/>
      <c r="H59" s="95"/>
      <c r="I59" s="95"/>
      <c r="J59" s="33"/>
      <c r="K59" s="41"/>
      <c r="L59" s="32"/>
      <c r="M59" s="35"/>
      <c r="N59" s="34"/>
      <c r="O59" s="36"/>
      <c r="P59" s="35"/>
      <c r="Q59" s="34"/>
    </row>
    <row r="60" spans="1:17" s="31" customFormat="1" ht="22.5">
      <c r="A60" s="54"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30"/>
      <c r="C60" s="130"/>
      <c r="D60" s="108"/>
      <c r="E60" s="108"/>
      <c r="F60" s="96" t="s">
        <v>144</v>
      </c>
      <c r="G60" s="239"/>
      <c r="H60" s="95"/>
      <c r="I60" s="95"/>
      <c r="J60" s="33"/>
      <c r="K60" s="41"/>
      <c r="L60" s="32"/>
      <c r="M60" s="35"/>
      <c r="N60" s="34"/>
      <c r="O60" s="36"/>
      <c r="P60" s="35"/>
      <c r="Q60" s="34"/>
    </row>
    <row r="61" spans="1:17" s="31" customFormat="1" ht="22.5">
      <c r="A61" s="54"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30"/>
      <c r="C61" s="130"/>
      <c r="D61" s="108"/>
      <c r="E61" s="108"/>
      <c r="F61" s="95" t="s">
        <v>145</v>
      </c>
      <c r="G61" s="239"/>
      <c r="H61" s="95"/>
      <c r="I61" s="95"/>
      <c r="J61" s="33"/>
      <c r="K61" s="41"/>
      <c r="L61" s="32"/>
      <c r="M61" s="35"/>
      <c r="N61" s="34"/>
      <c r="O61" s="36"/>
      <c r="P61" s="35"/>
      <c r="Q61" s="34"/>
    </row>
    <row r="62" spans="1:17" s="31" customFormat="1" ht="22.5">
      <c r="A62" s="54"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30"/>
      <c r="C62" s="130"/>
      <c r="D62" s="108"/>
      <c r="E62" s="108"/>
      <c r="F62" s="95" t="s">
        <v>146</v>
      </c>
      <c r="G62" s="239"/>
      <c r="H62" s="95"/>
      <c r="I62" s="95"/>
      <c r="J62" s="33"/>
      <c r="K62" s="41"/>
      <c r="L62" s="32"/>
      <c r="M62" s="35"/>
      <c r="N62" s="34"/>
      <c r="O62" s="36"/>
      <c r="P62" s="35"/>
      <c r="Q62" s="34"/>
    </row>
    <row r="63" spans="1:17" s="31" customFormat="1" ht="22.5">
      <c r="A63" s="54"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30"/>
      <c r="C63" s="130"/>
      <c r="D63" s="108"/>
      <c r="E63" s="132"/>
      <c r="F63" s="95" t="s">
        <v>147</v>
      </c>
      <c r="G63" s="239"/>
      <c r="H63" s="95"/>
      <c r="I63" s="95"/>
      <c r="J63" s="33"/>
      <c r="K63" s="41"/>
      <c r="L63" s="32"/>
      <c r="M63" s="35"/>
      <c r="N63" s="34"/>
      <c r="O63" s="36"/>
      <c r="P63" s="35"/>
      <c r="Q63" s="34"/>
    </row>
    <row r="64" spans="1:17" s="31" customFormat="1" ht="33.75">
      <c r="A64" s="54"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30"/>
      <c r="C64" s="130"/>
      <c r="D64" s="108"/>
      <c r="E64" s="108" t="s">
        <v>148</v>
      </c>
      <c r="F64" s="95" t="s">
        <v>149</v>
      </c>
      <c r="G64" s="239"/>
      <c r="H64" s="95"/>
      <c r="I64" s="95"/>
      <c r="J64" s="33"/>
      <c r="K64" s="41"/>
      <c r="L64" s="32"/>
      <c r="M64" s="35"/>
      <c r="N64" s="34"/>
      <c r="O64" s="36"/>
      <c r="P64" s="35"/>
      <c r="Q64" s="34"/>
    </row>
    <row r="65" spans="1:17" s="31" customFormat="1" ht="33.75">
      <c r="A65" s="54"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30"/>
      <c r="C65" s="130"/>
      <c r="D65" s="108"/>
      <c r="E65" s="108"/>
      <c r="F65" s="96" t="s">
        <v>150</v>
      </c>
      <c r="G65" s="239"/>
      <c r="H65" s="95"/>
      <c r="I65" s="95"/>
      <c r="J65" s="33"/>
      <c r="K65" s="41"/>
      <c r="L65" s="32"/>
      <c r="M65" s="35"/>
      <c r="N65" s="34"/>
      <c r="O65" s="36"/>
      <c r="P65" s="35"/>
      <c r="Q65" s="34"/>
    </row>
    <row r="66" spans="1:17" s="31" customFormat="1" ht="33.75">
      <c r="A66" s="54"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30"/>
      <c r="C66" s="130"/>
      <c r="D66" s="108"/>
      <c r="E66" s="108"/>
      <c r="F66" s="95" t="s">
        <v>151</v>
      </c>
      <c r="G66" s="239"/>
      <c r="H66" s="95"/>
      <c r="I66" s="95"/>
      <c r="J66" s="33"/>
      <c r="K66" s="41"/>
      <c r="L66" s="32"/>
      <c r="M66" s="35"/>
      <c r="N66" s="34"/>
      <c r="O66" s="36"/>
      <c r="P66" s="35"/>
      <c r="Q66" s="34"/>
    </row>
    <row r="67" spans="1:17" s="31" customFormat="1" ht="33.75">
      <c r="A67" s="54"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30"/>
      <c r="C67" s="130"/>
      <c r="D67" s="108"/>
      <c r="E67" s="108"/>
      <c r="F67" s="95" t="s">
        <v>152</v>
      </c>
      <c r="G67" s="239"/>
      <c r="H67" s="95"/>
      <c r="I67" s="95"/>
      <c r="J67" s="33"/>
      <c r="K67" s="41"/>
      <c r="L67" s="32"/>
      <c r="M67" s="35"/>
      <c r="N67" s="34"/>
      <c r="O67" s="36"/>
      <c r="P67" s="35"/>
      <c r="Q67" s="34"/>
    </row>
    <row r="68" spans="1:17" s="31" customFormat="1" ht="33.75">
      <c r="A68" s="54"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30"/>
      <c r="C68" s="130"/>
      <c r="D68" s="108"/>
      <c r="E68" s="108"/>
      <c r="F68" s="95" t="s">
        <v>153</v>
      </c>
      <c r="G68" s="239"/>
      <c r="H68" s="95"/>
      <c r="I68" s="95"/>
      <c r="J68" s="33"/>
      <c r="K68" s="41"/>
      <c r="L68" s="32"/>
      <c r="M68" s="35"/>
      <c r="N68" s="34"/>
      <c r="O68" s="36"/>
      <c r="P68" s="35"/>
      <c r="Q68" s="34"/>
    </row>
    <row r="69" spans="1:17" s="31" customFormat="1" ht="22.5">
      <c r="A69" s="54"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30"/>
      <c r="C69" s="130"/>
      <c r="D69" s="108"/>
      <c r="E69" s="108"/>
      <c r="F69" s="95" t="s">
        <v>154</v>
      </c>
      <c r="G69" s="239"/>
      <c r="H69" s="95"/>
      <c r="I69" s="95"/>
      <c r="J69" s="33"/>
      <c r="K69" s="41"/>
      <c r="L69" s="32"/>
      <c r="M69" s="35"/>
      <c r="N69" s="34"/>
      <c r="O69" s="36"/>
      <c r="P69" s="35"/>
      <c r="Q69" s="34"/>
    </row>
    <row r="70" spans="1:17" s="31" customFormat="1" ht="22.5">
      <c r="A70" s="54"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30"/>
      <c r="C70" s="130"/>
      <c r="D70" s="108"/>
      <c r="E70" s="108"/>
      <c r="F70" s="95" t="s">
        <v>155</v>
      </c>
      <c r="G70" s="239"/>
      <c r="H70" s="95"/>
      <c r="I70" s="95"/>
      <c r="J70" s="33"/>
      <c r="K70" s="41"/>
      <c r="L70" s="32"/>
      <c r="M70" s="35"/>
      <c r="N70" s="34"/>
      <c r="O70" s="36"/>
      <c r="P70" s="35"/>
      <c r="Q70" s="34"/>
    </row>
    <row r="71" spans="1:17" s="31" customFormat="1" ht="33.75">
      <c r="A71" s="54"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30"/>
      <c r="C71" s="130"/>
      <c r="D71" s="108"/>
      <c r="E71" s="108"/>
      <c r="F71" s="96" t="s">
        <v>156</v>
      </c>
      <c r="G71" s="239"/>
      <c r="H71" s="96"/>
      <c r="I71" s="96"/>
      <c r="J71" s="38"/>
      <c r="K71" s="40"/>
      <c r="L71" s="83"/>
      <c r="M71" s="140"/>
      <c r="N71" s="141"/>
      <c r="O71" s="142"/>
      <c r="P71" s="140"/>
      <c r="Q71" s="141"/>
    </row>
    <row r="72" spans="1:17" s="31" customFormat="1" ht="22.5">
      <c r="A72" s="54"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05"/>
      <c r="C72" s="105"/>
      <c r="D72" s="101"/>
      <c r="E72" s="96" t="s">
        <v>157</v>
      </c>
      <c r="F72" s="96" t="s">
        <v>158</v>
      </c>
      <c r="G72" s="240"/>
      <c r="H72" s="95"/>
      <c r="I72" s="75"/>
      <c r="J72" s="41"/>
      <c r="K72" s="41"/>
      <c r="L72" s="34"/>
      <c r="M72" s="34"/>
      <c r="N72" s="34"/>
      <c r="O72" s="94"/>
      <c r="P72" s="41"/>
      <c r="Q72" s="41"/>
    </row>
    <row r="73" spans="1:17" s="31" customFormat="1">
      <c r="A73" s="54"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35"/>
      <c r="C73" s="143"/>
      <c r="D73" s="108"/>
      <c r="E73" s="96" t="s">
        <v>159</v>
      </c>
      <c r="F73" s="96" t="s">
        <v>160</v>
      </c>
      <c r="G73" s="239"/>
      <c r="H73" s="95"/>
      <c r="I73" s="80"/>
      <c r="J73" s="41"/>
      <c r="K73" s="41"/>
      <c r="L73" s="34"/>
      <c r="M73" s="34"/>
      <c r="N73" s="34"/>
      <c r="O73" s="94"/>
      <c r="P73" s="41"/>
      <c r="Q73" s="41"/>
    </row>
    <row r="74" spans="1:17" s="31" customFormat="1">
      <c r="A74" s="54"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35"/>
      <c r="C74" s="143"/>
      <c r="D74" s="108"/>
      <c r="E74" s="108"/>
      <c r="F74" s="95" t="s">
        <v>161</v>
      </c>
      <c r="G74" s="239"/>
      <c r="H74" s="95"/>
      <c r="I74" s="95"/>
      <c r="J74" s="33"/>
      <c r="K74" s="41"/>
      <c r="L74" s="32"/>
      <c r="M74" s="35"/>
      <c r="N74" s="34"/>
      <c r="O74" s="36"/>
      <c r="P74" s="35"/>
      <c r="Q74" s="34"/>
    </row>
    <row r="75" spans="1:17">
      <c r="A75" s="54"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30"/>
      <c r="C75" s="106"/>
      <c r="D75" s="108"/>
      <c r="E75" s="108"/>
      <c r="F75" s="95" t="s">
        <v>162</v>
      </c>
      <c r="G75" s="239"/>
      <c r="H75" s="95"/>
      <c r="I75" s="95"/>
      <c r="J75" s="33"/>
      <c r="K75" s="34"/>
      <c r="L75" s="32"/>
      <c r="M75" s="34"/>
      <c r="N75" s="34"/>
      <c r="O75" s="34"/>
      <c r="P75" s="34"/>
      <c r="Q75" s="34"/>
    </row>
    <row r="76" spans="1:17">
      <c r="A76" s="54"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30"/>
      <c r="C76" s="106"/>
      <c r="D76" s="108"/>
      <c r="E76" s="108"/>
      <c r="F76" s="95" t="s">
        <v>163</v>
      </c>
      <c r="G76" s="239"/>
      <c r="H76" s="95"/>
      <c r="I76" s="95"/>
      <c r="J76" s="33"/>
      <c r="K76" s="34"/>
      <c r="L76" s="32"/>
      <c r="M76" s="34"/>
      <c r="N76" s="34"/>
      <c r="O76" s="34"/>
      <c r="P76" s="34"/>
      <c r="Q76" s="34"/>
    </row>
    <row r="77" spans="1:17" ht="22.5">
      <c r="A77" s="54"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35"/>
      <c r="C77" s="144"/>
      <c r="D77" s="132"/>
      <c r="E77" s="132"/>
      <c r="F77" s="152" t="s">
        <v>164</v>
      </c>
      <c r="G77" s="237" t="s">
        <v>556</v>
      </c>
      <c r="H77" s="152"/>
      <c r="I77" s="152"/>
      <c r="J77" s="167"/>
      <c r="K77" s="157"/>
      <c r="L77" s="154"/>
      <c r="M77" s="157"/>
      <c r="N77" s="157"/>
      <c r="O77" s="157"/>
      <c r="P77" s="157"/>
      <c r="Q77" s="157"/>
    </row>
    <row r="78" spans="1:17" ht="22.5">
      <c r="A78" s="54"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135"/>
      <c r="C78" s="134" t="s">
        <v>165</v>
      </c>
      <c r="D78" s="96" t="s">
        <v>25</v>
      </c>
      <c r="E78" s="96" t="s">
        <v>75</v>
      </c>
      <c r="F78" s="96" t="s">
        <v>166</v>
      </c>
      <c r="G78" s="239"/>
      <c r="H78" s="95"/>
      <c r="I78" s="95"/>
      <c r="J78" s="33"/>
      <c r="K78" s="41"/>
      <c r="L78" s="32"/>
      <c r="M78" s="34"/>
      <c r="N78" s="36"/>
      <c r="O78" s="34"/>
      <c r="P78" s="34"/>
      <c r="Q78" s="34"/>
    </row>
    <row r="79" spans="1:17" ht="33.75">
      <c r="A79" s="54"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30"/>
      <c r="C79" s="107"/>
      <c r="D79" s="108"/>
      <c r="E79" s="108"/>
      <c r="F79" s="96" t="s">
        <v>167</v>
      </c>
      <c r="G79" s="239"/>
      <c r="H79" s="95"/>
      <c r="I79" s="95"/>
      <c r="J79" s="33"/>
      <c r="K79" s="41"/>
      <c r="L79" s="32"/>
      <c r="M79" s="34"/>
      <c r="N79" s="36"/>
      <c r="O79" s="34"/>
      <c r="P79" s="34"/>
      <c r="Q79" s="34"/>
    </row>
    <row r="80" spans="1:17">
      <c r="A80" s="54"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30"/>
      <c r="C80" s="107"/>
      <c r="D80" s="108"/>
      <c r="E80" s="96" t="s">
        <v>168</v>
      </c>
      <c r="F80" s="96" t="s">
        <v>169</v>
      </c>
      <c r="G80" s="239"/>
      <c r="H80" s="95"/>
      <c r="I80" s="95"/>
      <c r="J80" s="33"/>
      <c r="K80" s="34"/>
      <c r="L80" s="32"/>
      <c r="M80" s="34"/>
      <c r="N80" s="34"/>
      <c r="O80" s="34"/>
      <c r="P80" s="34"/>
      <c r="Q80" s="34"/>
    </row>
    <row r="81" spans="1:17" ht="33.75">
      <c r="A81" s="54"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30"/>
      <c r="C81" s="107"/>
      <c r="D81" s="108"/>
      <c r="E81" s="96" t="s">
        <v>170</v>
      </c>
      <c r="F81" s="95" t="s">
        <v>171</v>
      </c>
      <c r="G81" s="239"/>
      <c r="H81" s="95"/>
      <c r="I81" s="95"/>
      <c r="J81" s="33"/>
      <c r="K81" s="41"/>
      <c r="L81" s="32"/>
      <c r="M81" s="34"/>
      <c r="N81" s="34"/>
      <c r="O81" s="34"/>
      <c r="P81" s="34"/>
      <c r="Q81" s="34"/>
    </row>
    <row r="82" spans="1:17" ht="33.75">
      <c r="A82" s="54"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30"/>
      <c r="C82" s="107"/>
      <c r="D82" s="108"/>
      <c r="E82" s="132"/>
      <c r="F82" s="95" t="s">
        <v>172</v>
      </c>
      <c r="G82" s="239"/>
      <c r="H82" s="95"/>
      <c r="I82" s="95"/>
      <c r="J82" s="33"/>
      <c r="K82" s="34"/>
      <c r="L82" s="32"/>
      <c r="M82" s="34"/>
      <c r="N82" s="34"/>
      <c r="O82" s="34"/>
      <c r="P82" s="34"/>
      <c r="Q82" s="34"/>
    </row>
    <row r="83" spans="1:17" ht="22.5">
      <c r="A83" s="54"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30"/>
      <c r="C83" s="107"/>
      <c r="D83" s="108"/>
      <c r="E83" s="132" t="s">
        <v>173</v>
      </c>
      <c r="F83" s="95" t="s">
        <v>174</v>
      </c>
      <c r="G83" s="239"/>
      <c r="H83" s="95"/>
      <c r="I83" s="95"/>
      <c r="J83" s="33"/>
      <c r="K83" s="34"/>
      <c r="L83" s="32"/>
      <c r="M83" s="34"/>
      <c r="N83" s="34"/>
      <c r="O83" s="34"/>
      <c r="P83" s="34"/>
      <c r="Q83" s="34"/>
    </row>
    <row r="84" spans="1:17" ht="22.5">
      <c r="A84" s="54"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30"/>
      <c r="C84" s="145"/>
      <c r="D84" s="132"/>
      <c r="E84" s="132" t="s">
        <v>175</v>
      </c>
      <c r="F84" s="95" t="s">
        <v>176</v>
      </c>
      <c r="G84" s="239"/>
      <c r="H84" s="95"/>
      <c r="I84" s="95"/>
      <c r="J84" s="33"/>
      <c r="K84" s="34"/>
      <c r="L84" s="32"/>
      <c r="M84" s="34"/>
      <c r="N84" s="34"/>
      <c r="O84" s="34"/>
      <c r="P84" s="34"/>
      <c r="Q84" s="34"/>
    </row>
    <row r="85" spans="1:17" ht="22.5">
      <c r="A85" s="54"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30"/>
      <c r="C85" s="108" t="s">
        <v>177</v>
      </c>
      <c r="D85" s="108" t="s">
        <v>25</v>
      </c>
      <c r="E85" s="95" t="s">
        <v>75</v>
      </c>
      <c r="F85" s="95" t="s">
        <v>178</v>
      </c>
      <c r="G85" s="239"/>
      <c r="H85" s="95"/>
      <c r="I85" s="88"/>
      <c r="J85" s="33"/>
      <c r="K85" s="34"/>
      <c r="L85" s="32"/>
      <c r="M85" s="34"/>
      <c r="N85" s="34"/>
      <c r="O85" s="34"/>
      <c r="P85" s="34"/>
      <c r="Q85" s="34"/>
    </row>
    <row r="86" spans="1:17">
      <c r="A86" s="54"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30"/>
      <c r="C86" s="107"/>
      <c r="D86" s="108"/>
      <c r="E86" s="132" t="s">
        <v>168</v>
      </c>
      <c r="F86" s="95" t="s">
        <v>179</v>
      </c>
      <c r="G86" s="239"/>
      <c r="H86" s="95"/>
      <c r="I86" s="88"/>
      <c r="J86" s="33"/>
      <c r="K86" s="34"/>
      <c r="L86" s="32"/>
      <c r="M86" s="34"/>
      <c r="N86" s="34"/>
      <c r="O86" s="34"/>
      <c r="P86" s="34"/>
      <c r="Q86" s="34"/>
    </row>
    <row r="87" spans="1:17" ht="33.75">
      <c r="A87" s="54"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30"/>
      <c r="C87" s="145"/>
      <c r="D87" s="132"/>
      <c r="E87" s="132" t="s">
        <v>180</v>
      </c>
      <c r="F87" s="95" t="s">
        <v>181</v>
      </c>
      <c r="G87" s="239"/>
      <c r="H87" s="95"/>
      <c r="I87" s="95"/>
      <c r="J87" s="33"/>
      <c r="K87" s="34"/>
      <c r="L87" s="32"/>
      <c r="M87" s="34"/>
      <c r="N87" s="34"/>
      <c r="O87" s="34"/>
      <c r="P87" s="34"/>
      <c r="Q87" s="34"/>
    </row>
    <row r="88" spans="1:17" ht="22.5">
      <c r="A88" s="54"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30"/>
      <c r="C88" s="133" t="s">
        <v>182</v>
      </c>
      <c r="D88" s="108" t="s">
        <v>25</v>
      </c>
      <c r="E88" s="96" t="s">
        <v>75</v>
      </c>
      <c r="F88" s="96" t="s">
        <v>183</v>
      </c>
      <c r="G88" s="239"/>
      <c r="H88" s="95"/>
      <c r="I88" s="88"/>
      <c r="J88" s="33"/>
      <c r="K88" s="34"/>
      <c r="L88" s="32"/>
      <c r="M88" s="34"/>
      <c r="N88" s="36"/>
      <c r="O88" s="34"/>
      <c r="P88" s="34"/>
      <c r="Q88" s="34"/>
    </row>
    <row r="89" spans="1:17" ht="33.75">
      <c r="A89" s="54"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30"/>
      <c r="C89" s="107"/>
      <c r="D89" s="108"/>
      <c r="E89" s="132"/>
      <c r="F89" s="96" t="s">
        <v>184</v>
      </c>
      <c r="G89" s="239"/>
      <c r="H89" s="95"/>
      <c r="I89" s="88"/>
      <c r="J89" s="33"/>
      <c r="K89" s="34"/>
      <c r="L89" s="32"/>
      <c r="M89" s="34"/>
      <c r="N89" s="34"/>
      <c r="O89" s="34"/>
      <c r="P89" s="34"/>
      <c r="Q89" s="34"/>
    </row>
    <row r="90" spans="1:17">
      <c r="A90" s="54"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30"/>
      <c r="C90" s="107"/>
      <c r="D90" s="108"/>
      <c r="E90" s="95" t="s">
        <v>168</v>
      </c>
      <c r="F90" s="95" t="s">
        <v>185</v>
      </c>
      <c r="G90" s="239"/>
      <c r="H90" s="95"/>
      <c r="I90" s="88"/>
      <c r="J90" s="33"/>
      <c r="K90" s="34"/>
      <c r="L90" s="32"/>
      <c r="M90" s="34"/>
      <c r="N90" s="34"/>
      <c r="O90" s="34"/>
      <c r="P90" s="34"/>
      <c r="Q90" s="34"/>
    </row>
    <row r="91" spans="1:17" ht="33.75">
      <c r="A91" s="54"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30"/>
      <c r="C91" s="107"/>
      <c r="D91" s="108"/>
      <c r="E91" s="108" t="s">
        <v>170</v>
      </c>
      <c r="F91" s="95" t="s">
        <v>186</v>
      </c>
      <c r="G91" s="239"/>
      <c r="H91" s="95"/>
      <c r="I91" s="95"/>
      <c r="J91" s="33"/>
      <c r="K91" s="34"/>
      <c r="L91" s="32"/>
      <c r="M91" s="34"/>
      <c r="N91" s="34"/>
      <c r="O91" s="34"/>
      <c r="P91" s="34"/>
      <c r="Q91" s="34"/>
    </row>
    <row r="92" spans="1:17" ht="33.75">
      <c r="A92" s="54"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30"/>
      <c r="C92" s="107"/>
      <c r="D92" s="108"/>
      <c r="E92" s="132"/>
      <c r="F92" s="95" t="s">
        <v>187</v>
      </c>
      <c r="G92" s="239"/>
      <c r="H92" s="95"/>
      <c r="I92" s="95"/>
      <c r="J92" s="33"/>
      <c r="K92" s="34"/>
      <c r="L92" s="32"/>
      <c r="M92" s="34"/>
      <c r="N92" s="34"/>
      <c r="O92" s="34"/>
      <c r="P92" s="34"/>
      <c r="Q92" s="34"/>
    </row>
    <row r="93" spans="1:17" ht="33.75">
      <c r="A93" s="54"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30"/>
      <c r="C93" s="145"/>
      <c r="D93" s="132"/>
      <c r="E93" s="132" t="s">
        <v>180</v>
      </c>
      <c r="F93" s="95" t="s">
        <v>188</v>
      </c>
      <c r="G93" s="239"/>
      <c r="H93" s="95"/>
      <c r="I93" s="95"/>
      <c r="J93" s="33"/>
      <c r="K93" s="34"/>
      <c r="L93" s="32"/>
      <c r="M93" s="34"/>
      <c r="N93" s="34"/>
      <c r="O93" s="34"/>
      <c r="P93" s="34"/>
      <c r="Q93" s="34"/>
    </row>
    <row r="94" spans="1:17" ht="22.5">
      <c r="A94" s="54"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30"/>
      <c r="C94" s="108" t="s">
        <v>189</v>
      </c>
      <c r="D94" s="108" t="s">
        <v>25</v>
      </c>
      <c r="E94" s="108" t="s">
        <v>190</v>
      </c>
      <c r="F94" s="95" t="s">
        <v>191</v>
      </c>
      <c r="G94" s="239"/>
      <c r="H94" s="95"/>
      <c r="I94" s="95"/>
      <c r="J94" s="33"/>
      <c r="K94" s="34"/>
      <c r="L94" s="32"/>
      <c r="M94" s="34"/>
      <c r="N94" s="34"/>
      <c r="O94" s="34"/>
      <c r="P94" s="34"/>
      <c r="Q94" s="34"/>
    </row>
    <row r="95" spans="1:17" ht="33.75">
      <c r="A95" s="54"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30"/>
      <c r="C95" s="130"/>
      <c r="D95" s="108"/>
      <c r="E95" s="108"/>
      <c r="F95" s="95" t="s">
        <v>192</v>
      </c>
      <c r="G95" s="239"/>
      <c r="H95" s="95"/>
      <c r="I95" s="95"/>
      <c r="J95" s="33"/>
      <c r="K95" s="34"/>
      <c r="L95" s="32"/>
      <c r="M95" s="34"/>
      <c r="N95" s="34"/>
      <c r="O95" s="34"/>
      <c r="P95" s="34"/>
      <c r="Q95" s="34"/>
    </row>
    <row r="96" spans="1:17">
      <c r="A96" s="54"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30"/>
      <c r="C96" s="130"/>
      <c r="D96" s="108"/>
      <c r="E96" s="108"/>
      <c r="F96" s="95" t="s">
        <v>193</v>
      </c>
      <c r="G96" s="239"/>
      <c r="H96" s="95"/>
      <c r="I96" s="95"/>
      <c r="J96" s="33"/>
      <c r="K96" s="34"/>
      <c r="L96" s="32"/>
      <c r="M96" s="34"/>
      <c r="N96" s="34"/>
      <c r="O96" s="34"/>
      <c r="P96" s="34"/>
      <c r="Q96" s="34"/>
    </row>
    <row r="97" spans="1:17" ht="33.75">
      <c r="A97" s="54"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30"/>
      <c r="C97" s="107"/>
      <c r="D97" s="108"/>
      <c r="E97" s="108"/>
      <c r="F97" s="95" t="s">
        <v>194</v>
      </c>
      <c r="G97" s="239"/>
      <c r="H97" s="95"/>
      <c r="I97" s="95"/>
      <c r="J97" s="33"/>
      <c r="K97" s="34"/>
      <c r="L97" s="32"/>
      <c r="M97" s="34"/>
      <c r="N97" s="34"/>
      <c r="O97" s="34"/>
      <c r="P97" s="34"/>
      <c r="Q97" s="34"/>
    </row>
    <row r="98" spans="1:17" ht="33.75">
      <c r="A98" s="54"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30"/>
      <c r="C98" s="107"/>
      <c r="D98" s="108"/>
      <c r="E98" s="132"/>
      <c r="F98" s="95" t="s">
        <v>195</v>
      </c>
      <c r="G98" s="239"/>
      <c r="H98" s="95"/>
      <c r="I98" s="95"/>
      <c r="J98" s="33"/>
      <c r="K98" s="34"/>
      <c r="L98" s="32"/>
      <c r="M98" s="34"/>
      <c r="N98" s="34"/>
      <c r="O98" s="34"/>
      <c r="P98" s="34"/>
      <c r="Q98" s="34"/>
    </row>
    <row r="99" spans="1:17" ht="22.5">
      <c r="A99" s="54"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30"/>
      <c r="C99" s="130"/>
      <c r="D99" s="108"/>
      <c r="E99" s="108" t="s">
        <v>196</v>
      </c>
      <c r="F99" s="95" t="s">
        <v>197</v>
      </c>
      <c r="G99" s="239"/>
      <c r="H99" s="95"/>
      <c r="I99" s="88"/>
      <c r="J99" s="33"/>
      <c r="K99" s="34"/>
      <c r="L99" s="32"/>
      <c r="M99" s="34"/>
      <c r="N99" s="34"/>
      <c r="O99" s="34"/>
      <c r="P99" s="34"/>
      <c r="Q99" s="34"/>
    </row>
    <row r="100" spans="1:17" ht="33.75">
      <c r="A100" s="54"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06"/>
      <c r="C100" s="135"/>
      <c r="D100" s="108"/>
      <c r="E100" s="108"/>
      <c r="F100" s="95" t="s">
        <v>198</v>
      </c>
      <c r="G100" s="239"/>
      <c r="H100" s="95"/>
      <c r="I100" s="95"/>
      <c r="J100" s="33"/>
      <c r="K100" s="34"/>
      <c r="L100" s="32"/>
      <c r="M100" s="34"/>
      <c r="N100" s="34"/>
      <c r="O100" s="34"/>
      <c r="P100" s="34"/>
      <c r="Q100" s="34"/>
    </row>
    <row r="101" spans="1:17">
      <c r="A101" s="54"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06"/>
      <c r="C101" s="135"/>
      <c r="D101" s="108"/>
      <c r="E101" s="108"/>
      <c r="F101" s="95" t="s">
        <v>199</v>
      </c>
      <c r="G101" s="239"/>
      <c r="H101" s="95"/>
      <c r="I101" s="88"/>
      <c r="J101" s="33"/>
      <c r="K101" s="34"/>
      <c r="L101" s="32"/>
      <c r="M101" s="34"/>
      <c r="N101" s="34"/>
      <c r="O101" s="34"/>
      <c r="P101" s="34"/>
      <c r="Q101" s="34"/>
    </row>
    <row r="102" spans="1:17" ht="33.75">
      <c r="A102" s="54"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30"/>
      <c r="C102" s="107"/>
      <c r="D102" s="108"/>
      <c r="E102" s="108"/>
      <c r="F102" s="95" t="s">
        <v>200</v>
      </c>
      <c r="G102" s="239"/>
      <c r="H102" s="95"/>
      <c r="I102" s="95"/>
      <c r="J102" s="33"/>
      <c r="K102" s="34"/>
      <c r="L102" s="32"/>
      <c r="M102" s="34"/>
      <c r="N102" s="34"/>
      <c r="O102" s="34"/>
      <c r="P102" s="34"/>
      <c r="Q102" s="34"/>
    </row>
    <row r="103" spans="1:17" ht="33.75">
      <c r="A103" s="54"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30"/>
      <c r="C103" s="107"/>
      <c r="D103" s="108"/>
      <c r="E103" s="108"/>
      <c r="F103" s="96" t="s">
        <v>201</v>
      </c>
      <c r="G103" s="239"/>
      <c r="H103" s="96"/>
      <c r="I103" s="96"/>
      <c r="J103" s="38"/>
      <c r="K103" s="141"/>
      <c r="L103" s="83"/>
      <c r="M103" s="141"/>
      <c r="N103" s="141"/>
      <c r="O103" s="141"/>
      <c r="P103" s="141"/>
      <c r="Q103" s="141"/>
    </row>
    <row r="104" spans="1:17" ht="33.75">
      <c r="A104" s="54"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44"/>
      <c r="C104" s="145"/>
      <c r="D104" s="132"/>
      <c r="E104" s="95" t="s">
        <v>180</v>
      </c>
      <c r="F104" s="95" t="s">
        <v>202</v>
      </c>
      <c r="G104" s="239"/>
      <c r="H104" s="95"/>
      <c r="I104" s="95"/>
      <c r="J104" s="33"/>
      <c r="K104" s="34"/>
      <c r="L104" s="32"/>
      <c r="M104" s="34"/>
      <c r="N104" s="34"/>
      <c r="O104" s="34"/>
      <c r="P104" s="34"/>
      <c r="Q104" s="34"/>
    </row>
    <row r="105" spans="1:17" ht="33.75">
      <c r="A105" s="54"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46" t="s">
        <v>203</v>
      </c>
      <c r="C105" s="95" t="s">
        <v>204</v>
      </c>
      <c r="D105" s="95" t="s">
        <v>75</v>
      </c>
      <c r="E105" s="132" t="s">
        <v>75</v>
      </c>
      <c r="F105" s="95" t="s">
        <v>205</v>
      </c>
      <c r="G105" s="239"/>
      <c r="H105" s="95"/>
      <c r="I105" s="95"/>
      <c r="J105" s="34"/>
      <c r="K105" s="34"/>
      <c r="L105" s="32"/>
      <c r="M105" s="34"/>
      <c r="N105" s="34"/>
      <c r="O105" s="34"/>
      <c r="P105" s="34"/>
      <c r="Q105" s="34"/>
    </row>
    <row r="106" spans="1:17">
      <c r="A106" s="54"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30"/>
      <c r="C106" s="108" t="s">
        <v>206</v>
      </c>
      <c r="D106" s="108" t="s">
        <v>75</v>
      </c>
      <c r="E106" s="108" t="s">
        <v>75</v>
      </c>
      <c r="F106" s="95" t="s">
        <v>207</v>
      </c>
      <c r="G106" s="239"/>
      <c r="H106" s="95"/>
      <c r="I106" s="95"/>
      <c r="J106" s="34"/>
      <c r="K106" s="34"/>
      <c r="L106" s="32"/>
      <c r="M106" s="34"/>
      <c r="N106" s="34"/>
      <c r="O106" s="34"/>
      <c r="P106" s="34"/>
      <c r="Q106" s="34"/>
    </row>
    <row r="107" spans="1:17">
      <c r="A107" s="54"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30"/>
      <c r="C107" s="132"/>
      <c r="D107" s="132"/>
      <c r="E107" s="132"/>
      <c r="F107" s="95" t="s">
        <v>208</v>
      </c>
      <c r="G107" s="239"/>
      <c r="H107" s="95"/>
      <c r="I107" s="95"/>
      <c r="J107" s="34"/>
      <c r="K107" s="34"/>
      <c r="L107" s="32"/>
      <c r="M107" s="34"/>
      <c r="N107" s="34"/>
      <c r="O107" s="34"/>
      <c r="P107" s="34"/>
      <c r="Q107" s="34"/>
    </row>
    <row r="108" spans="1:17" ht="22.5">
      <c r="A108" s="54"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30"/>
      <c r="C108" s="132" t="s">
        <v>209</v>
      </c>
      <c r="D108" s="132" t="s">
        <v>75</v>
      </c>
      <c r="E108" s="132" t="s">
        <v>75</v>
      </c>
      <c r="F108" s="95" t="s">
        <v>210</v>
      </c>
      <c r="G108" s="239"/>
      <c r="H108" s="95"/>
      <c r="I108" s="95"/>
      <c r="J108" s="34"/>
      <c r="K108" s="34"/>
      <c r="L108" s="32"/>
      <c r="M108" s="34"/>
      <c r="N108" s="34"/>
      <c r="O108" s="34"/>
      <c r="P108" s="34"/>
      <c r="Q108" s="34"/>
    </row>
    <row r="109" spans="1:17" ht="22.5">
      <c r="A109" s="54"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30"/>
      <c r="C109" s="108" t="s">
        <v>211</v>
      </c>
      <c r="D109" s="108" t="s">
        <v>75</v>
      </c>
      <c r="E109" s="108" t="s">
        <v>75</v>
      </c>
      <c r="F109" s="95" t="s">
        <v>212</v>
      </c>
      <c r="G109" s="239"/>
      <c r="H109" s="95"/>
      <c r="I109" s="95"/>
      <c r="J109" s="34"/>
      <c r="K109" s="34"/>
      <c r="L109" s="32"/>
      <c r="M109" s="34"/>
      <c r="N109" s="34"/>
      <c r="O109" s="34"/>
      <c r="P109" s="34"/>
      <c r="Q109" s="34"/>
    </row>
    <row r="110" spans="1:17">
      <c r="A110" s="54"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37"/>
      <c r="C110" s="132"/>
      <c r="D110" s="132"/>
      <c r="E110" s="132"/>
      <c r="F110" s="95" t="s">
        <v>213</v>
      </c>
      <c r="G110" s="239"/>
      <c r="H110" s="95"/>
      <c r="I110" s="95"/>
      <c r="J110" s="34"/>
      <c r="K110" s="34"/>
      <c r="L110" s="32"/>
      <c r="M110" s="34"/>
      <c r="N110" s="34"/>
      <c r="O110" s="34"/>
      <c r="P110" s="34"/>
      <c r="Q110" s="34"/>
    </row>
    <row r="111" spans="1:17" ht="22.5">
      <c r="A111" s="54"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29" t="s">
        <v>214</v>
      </c>
      <c r="C111" s="96" t="s">
        <v>215</v>
      </c>
      <c r="D111" s="96" t="s">
        <v>75</v>
      </c>
      <c r="E111" s="129" t="s">
        <v>75</v>
      </c>
      <c r="F111" s="95" t="s">
        <v>216</v>
      </c>
      <c r="G111" s="239"/>
      <c r="H111" s="95"/>
      <c r="I111" s="95"/>
      <c r="J111" s="34"/>
      <c r="K111" s="34"/>
      <c r="L111" s="34"/>
      <c r="M111" s="34"/>
      <c r="N111" s="34"/>
      <c r="O111" s="34"/>
      <c r="P111" s="34"/>
      <c r="Q111" s="34"/>
    </row>
    <row r="112" spans="1:17" ht="22.5">
      <c r="A112" s="54"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320" t="s">
        <v>217</v>
      </c>
      <c r="C112" s="133"/>
      <c r="D112" s="108"/>
      <c r="E112" s="138"/>
      <c r="F112" s="95" t="s">
        <v>218</v>
      </c>
      <c r="G112" s="239"/>
      <c r="H112" s="95"/>
      <c r="I112" s="95"/>
      <c r="J112" s="34"/>
      <c r="K112" s="34"/>
      <c r="L112" s="34"/>
      <c r="M112" s="34"/>
      <c r="N112" s="34"/>
      <c r="O112" s="34"/>
      <c r="P112" s="34"/>
      <c r="Q112" s="34"/>
    </row>
    <row r="113" spans="1:17" ht="22.5">
      <c r="A113" s="54"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320"/>
      <c r="C113" s="133"/>
      <c r="D113" s="108"/>
      <c r="E113" s="138"/>
      <c r="F113" s="95" t="s">
        <v>219</v>
      </c>
      <c r="G113" s="239"/>
      <c r="H113" s="95"/>
      <c r="I113" s="95"/>
      <c r="J113" s="34"/>
      <c r="K113" s="34"/>
      <c r="L113" s="34"/>
      <c r="M113" s="34"/>
      <c r="N113" s="34"/>
      <c r="O113" s="34"/>
      <c r="P113" s="34"/>
      <c r="Q113" s="34"/>
    </row>
    <row r="114" spans="1:17" ht="22.5">
      <c r="A114" s="54"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38"/>
      <c r="C114" s="133"/>
      <c r="D114" s="108"/>
      <c r="E114" s="132"/>
      <c r="F114" s="95" t="s">
        <v>220</v>
      </c>
      <c r="G114" s="239"/>
      <c r="H114" s="95"/>
      <c r="I114" s="95"/>
      <c r="J114" s="34"/>
      <c r="K114" s="34"/>
      <c r="L114" s="34"/>
      <c r="M114" s="34"/>
      <c r="N114" s="34"/>
      <c r="O114" s="34"/>
      <c r="P114" s="34"/>
      <c r="Q114" s="34"/>
    </row>
    <row r="115" spans="1:17" ht="22.5">
      <c r="A115" s="54"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38"/>
      <c r="C115" s="133"/>
      <c r="D115" s="108"/>
      <c r="E115" s="151" t="s">
        <v>159</v>
      </c>
      <c r="F115" s="152" t="s">
        <v>221</v>
      </c>
      <c r="G115" s="237" t="s">
        <v>583</v>
      </c>
      <c r="H115" s="152"/>
      <c r="I115" s="152"/>
      <c r="J115" s="157"/>
      <c r="K115" s="157"/>
      <c r="L115" s="157"/>
      <c r="M115" s="157"/>
      <c r="N115" s="157"/>
      <c r="O115" s="157"/>
      <c r="P115" s="157"/>
      <c r="Q115" s="157"/>
    </row>
    <row r="116" spans="1:17" ht="22.5">
      <c r="A116" s="54"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38"/>
      <c r="C116" s="133"/>
      <c r="D116" s="108"/>
      <c r="E116" s="151"/>
      <c r="F116" s="152" t="s">
        <v>222</v>
      </c>
      <c r="G116" s="237" t="s">
        <v>583</v>
      </c>
      <c r="H116" s="152"/>
      <c r="I116" s="152"/>
      <c r="J116" s="157"/>
      <c r="K116" s="157"/>
      <c r="L116" s="157"/>
      <c r="M116" s="157"/>
      <c r="N116" s="157"/>
      <c r="O116" s="157"/>
      <c r="P116" s="157"/>
      <c r="Q116" s="157"/>
    </row>
    <row r="117" spans="1:17" ht="22.5">
      <c r="A117" s="54"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38"/>
      <c r="C117" s="133"/>
      <c r="D117" s="108"/>
      <c r="E117" s="151"/>
      <c r="F117" s="152" t="s">
        <v>223</v>
      </c>
      <c r="G117" s="237" t="s">
        <v>583</v>
      </c>
      <c r="H117" s="152"/>
      <c r="I117" s="152"/>
      <c r="J117" s="157"/>
      <c r="K117" s="157"/>
      <c r="L117" s="157"/>
      <c r="M117" s="157"/>
      <c r="N117" s="157"/>
      <c r="O117" s="157"/>
      <c r="P117" s="157"/>
      <c r="Q117" s="157"/>
    </row>
    <row r="118" spans="1:17" ht="22.5">
      <c r="A118" s="54"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38"/>
      <c r="C118" s="133"/>
      <c r="D118" s="108"/>
      <c r="E118" s="151"/>
      <c r="F118" s="152" t="s">
        <v>224</v>
      </c>
      <c r="G118" s="237" t="s">
        <v>583</v>
      </c>
      <c r="H118" s="152"/>
      <c r="I118" s="152"/>
      <c r="J118" s="157"/>
      <c r="K118" s="157"/>
      <c r="L118" s="157"/>
      <c r="M118" s="157"/>
      <c r="N118" s="157"/>
      <c r="O118" s="157"/>
      <c r="P118" s="157"/>
      <c r="Q118" s="157"/>
    </row>
    <row r="119" spans="1:17" ht="33.75">
      <c r="A119" s="54"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38"/>
      <c r="C119" s="133"/>
      <c r="D119" s="108"/>
      <c r="E119" s="160"/>
      <c r="F119" s="152" t="s">
        <v>225</v>
      </c>
      <c r="G119" s="237" t="s">
        <v>583</v>
      </c>
      <c r="H119" s="152"/>
      <c r="I119" s="152"/>
      <c r="J119" s="157"/>
      <c r="K119" s="157"/>
      <c r="L119" s="157"/>
      <c r="M119" s="157"/>
      <c r="N119" s="157"/>
      <c r="O119" s="157"/>
      <c r="P119" s="157"/>
      <c r="Q119" s="157"/>
    </row>
    <row r="120" spans="1:17" ht="33.75">
      <c r="A120" s="54"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38"/>
      <c r="C120" s="133"/>
      <c r="D120" s="108"/>
      <c r="E120" s="151" t="s">
        <v>226</v>
      </c>
      <c r="F120" s="152" t="s">
        <v>227</v>
      </c>
      <c r="G120" s="237" t="s">
        <v>583</v>
      </c>
      <c r="H120" s="152"/>
      <c r="I120" s="152"/>
      <c r="J120" s="157"/>
      <c r="K120" s="157"/>
      <c r="L120" s="157"/>
      <c r="M120" s="157"/>
      <c r="N120" s="157"/>
      <c r="O120" s="157"/>
      <c r="P120" s="157"/>
      <c r="Q120" s="157"/>
    </row>
    <row r="121" spans="1:17" ht="33.75">
      <c r="A121" s="54"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38"/>
      <c r="C121" s="133"/>
      <c r="D121" s="108"/>
      <c r="E121" s="151"/>
      <c r="F121" s="152" t="s">
        <v>228</v>
      </c>
      <c r="G121" s="237" t="s">
        <v>583</v>
      </c>
      <c r="H121" s="152"/>
      <c r="I121" s="152"/>
      <c r="J121" s="157"/>
      <c r="K121" s="157"/>
      <c r="L121" s="157"/>
      <c r="M121" s="157"/>
      <c r="N121" s="157"/>
      <c r="O121" s="157"/>
      <c r="P121" s="157"/>
      <c r="Q121" s="157"/>
    </row>
    <row r="122" spans="1:17" ht="45">
      <c r="A122" s="54"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38"/>
      <c r="C122" s="133"/>
      <c r="D122" s="108"/>
      <c r="E122" s="151"/>
      <c r="F122" s="152" t="s">
        <v>229</v>
      </c>
      <c r="G122" s="241" t="s">
        <v>557</v>
      </c>
      <c r="H122" s="152"/>
      <c r="I122" s="152"/>
      <c r="J122" s="157"/>
      <c r="K122" s="157"/>
      <c r="L122" s="157"/>
      <c r="M122" s="157"/>
      <c r="N122" s="157"/>
      <c r="O122" s="157"/>
      <c r="P122" s="157"/>
      <c r="Q122" s="157"/>
    </row>
    <row r="123" spans="1:17" ht="45">
      <c r="A123" s="54"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38"/>
      <c r="C123" s="133"/>
      <c r="D123" s="108"/>
      <c r="E123" s="151"/>
      <c r="F123" s="152" t="s">
        <v>230</v>
      </c>
      <c r="G123" s="241" t="s">
        <v>557</v>
      </c>
      <c r="H123" s="152"/>
      <c r="I123" s="152"/>
      <c r="J123" s="157"/>
      <c r="K123" s="157"/>
      <c r="L123" s="157"/>
      <c r="M123" s="157"/>
      <c r="N123" s="157"/>
      <c r="O123" s="157"/>
      <c r="P123" s="157"/>
      <c r="Q123" s="157"/>
    </row>
    <row r="124" spans="1:17" ht="33.75">
      <c r="A124" s="54"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38"/>
      <c r="C124" s="133"/>
      <c r="D124" s="108"/>
      <c r="E124" s="160"/>
      <c r="F124" s="152" t="s">
        <v>231</v>
      </c>
      <c r="G124" s="241" t="s">
        <v>557</v>
      </c>
      <c r="H124" s="152"/>
      <c r="I124" s="152"/>
      <c r="J124" s="157"/>
      <c r="K124" s="157"/>
      <c r="L124" s="157"/>
      <c r="M124" s="157"/>
      <c r="N124" s="157"/>
      <c r="O124" s="157"/>
      <c r="P124" s="157"/>
      <c r="Q124" s="157"/>
    </row>
    <row r="125" spans="1:17" ht="33.75">
      <c r="A125" s="54"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38"/>
      <c r="C125" s="133"/>
      <c r="D125" s="132"/>
      <c r="E125" s="160" t="s">
        <v>232</v>
      </c>
      <c r="F125" s="152" t="s">
        <v>233</v>
      </c>
      <c r="G125" s="237" t="s">
        <v>583</v>
      </c>
      <c r="H125" s="152"/>
      <c r="I125" s="152"/>
      <c r="J125" s="157"/>
      <c r="K125" s="157"/>
      <c r="L125" s="157"/>
      <c r="M125" s="157"/>
      <c r="N125" s="157"/>
      <c r="O125" s="157"/>
      <c r="P125" s="157"/>
      <c r="Q125" s="157"/>
    </row>
    <row r="126" spans="1:17" ht="33.75">
      <c r="A126" s="54"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38"/>
      <c r="C126" s="131"/>
      <c r="D126" s="132" t="s">
        <v>180</v>
      </c>
      <c r="E126" s="132" t="s">
        <v>75</v>
      </c>
      <c r="F126" s="95" t="s">
        <v>234</v>
      </c>
      <c r="G126" s="239"/>
      <c r="H126" s="95"/>
      <c r="I126" s="95"/>
      <c r="J126" s="34"/>
      <c r="K126" s="34"/>
      <c r="L126" s="34"/>
      <c r="M126" s="34"/>
      <c r="N126" s="34"/>
      <c r="O126" s="34"/>
      <c r="P126" s="34"/>
      <c r="Q126" s="34"/>
    </row>
    <row r="127" spans="1:17" ht="33.75">
      <c r="A127" s="54"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38"/>
      <c r="C127" s="151" t="s">
        <v>67</v>
      </c>
      <c r="D127" s="151" t="s">
        <v>235</v>
      </c>
      <c r="E127" s="152" t="s">
        <v>236</v>
      </c>
      <c r="F127" s="152" t="s">
        <v>237</v>
      </c>
      <c r="G127" s="241" t="s">
        <v>557</v>
      </c>
      <c r="H127" s="152"/>
      <c r="I127" s="152"/>
      <c r="J127" s="157"/>
      <c r="K127" s="157"/>
      <c r="L127" s="157"/>
      <c r="M127" s="157"/>
      <c r="N127" s="157"/>
      <c r="O127" s="157"/>
      <c r="P127" s="157"/>
      <c r="Q127" s="157"/>
    </row>
    <row r="128" spans="1:17" ht="22.5">
      <c r="A128" s="54"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38"/>
      <c r="C128" s="151"/>
      <c r="D128" s="151"/>
      <c r="E128" s="151" t="s">
        <v>238</v>
      </c>
      <c r="F128" s="152" t="s">
        <v>239</v>
      </c>
      <c r="G128" s="237" t="s">
        <v>583</v>
      </c>
      <c r="H128" s="152"/>
      <c r="I128" s="152"/>
      <c r="J128" s="157"/>
      <c r="K128" s="157"/>
      <c r="L128" s="157"/>
      <c r="M128" s="157"/>
      <c r="N128" s="157"/>
      <c r="O128" s="157"/>
      <c r="P128" s="157"/>
      <c r="Q128" s="157"/>
    </row>
    <row r="129" spans="1:17" ht="22.5">
      <c r="A129" s="54"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38"/>
      <c r="C129" s="151"/>
      <c r="D129" s="151"/>
      <c r="E129" s="151"/>
      <c r="F129" s="152" t="s">
        <v>240</v>
      </c>
      <c r="G129" s="237" t="s">
        <v>583</v>
      </c>
      <c r="H129" s="152"/>
      <c r="I129" s="152"/>
      <c r="J129" s="157"/>
      <c r="K129" s="157"/>
      <c r="L129" s="157"/>
      <c r="M129" s="157"/>
      <c r="N129" s="157"/>
      <c r="O129" s="157"/>
      <c r="P129" s="157"/>
      <c r="Q129" s="157"/>
    </row>
    <row r="130" spans="1:17" ht="45">
      <c r="A130" s="54"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47"/>
      <c r="C130" s="160"/>
      <c r="D130" s="160"/>
      <c r="E130" s="160"/>
      <c r="F130" s="152" t="s">
        <v>241</v>
      </c>
      <c r="G130" s="237" t="s">
        <v>583</v>
      </c>
      <c r="H130" s="152"/>
      <c r="I130" s="152"/>
      <c r="J130" s="157"/>
      <c r="K130" s="157"/>
      <c r="L130" s="157"/>
      <c r="M130" s="157"/>
      <c r="N130" s="157"/>
      <c r="O130" s="157"/>
      <c r="P130" s="157"/>
      <c r="Q130" s="157"/>
    </row>
    <row r="131" spans="1:17" ht="22.5">
      <c r="A131" s="54"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29" t="s">
        <v>242</v>
      </c>
      <c r="C131" s="96" t="s">
        <v>215</v>
      </c>
      <c r="D131" s="96" t="s">
        <v>75</v>
      </c>
      <c r="E131" s="129" t="s">
        <v>75</v>
      </c>
      <c r="F131" s="95" t="s">
        <v>243</v>
      </c>
      <c r="G131" s="240"/>
      <c r="H131" s="95"/>
      <c r="I131" s="95"/>
      <c r="J131" s="34"/>
      <c r="K131" s="34"/>
      <c r="L131" s="34"/>
      <c r="M131" s="34"/>
      <c r="N131" s="34"/>
      <c r="O131" s="34"/>
      <c r="P131" s="34"/>
      <c r="Q131" s="34"/>
    </row>
    <row r="132" spans="1:17" ht="33.75">
      <c r="A132" s="54"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320" t="s">
        <v>244</v>
      </c>
      <c r="C132" s="133"/>
      <c r="D132" s="108"/>
      <c r="E132" s="108"/>
      <c r="F132" s="152" t="s">
        <v>245</v>
      </c>
      <c r="G132" s="241" t="s">
        <v>558</v>
      </c>
      <c r="H132" s="152"/>
      <c r="I132" s="152"/>
      <c r="J132" s="157"/>
      <c r="K132" s="157"/>
      <c r="L132" s="157"/>
      <c r="M132" s="157"/>
      <c r="N132" s="157"/>
      <c r="O132" s="157"/>
      <c r="P132" s="157"/>
      <c r="Q132" s="157"/>
    </row>
    <row r="133" spans="1:17" ht="33.75">
      <c r="A133" s="54"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320"/>
      <c r="C133" s="133"/>
      <c r="D133" s="108"/>
      <c r="E133" s="108"/>
      <c r="F133" s="152" t="s">
        <v>246</v>
      </c>
      <c r="G133" s="241" t="s">
        <v>558</v>
      </c>
      <c r="H133" s="152"/>
      <c r="I133" s="152"/>
      <c r="J133" s="157"/>
      <c r="K133" s="157"/>
      <c r="L133" s="157"/>
      <c r="M133" s="157"/>
      <c r="N133" s="157"/>
      <c r="O133" s="157"/>
      <c r="P133" s="157"/>
      <c r="Q133" s="157"/>
    </row>
    <row r="134" spans="1:17" ht="33.75">
      <c r="A134" s="54"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38"/>
      <c r="C134" s="133"/>
      <c r="D134" s="108"/>
      <c r="E134" s="132"/>
      <c r="F134" s="152" t="s">
        <v>247</v>
      </c>
      <c r="G134" s="241" t="s">
        <v>558</v>
      </c>
      <c r="H134" s="152"/>
      <c r="I134" s="152"/>
      <c r="J134" s="157"/>
      <c r="K134" s="157"/>
      <c r="L134" s="157"/>
      <c r="M134" s="157"/>
      <c r="N134" s="157"/>
      <c r="O134" s="157"/>
      <c r="P134" s="157"/>
      <c r="Q134" s="157"/>
    </row>
    <row r="135" spans="1:17" ht="22.5">
      <c r="A135" s="54"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38"/>
      <c r="C135" s="133"/>
      <c r="D135" s="108"/>
      <c r="E135" s="108" t="s">
        <v>248</v>
      </c>
      <c r="F135" s="95" t="s">
        <v>249</v>
      </c>
      <c r="G135" s="240"/>
      <c r="H135" s="95"/>
      <c r="I135" s="95"/>
      <c r="J135" s="34"/>
      <c r="K135" s="34"/>
      <c r="L135" s="34"/>
      <c r="M135" s="34"/>
      <c r="N135" s="34"/>
      <c r="O135" s="34"/>
      <c r="P135" s="34"/>
      <c r="Q135" s="34"/>
    </row>
    <row r="136" spans="1:17" ht="33.75">
      <c r="A136" s="54"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38"/>
      <c r="C136" s="133"/>
      <c r="D136" s="132"/>
      <c r="E136" s="132"/>
      <c r="F136" s="95" t="s">
        <v>250</v>
      </c>
      <c r="G136" s="240"/>
      <c r="H136" s="95"/>
      <c r="I136" s="95"/>
      <c r="J136" s="34"/>
      <c r="K136" s="34"/>
      <c r="L136" s="34"/>
      <c r="M136" s="34"/>
      <c r="N136" s="34"/>
      <c r="O136" s="34"/>
      <c r="P136" s="34"/>
      <c r="Q136" s="34"/>
    </row>
    <row r="137" spans="1:17" ht="33.75">
      <c r="A137" s="54"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38"/>
      <c r="C137" s="131"/>
      <c r="D137" s="132" t="s">
        <v>180</v>
      </c>
      <c r="E137" s="132" t="s">
        <v>75</v>
      </c>
      <c r="F137" s="95" t="s">
        <v>251</v>
      </c>
      <c r="G137" s="239"/>
      <c r="H137" s="95"/>
      <c r="I137" s="95"/>
      <c r="J137" s="34"/>
      <c r="K137" s="34"/>
      <c r="L137" s="34"/>
      <c r="M137" s="34"/>
      <c r="N137" s="34"/>
      <c r="O137" s="34"/>
      <c r="P137" s="34"/>
      <c r="Q137" s="34"/>
    </row>
    <row r="138" spans="1:17" ht="33.75">
      <c r="A138" s="54"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38"/>
      <c r="C138" s="133" t="s">
        <v>252</v>
      </c>
      <c r="D138" s="108" t="s">
        <v>235</v>
      </c>
      <c r="E138" s="152" t="s">
        <v>253</v>
      </c>
      <c r="F138" s="152" t="s">
        <v>254</v>
      </c>
      <c r="G138" s="237" t="s">
        <v>583</v>
      </c>
      <c r="H138" s="152"/>
      <c r="I138" s="152"/>
      <c r="J138" s="157"/>
      <c r="K138" s="157"/>
      <c r="L138" s="157"/>
      <c r="M138" s="157"/>
      <c r="N138" s="157"/>
      <c r="O138" s="157"/>
      <c r="P138" s="157"/>
      <c r="Q138" s="157"/>
    </row>
    <row r="139" spans="1:17" ht="33.75">
      <c r="A139" s="54"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38"/>
      <c r="C139" s="133"/>
      <c r="D139" s="108"/>
      <c r="E139" s="152" t="s">
        <v>255</v>
      </c>
      <c r="F139" s="152" t="s">
        <v>256</v>
      </c>
      <c r="G139" s="237" t="s">
        <v>583</v>
      </c>
      <c r="H139" s="152"/>
      <c r="I139" s="152"/>
      <c r="J139" s="157"/>
      <c r="K139" s="157"/>
      <c r="L139" s="157"/>
      <c r="M139" s="157"/>
      <c r="N139" s="157"/>
      <c r="O139" s="157"/>
      <c r="P139" s="157"/>
      <c r="Q139" s="157"/>
    </row>
    <row r="140" spans="1:17" ht="33.75">
      <c r="A140" s="54"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38"/>
      <c r="C140" s="133"/>
      <c r="D140" s="108"/>
      <c r="E140" s="152" t="s">
        <v>257</v>
      </c>
      <c r="F140" s="152" t="s">
        <v>258</v>
      </c>
      <c r="G140" s="237" t="s">
        <v>583</v>
      </c>
      <c r="H140" s="152"/>
      <c r="I140" s="152"/>
      <c r="J140" s="157"/>
      <c r="K140" s="157"/>
      <c r="L140" s="157"/>
      <c r="M140" s="157"/>
      <c r="N140" s="157"/>
      <c r="O140" s="157"/>
      <c r="P140" s="157"/>
      <c r="Q140" s="157"/>
    </row>
    <row r="141" spans="1:17" ht="33.75">
      <c r="A141" s="54"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38"/>
      <c r="C141" s="133"/>
      <c r="D141" s="108"/>
      <c r="E141" s="152" t="s">
        <v>236</v>
      </c>
      <c r="F141" s="152" t="s">
        <v>259</v>
      </c>
      <c r="G141" s="241" t="s">
        <v>560</v>
      </c>
      <c r="H141" s="152"/>
      <c r="I141" s="152"/>
      <c r="J141" s="157"/>
      <c r="K141" s="157"/>
      <c r="L141" s="157"/>
      <c r="M141" s="157"/>
      <c r="N141" s="157"/>
      <c r="O141" s="157"/>
      <c r="P141" s="157"/>
      <c r="Q141" s="157"/>
    </row>
    <row r="142" spans="1:17" ht="33.75">
      <c r="A142" s="54"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38"/>
      <c r="C142" s="133"/>
      <c r="D142" s="108"/>
      <c r="E142" s="152" t="s">
        <v>260</v>
      </c>
      <c r="F142" s="152" t="s">
        <v>261</v>
      </c>
      <c r="G142" s="237" t="s">
        <v>583</v>
      </c>
      <c r="H142" s="152"/>
      <c r="I142" s="152"/>
      <c r="J142" s="157"/>
      <c r="K142" s="157"/>
      <c r="L142" s="157"/>
      <c r="M142" s="157"/>
      <c r="N142" s="157"/>
      <c r="O142" s="157"/>
      <c r="P142" s="157"/>
      <c r="Q142" s="157"/>
    </row>
    <row r="143" spans="1:17" ht="22.5">
      <c r="A143" s="54"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38"/>
      <c r="C143" s="133"/>
      <c r="D143" s="108"/>
      <c r="E143" s="165" t="s">
        <v>262</v>
      </c>
      <c r="F143" s="152" t="s">
        <v>263</v>
      </c>
      <c r="G143" s="241" t="s">
        <v>561</v>
      </c>
      <c r="H143" s="152"/>
      <c r="I143" s="152"/>
      <c r="J143" s="157"/>
      <c r="K143" s="157"/>
      <c r="L143" s="157"/>
      <c r="M143" s="157"/>
      <c r="N143" s="157"/>
      <c r="O143" s="157"/>
      <c r="P143" s="157"/>
      <c r="Q143" s="157"/>
    </row>
    <row r="144" spans="1:17" ht="22.5">
      <c r="A144" s="54"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38"/>
      <c r="C144" s="133"/>
      <c r="D144" s="108"/>
      <c r="E144" s="165"/>
      <c r="F144" s="152" t="s">
        <v>264</v>
      </c>
      <c r="G144" s="241" t="s">
        <v>561</v>
      </c>
      <c r="H144" s="152"/>
      <c r="I144" s="152"/>
      <c r="J144" s="157"/>
      <c r="K144" s="157"/>
      <c r="L144" s="157"/>
      <c r="M144" s="157"/>
      <c r="N144" s="157"/>
      <c r="O144" s="157"/>
      <c r="P144" s="157"/>
      <c r="Q144" s="157"/>
    </row>
    <row r="145" spans="1:17" ht="22.5">
      <c r="A145" s="54"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38"/>
      <c r="C145" s="133"/>
      <c r="D145" s="108"/>
      <c r="E145" s="165"/>
      <c r="F145" s="152" t="s">
        <v>265</v>
      </c>
      <c r="G145" s="241" t="s">
        <v>561</v>
      </c>
      <c r="H145" s="152"/>
      <c r="I145" s="152"/>
      <c r="J145" s="157"/>
      <c r="K145" s="157"/>
      <c r="L145" s="157"/>
      <c r="M145" s="157"/>
      <c r="N145" s="157"/>
      <c r="O145" s="157"/>
      <c r="P145" s="157"/>
      <c r="Q145" s="157"/>
    </row>
    <row r="146" spans="1:17" ht="22.5">
      <c r="A146" s="54"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38"/>
      <c r="C146" s="133"/>
      <c r="D146" s="108"/>
      <c r="E146" s="165"/>
      <c r="F146" s="152" t="s">
        <v>266</v>
      </c>
      <c r="G146" s="241" t="s">
        <v>561</v>
      </c>
      <c r="H146" s="152"/>
      <c r="I146" s="152"/>
      <c r="J146" s="157"/>
      <c r="K146" s="157"/>
      <c r="L146" s="157"/>
      <c r="M146" s="157"/>
      <c r="N146" s="157"/>
      <c r="O146" s="157"/>
      <c r="P146" s="157"/>
      <c r="Q146" s="157"/>
    </row>
    <row r="147" spans="1:17" ht="22.5">
      <c r="A147" s="54"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38"/>
      <c r="C147" s="133"/>
      <c r="D147" s="108"/>
      <c r="E147" s="165"/>
      <c r="F147" s="152" t="s">
        <v>267</v>
      </c>
      <c r="G147" s="241" t="s">
        <v>561</v>
      </c>
      <c r="H147" s="152"/>
      <c r="I147" s="152"/>
      <c r="J147" s="157"/>
      <c r="K147" s="157"/>
      <c r="L147" s="157"/>
      <c r="M147" s="157"/>
      <c r="N147" s="157"/>
      <c r="O147" s="157"/>
      <c r="P147" s="157"/>
      <c r="Q147" s="157"/>
    </row>
    <row r="148" spans="1:17" ht="22.5">
      <c r="A148" s="54"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38"/>
      <c r="C148" s="133"/>
      <c r="D148" s="132"/>
      <c r="E148" s="188"/>
      <c r="F148" s="152" t="s">
        <v>268</v>
      </c>
      <c r="G148" s="241" t="s">
        <v>561</v>
      </c>
      <c r="H148" s="152"/>
      <c r="I148" s="152"/>
      <c r="J148" s="157"/>
      <c r="K148" s="157"/>
      <c r="L148" s="157"/>
      <c r="M148" s="157"/>
      <c r="N148" s="157"/>
      <c r="O148" s="157"/>
      <c r="P148" s="157"/>
      <c r="Q148" s="157"/>
    </row>
    <row r="149" spans="1:17" ht="22.5">
      <c r="A149" s="54"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38"/>
      <c r="C149" s="133"/>
      <c r="D149" s="108" t="s">
        <v>269</v>
      </c>
      <c r="E149" s="165" t="s">
        <v>75</v>
      </c>
      <c r="F149" s="152" t="s">
        <v>270</v>
      </c>
      <c r="G149" s="237" t="s">
        <v>583</v>
      </c>
      <c r="H149" s="152"/>
      <c r="I149" s="152"/>
      <c r="J149" s="157"/>
      <c r="K149" s="157"/>
      <c r="L149" s="157"/>
      <c r="M149" s="157"/>
      <c r="N149" s="157"/>
      <c r="O149" s="157"/>
      <c r="P149" s="157"/>
      <c r="Q149" s="157"/>
    </row>
    <row r="150" spans="1:17" ht="22.5">
      <c r="A150" s="54"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38"/>
      <c r="C150" s="133"/>
      <c r="D150" s="108"/>
      <c r="E150" s="160"/>
      <c r="F150" s="152" t="s">
        <v>271</v>
      </c>
      <c r="G150" s="237" t="s">
        <v>583</v>
      </c>
      <c r="H150" s="152"/>
      <c r="I150" s="152"/>
      <c r="J150" s="157"/>
      <c r="K150" s="157"/>
      <c r="L150" s="157"/>
      <c r="M150" s="157"/>
      <c r="N150" s="157"/>
      <c r="O150" s="157"/>
      <c r="P150" s="157"/>
      <c r="Q150" s="157"/>
    </row>
    <row r="151" spans="1:17" ht="33.75">
      <c r="A151" s="54"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38"/>
      <c r="C151" s="133"/>
      <c r="D151" s="108"/>
      <c r="E151" s="151" t="s">
        <v>148</v>
      </c>
      <c r="F151" s="152" t="s">
        <v>272</v>
      </c>
      <c r="G151" s="237" t="s">
        <v>583</v>
      </c>
      <c r="H151" s="152"/>
      <c r="I151" s="152"/>
      <c r="J151" s="157"/>
      <c r="K151" s="157"/>
      <c r="L151" s="157"/>
      <c r="M151" s="157"/>
      <c r="N151" s="157"/>
      <c r="O151" s="157"/>
      <c r="P151" s="157"/>
      <c r="Q151" s="157"/>
    </row>
    <row r="152" spans="1:17" ht="33.75">
      <c r="A152" s="54"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38"/>
      <c r="C152" s="133"/>
      <c r="D152" s="108"/>
      <c r="E152" s="165"/>
      <c r="F152" s="152" t="s">
        <v>273</v>
      </c>
      <c r="G152" s="237" t="s">
        <v>583</v>
      </c>
      <c r="H152" s="152"/>
      <c r="I152" s="152"/>
      <c r="J152" s="157"/>
      <c r="K152" s="157"/>
      <c r="L152" s="157"/>
      <c r="M152" s="157"/>
      <c r="N152" s="157"/>
      <c r="O152" s="157"/>
      <c r="P152" s="157"/>
      <c r="Q152" s="157"/>
    </row>
    <row r="153" spans="1:17" ht="33.75">
      <c r="A153" s="54"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38"/>
      <c r="C153" s="133"/>
      <c r="D153" s="108"/>
      <c r="E153" s="165"/>
      <c r="F153" s="152" t="s">
        <v>274</v>
      </c>
      <c r="G153" s="237" t="s">
        <v>583</v>
      </c>
      <c r="H153" s="152"/>
      <c r="I153" s="152"/>
      <c r="J153" s="157"/>
      <c r="K153" s="157"/>
      <c r="L153" s="157"/>
      <c r="M153" s="157"/>
      <c r="N153" s="157"/>
      <c r="O153" s="157"/>
      <c r="P153" s="157"/>
      <c r="Q153" s="157"/>
    </row>
    <row r="154" spans="1:17" ht="33.75">
      <c r="A154" s="54"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38"/>
      <c r="C154" s="133"/>
      <c r="D154" s="108"/>
      <c r="E154" s="165"/>
      <c r="F154" s="152" t="s">
        <v>275</v>
      </c>
      <c r="G154" s="237" t="s">
        <v>583</v>
      </c>
      <c r="H154" s="152"/>
      <c r="I154" s="152"/>
      <c r="J154" s="157"/>
      <c r="K154" s="157"/>
      <c r="L154" s="157"/>
      <c r="M154" s="157"/>
      <c r="N154" s="157"/>
      <c r="O154" s="157"/>
      <c r="P154" s="157"/>
      <c r="Q154" s="157"/>
    </row>
    <row r="155" spans="1:17" ht="33.75">
      <c r="A155" s="54"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38"/>
      <c r="C155" s="133"/>
      <c r="D155" s="108"/>
      <c r="E155" s="165"/>
      <c r="F155" s="152" t="s">
        <v>276</v>
      </c>
      <c r="G155" s="237" t="s">
        <v>583</v>
      </c>
      <c r="H155" s="152"/>
      <c r="I155" s="152"/>
      <c r="J155" s="157"/>
      <c r="K155" s="157"/>
      <c r="L155" s="157"/>
      <c r="M155" s="157"/>
      <c r="N155" s="157"/>
      <c r="O155" s="157"/>
      <c r="P155" s="157"/>
      <c r="Q155" s="157"/>
    </row>
    <row r="156" spans="1:17" ht="22.5">
      <c r="A156" s="54"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38"/>
      <c r="C156" s="133"/>
      <c r="D156" s="108"/>
      <c r="E156" s="165"/>
      <c r="F156" s="152" t="s">
        <v>277</v>
      </c>
      <c r="G156" s="237" t="s">
        <v>583</v>
      </c>
      <c r="H156" s="152"/>
      <c r="I156" s="152"/>
      <c r="J156" s="157"/>
      <c r="K156" s="157"/>
      <c r="L156" s="157"/>
      <c r="M156" s="157"/>
      <c r="N156" s="157"/>
      <c r="O156" s="157"/>
      <c r="P156" s="157"/>
      <c r="Q156" s="157"/>
    </row>
    <row r="157" spans="1:17" ht="22.5">
      <c r="A157" s="54"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38"/>
      <c r="C157" s="133"/>
      <c r="D157" s="108"/>
      <c r="E157" s="165"/>
      <c r="F157" s="152" t="s">
        <v>278</v>
      </c>
      <c r="G157" s="237" t="s">
        <v>583</v>
      </c>
      <c r="H157" s="152"/>
      <c r="I157" s="152"/>
      <c r="J157" s="157"/>
      <c r="K157" s="157"/>
      <c r="L157" s="157"/>
      <c r="M157" s="157"/>
      <c r="N157" s="157"/>
      <c r="O157" s="157"/>
      <c r="P157" s="157"/>
      <c r="Q157" s="157"/>
    </row>
    <row r="158" spans="1:17" ht="33.75">
      <c r="A158" s="54"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38"/>
      <c r="C158" s="133"/>
      <c r="D158" s="108"/>
      <c r="E158" s="165"/>
      <c r="F158" s="152" t="s">
        <v>279</v>
      </c>
      <c r="G158" s="237" t="s">
        <v>583</v>
      </c>
      <c r="H158" s="152"/>
      <c r="I158" s="152"/>
      <c r="J158" s="157"/>
      <c r="K158" s="157"/>
      <c r="L158" s="157"/>
      <c r="M158" s="157"/>
      <c r="N158" s="157"/>
      <c r="O158" s="157"/>
      <c r="P158" s="157"/>
      <c r="Q158" s="157"/>
    </row>
    <row r="159" spans="1:17" ht="33.75">
      <c r="A159" s="54"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38"/>
      <c r="C159" s="133"/>
      <c r="D159" s="108"/>
      <c r="E159" s="165"/>
      <c r="F159" s="152" t="s">
        <v>280</v>
      </c>
      <c r="G159" s="237" t="s">
        <v>583</v>
      </c>
      <c r="H159" s="152"/>
      <c r="I159" s="152"/>
      <c r="J159" s="157"/>
      <c r="K159" s="157"/>
      <c r="L159" s="157"/>
      <c r="M159" s="157"/>
      <c r="N159" s="157"/>
      <c r="O159" s="157"/>
      <c r="P159" s="157"/>
      <c r="Q159" s="157"/>
    </row>
    <row r="160" spans="1:17" ht="33.75">
      <c r="A160" s="54"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38"/>
      <c r="C160" s="133"/>
      <c r="D160" s="108"/>
      <c r="E160" s="165"/>
      <c r="F160" s="152" t="s">
        <v>281</v>
      </c>
      <c r="G160" s="237" t="s">
        <v>583</v>
      </c>
      <c r="H160" s="152"/>
      <c r="I160" s="152"/>
      <c r="J160" s="157"/>
      <c r="K160" s="157"/>
      <c r="L160" s="157"/>
      <c r="M160" s="157"/>
      <c r="N160" s="157"/>
      <c r="O160" s="157"/>
      <c r="P160" s="157"/>
      <c r="Q160" s="157"/>
    </row>
    <row r="161" spans="1:17" ht="33.75">
      <c r="A161" s="54"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38"/>
      <c r="C161" s="133"/>
      <c r="D161" s="108"/>
      <c r="E161" s="160"/>
      <c r="F161" s="152" t="s">
        <v>282</v>
      </c>
      <c r="G161" s="237" t="s">
        <v>583</v>
      </c>
      <c r="H161" s="152"/>
      <c r="I161" s="152"/>
      <c r="J161" s="157"/>
      <c r="K161" s="157"/>
      <c r="L161" s="157"/>
      <c r="M161" s="157"/>
      <c r="N161" s="157"/>
      <c r="O161" s="157"/>
      <c r="P161" s="157"/>
      <c r="Q161" s="157"/>
    </row>
    <row r="162" spans="1:17" ht="22.5">
      <c r="A162" s="54"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38"/>
      <c r="C162" s="133"/>
      <c r="D162" s="108"/>
      <c r="E162" s="151" t="s">
        <v>82</v>
      </c>
      <c r="F162" s="152" t="s">
        <v>283</v>
      </c>
      <c r="G162" s="237" t="s">
        <v>583</v>
      </c>
      <c r="H162" s="152"/>
      <c r="I162" s="152"/>
      <c r="J162" s="157"/>
      <c r="K162" s="157"/>
      <c r="L162" s="157"/>
      <c r="M162" s="157"/>
      <c r="N162" s="157"/>
      <c r="O162" s="157"/>
      <c r="P162" s="157"/>
      <c r="Q162" s="157"/>
    </row>
    <row r="163" spans="1:17" ht="22.5">
      <c r="A163" s="54"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38"/>
      <c r="C163" s="133"/>
      <c r="D163" s="108"/>
      <c r="E163" s="151"/>
      <c r="F163" s="152" t="s">
        <v>284</v>
      </c>
      <c r="G163" s="237" t="s">
        <v>583</v>
      </c>
      <c r="H163" s="152"/>
      <c r="I163" s="152"/>
      <c r="J163" s="157"/>
      <c r="K163" s="157"/>
      <c r="L163" s="157"/>
      <c r="M163" s="157"/>
      <c r="N163" s="157"/>
      <c r="O163" s="157"/>
      <c r="P163" s="157"/>
      <c r="Q163" s="157"/>
    </row>
    <row r="164" spans="1:17" ht="22.5">
      <c r="A164" s="54"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38"/>
      <c r="C164" s="133"/>
      <c r="D164" s="108"/>
      <c r="E164" s="151"/>
      <c r="F164" s="152" t="s">
        <v>285</v>
      </c>
      <c r="G164" s="237" t="s">
        <v>583</v>
      </c>
      <c r="H164" s="152"/>
      <c r="I164" s="152"/>
      <c r="J164" s="157"/>
      <c r="K164" s="157"/>
      <c r="L164" s="157"/>
      <c r="M164" s="157"/>
      <c r="N164" s="157"/>
      <c r="O164" s="157"/>
      <c r="P164" s="157"/>
      <c r="Q164" s="157"/>
    </row>
    <row r="165" spans="1:17" ht="22.5">
      <c r="A165" s="54"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38"/>
      <c r="C165" s="133"/>
      <c r="D165" s="108"/>
      <c r="E165" s="151"/>
      <c r="F165" s="152" t="s">
        <v>286</v>
      </c>
      <c r="G165" s="237" t="s">
        <v>583</v>
      </c>
      <c r="H165" s="152"/>
      <c r="I165" s="152"/>
      <c r="J165" s="157"/>
      <c r="K165" s="157"/>
      <c r="L165" s="157"/>
      <c r="M165" s="157"/>
      <c r="N165" s="157"/>
      <c r="O165" s="157"/>
      <c r="P165" s="157"/>
      <c r="Q165" s="157"/>
    </row>
    <row r="166" spans="1:17" ht="22.5">
      <c r="A166" s="54"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38"/>
      <c r="C166" s="133"/>
      <c r="D166" s="108"/>
      <c r="E166" s="151"/>
      <c r="F166" s="152" t="s">
        <v>287</v>
      </c>
      <c r="G166" s="237" t="s">
        <v>583</v>
      </c>
      <c r="H166" s="152"/>
      <c r="I166" s="152"/>
      <c r="J166" s="157"/>
      <c r="K166" s="157"/>
      <c r="L166" s="157"/>
      <c r="M166" s="157"/>
      <c r="N166" s="157"/>
      <c r="O166" s="157"/>
      <c r="P166" s="157"/>
      <c r="Q166" s="157"/>
    </row>
    <row r="167" spans="1:17" ht="33.75">
      <c r="A167" s="54"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38"/>
      <c r="C167" s="133"/>
      <c r="D167" s="108"/>
      <c r="E167" s="151"/>
      <c r="F167" s="152" t="s">
        <v>288</v>
      </c>
      <c r="G167" s="237" t="s">
        <v>583</v>
      </c>
      <c r="H167" s="152"/>
      <c r="I167" s="152"/>
      <c r="J167" s="157"/>
      <c r="K167" s="157"/>
      <c r="L167" s="157"/>
      <c r="M167" s="157"/>
      <c r="N167" s="157"/>
      <c r="O167" s="157"/>
      <c r="P167" s="157"/>
      <c r="Q167" s="157"/>
    </row>
    <row r="168" spans="1:17" ht="22.5">
      <c r="A168" s="54"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108"/>
      <c r="C168" s="133"/>
      <c r="D168" s="108"/>
      <c r="E168" s="160"/>
      <c r="F168" s="152" t="s">
        <v>289</v>
      </c>
      <c r="G168" s="241" t="s">
        <v>561</v>
      </c>
      <c r="H168" s="152"/>
      <c r="I168" s="152"/>
      <c r="J168" s="157"/>
      <c r="K168" s="157"/>
      <c r="L168" s="157"/>
      <c r="M168" s="157"/>
      <c r="N168" s="157"/>
      <c r="O168" s="157"/>
      <c r="P168" s="157"/>
      <c r="Q168" s="157"/>
    </row>
    <row r="169" spans="1:17" ht="22.5">
      <c r="A169" s="54"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108"/>
      <c r="C169" s="133"/>
      <c r="D169" s="108"/>
      <c r="E169" s="96" t="s">
        <v>226</v>
      </c>
      <c r="F169" s="152" t="s">
        <v>290</v>
      </c>
      <c r="G169" s="237" t="s">
        <v>583</v>
      </c>
      <c r="H169" s="152"/>
      <c r="I169" s="152"/>
      <c r="J169" s="157"/>
      <c r="K169" s="157"/>
      <c r="L169" s="157"/>
      <c r="M169" s="157"/>
      <c r="N169" s="157"/>
      <c r="O169" s="157"/>
      <c r="P169" s="157"/>
      <c r="Q169" s="157"/>
    </row>
    <row r="170" spans="1:17" ht="33.75">
      <c r="A170" s="54"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38"/>
      <c r="C170" s="133"/>
      <c r="D170" s="108"/>
      <c r="E170" s="108"/>
      <c r="F170" s="152" t="s">
        <v>291</v>
      </c>
      <c r="G170" s="237" t="s">
        <v>583</v>
      </c>
      <c r="H170" s="152"/>
      <c r="I170" s="152"/>
      <c r="J170" s="157"/>
      <c r="K170" s="157"/>
      <c r="L170" s="157"/>
      <c r="M170" s="157"/>
      <c r="N170" s="157"/>
      <c r="O170" s="157"/>
      <c r="P170" s="157"/>
      <c r="Q170" s="157"/>
    </row>
    <row r="171" spans="1:17" ht="33.75">
      <c r="A171" s="54"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38"/>
      <c r="C171" s="133"/>
      <c r="D171" s="108"/>
      <c r="E171" s="108"/>
      <c r="F171" s="152" t="s">
        <v>292</v>
      </c>
      <c r="G171" s="237" t="s">
        <v>583</v>
      </c>
      <c r="H171" s="152"/>
      <c r="I171" s="152"/>
      <c r="J171" s="157"/>
      <c r="K171" s="157"/>
      <c r="L171" s="157"/>
      <c r="M171" s="157"/>
      <c r="N171" s="157"/>
      <c r="O171" s="157"/>
      <c r="P171" s="157"/>
      <c r="Q171" s="157"/>
    </row>
    <row r="172" spans="1:17" ht="45">
      <c r="A172" s="54"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38"/>
      <c r="C172" s="133"/>
      <c r="D172" s="108"/>
      <c r="E172" s="108"/>
      <c r="F172" s="152" t="s">
        <v>293</v>
      </c>
      <c r="G172" s="237" t="s">
        <v>583</v>
      </c>
      <c r="H172" s="152"/>
      <c r="I172" s="152"/>
      <c r="J172" s="157"/>
      <c r="K172" s="157"/>
      <c r="L172" s="157"/>
      <c r="M172" s="157"/>
      <c r="N172" s="157"/>
      <c r="O172" s="157"/>
      <c r="P172" s="157"/>
      <c r="Q172" s="157"/>
    </row>
    <row r="173" spans="1:17" ht="45">
      <c r="A173" s="54"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38"/>
      <c r="C173" s="133"/>
      <c r="D173" s="108"/>
      <c r="E173" s="108"/>
      <c r="F173" s="152" t="s">
        <v>294</v>
      </c>
      <c r="G173" s="237" t="s">
        <v>583</v>
      </c>
      <c r="H173" s="152"/>
      <c r="I173" s="152"/>
      <c r="J173" s="157"/>
      <c r="K173" s="157"/>
      <c r="L173" s="157"/>
      <c r="M173" s="157"/>
      <c r="N173" s="157"/>
      <c r="O173" s="157"/>
      <c r="P173" s="157"/>
      <c r="Q173" s="157"/>
    </row>
    <row r="174" spans="1:17" ht="33.75">
      <c r="A174" s="54"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38"/>
      <c r="C174" s="133"/>
      <c r="D174" s="108"/>
      <c r="E174" s="108"/>
      <c r="F174" s="95" t="s">
        <v>295</v>
      </c>
      <c r="G174" s="239"/>
      <c r="H174" s="95"/>
      <c r="I174" s="95"/>
      <c r="J174" s="34"/>
      <c r="K174" s="34"/>
      <c r="L174" s="34"/>
      <c r="M174" s="34"/>
      <c r="N174" s="34"/>
      <c r="O174" s="34"/>
      <c r="P174" s="34"/>
      <c r="Q174" s="34"/>
    </row>
    <row r="175" spans="1:17" ht="45">
      <c r="A175" s="54"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38"/>
      <c r="C175" s="133"/>
      <c r="D175" s="108"/>
      <c r="E175" s="108"/>
      <c r="F175" s="152" t="s">
        <v>296</v>
      </c>
      <c r="G175" s="241" t="s">
        <v>560</v>
      </c>
      <c r="H175" s="152"/>
      <c r="I175" s="152"/>
      <c r="J175" s="157"/>
      <c r="K175" s="157"/>
      <c r="L175" s="157"/>
      <c r="M175" s="157"/>
      <c r="N175" s="157"/>
      <c r="O175" s="157"/>
      <c r="P175" s="157"/>
      <c r="Q175" s="157"/>
    </row>
    <row r="176" spans="1:17" ht="45">
      <c r="A176" s="54"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38"/>
      <c r="C176" s="133"/>
      <c r="D176" s="108"/>
      <c r="E176" s="108"/>
      <c r="F176" s="152" t="s">
        <v>297</v>
      </c>
      <c r="G176" s="241" t="s">
        <v>560</v>
      </c>
      <c r="H176" s="152"/>
      <c r="I176" s="152"/>
      <c r="J176" s="157"/>
      <c r="K176" s="157"/>
      <c r="L176" s="157"/>
      <c r="M176" s="157"/>
      <c r="N176" s="157"/>
      <c r="O176" s="157"/>
      <c r="P176" s="157"/>
      <c r="Q176" s="157"/>
    </row>
    <row r="177" spans="1:17" ht="33.75">
      <c r="A177" s="54"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38"/>
      <c r="C177" s="133"/>
      <c r="D177" s="108"/>
      <c r="E177" s="132"/>
      <c r="F177" s="152" t="s">
        <v>298</v>
      </c>
      <c r="G177" s="241" t="s">
        <v>560</v>
      </c>
      <c r="H177" s="152"/>
      <c r="I177" s="152"/>
      <c r="J177" s="157"/>
      <c r="K177" s="157"/>
      <c r="L177" s="157"/>
      <c r="M177" s="157"/>
      <c r="N177" s="157"/>
      <c r="O177" s="157"/>
      <c r="P177" s="157"/>
      <c r="Q177" s="157"/>
    </row>
    <row r="178" spans="1:17" ht="33.75">
      <c r="A178" s="54"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38"/>
      <c r="C178" s="133"/>
      <c r="D178" s="108"/>
      <c r="E178" s="152" t="s">
        <v>260</v>
      </c>
      <c r="F178" s="152" t="s">
        <v>299</v>
      </c>
      <c r="G178" s="237" t="s">
        <v>583</v>
      </c>
      <c r="H178" s="152"/>
      <c r="I178" s="152"/>
      <c r="J178" s="157"/>
      <c r="K178" s="157"/>
      <c r="L178" s="157"/>
      <c r="M178" s="157"/>
      <c r="N178" s="157"/>
      <c r="O178" s="157"/>
      <c r="P178" s="157"/>
      <c r="Q178" s="157"/>
    </row>
    <row r="179" spans="1:17" ht="22.5">
      <c r="A179" s="54"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32"/>
      <c r="C179" s="131"/>
      <c r="D179" s="132"/>
      <c r="E179" s="159" t="s">
        <v>300</v>
      </c>
      <c r="F179" s="152" t="s">
        <v>301</v>
      </c>
      <c r="G179" s="241" t="s">
        <v>562</v>
      </c>
      <c r="H179" s="152"/>
      <c r="I179" s="152"/>
      <c r="J179" s="157"/>
      <c r="K179" s="157"/>
      <c r="L179" s="157"/>
      <c r="M179" s="157"/>
      <c r="N179" s="157"/>
      <c r="O179" s="157"/>
      <c r="P179" s="157"/>
      <c r="Q179" s="157"/>
    </row>
    <row r="180" spans="1:17" ht="22.5">
      <c r="A180" s="54"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150" t="s">
        <v>302</v>
      </c>
      <c r="C180" s="150" t="s">
        <v>215</v>
      </c>
      <c r="D180" s="189" t="s">
        <v>303</v>
      </c>
      <c r="E180" s="152" t="s">
        <v>75</v>
      </c>
      <c r="F180" s="152" t="s">
        <v>304</v>
      </c>
      <c r="G180" s="241" t="s">
        <v>563</v>
      </c>
      <c r="H180" s="152"/>
      <c r="I180" s="152"/>
      <c r="J180" s="157"/>
      <c r="K180" s="157"/>
      <c r="L180" s="157"/>
      <c r="M180" s="157"/>
      <c r="N180" s="157"/>
      <c r="O180" s="157"/>
      <c r="P180" s="157"/>
      <c r="Q180" s="157"/>
    </row>
    <row r="181" spans="1:17" ht="22.5">
      <c r="A181" s="54"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51"/>
      <c r="C181" s="162"/>
      <c r="D181" s="189" t="s">
        <v>305</v>
      </c>
      <c r="E181" s="152" t="s">
        <v>75</v>
      </c>
      <c r="F181" s="152" t="s">
        <v>306</v>
      </c>
      <c r="G181" s="241" t="s">
        <v>563</v>
      </c>
      <c r="H181" s="152"/>
      <c r="I181" s="152"/>
      <c r="J181" s="157"/>
      <c r="K181" s="157"/>
      <c r="L181" s="157"/>
      <c r="M181" s="157"/>
      <c r="N181" s="157"/>
      <c r="O181" s="157"/>
      <c r="P181" s="157"/>
      <c r="Q181" s="157"/>
    </row>
    <row r="182" spans="1:17" ht="22.5">
      <c r="A182" s="54"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60"/>
      <c r="C182" s="159"/>
      <c r="D182" s="159" t="s">
        <v>307</v>
      </c>
      <c r="E182" s="159" t="s">
        <v>75</v>
      </c>
      <c r="F182" s="152" t="s">
        <v>308</v>
      </c>
      <c r="G182" s="241" t="s">
        <v>563</v>
      </c>
      <c r="H182" s="152"/>
      <c r="I182" s="152"/>
      <c r="J182" s="157"/>
      <c r="K182" s="157"/>
      <c r="L182" s="157"/>
      <c r="M182" s="157"/>
      <c r="N182" s="157"/>
      <c r="O182" s="157"/>
      <c r="P182" s="157"/>
      <c r="Q182" s="157"/>
    </row>
    <row r="183" spans="1:17" ht="22.5">
      <c r="A183" s="54"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150" t="s">
        <v>309</v>
      </c>
      <c r="C183" s="150" t="s">
        <v>215</v>
      </c>
      <c r="D183" s="150" t="s">
        <v>75</v>
      </c>
      <c r="E183" s="152" t="s">
        <v>310</v>
      </c>
      <c r="F183" s="152" t="s">
        <v>311</v>
      </c>
      <c r="G183" s="238" t="s">
        <v>584</v>
      </c>
      <c r="H183" s="152"/>
      <c r="I183" s="152"/>
      <c r="J183" s="157"/>
      <c r="K183" s="157"/>
      <c r="L183" s="157"/>
      <c r="M183" s="157"/>
      <c r="N183" s="157"/>
      <c r="O183" s="157"/>
      <c r="P183" s="157"/>
      <c r="Q183" s="157"/>
    </row>
    <row r="184" spans="1:17" ht="22.5">
      <c r="A184" s="54"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65"/>
      <c r="C184" s="165"/>
      <c r="D184" s="151"/>
      <c r="E184" s="151" t="s">
        <v>82</v>
      </c>
      <c r="F184" s="152" t="s">
        <v>312</v>
      </c>
      <c r="G184" s="238" t="s">
        <v>584</v>
      </c>
      <c r="H184" s="152"/>
      <c r="I184" s="152"/>
      <c r="J184" s="157"/>
      <c r="K184" s="157"/>
      <c r="L184" s="157"/>
      <c r="M184" s="157"/>
      <c r="N184" s="157"/>
      <c r="O184" s="157"/>
      <c r="P184" s="157"/>
      <c r="Q184" s="157"/>
    </row>
    <row r="185" spans="1:17" ht="22.5">
      <c r="A185" s="54"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65"/>
      <c r="C185" s="190"/>
      <c r="D185" s="151"/>
      <c r="E185" s="160"/>
      <c r="F185" s="152" t="s">
        <v>313</v>
      </c>
      <c r="G185" s="238" t="s">
        <v>584</v>
      </c>
      <c r="H185" s="152"/>
      <c r="I185" s="152"/>
      <c r="J185" s="157"/>
      <c r="K185" s="157"/>
      <c r="L185" s="157"/>
      <c r="M185" s="157"/>
      <c r="N185" s="157"/>
      <c r="O185" s="157"/>
      <c r="P185" s="157"/>
      <c r="Q185" s="157"/>
    </row>
    <row r="186" spans="1:17" ht="22.5">
      <c r="A186" s="54"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65"/>
      <c r="C186" s="162"/>
      <c r="D186" s="151"/>
      <c r="E186" s="151" t="s">
        <v>314</v>
      </c>
      <c r="F186" s="152" t="s">
        <v>315</v>
      </c>
      <c r="G186" s="238" t="s">
        <v>584</v>
      </c>
      <c r="H186" s="152"/>
      <c r="I186" s="152"/>
      <c r="J186" s="157"/>
      <c r="K186" s="157"/>
      <c r="L186" s="157"/>
      <c r="M186" s="157"/>
      <c r="N186" s="157"/>
      <c r="O186" s="157"/>
      <c r="P186" s="157"/>
      <c r="Q186" s="157"/>
    </row>
    <row r="187" spans="1:17" ht="22.5">
      <c r="A187" s="54"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65"/>
      <c r="C187" s="162"/>
      <c r="D187" s="191"/>
      <c r="E187" s="160"/>
      <c r="F187" s="152" t="s">
        <v>316</v>
      </c>
      <c r="G187" s="238" t="s">
        <v>584</v>
      </c>
      <c r="H187" s="152"/>
      <c r="I187" s="152"/>
      <c r="J187" s="157"/>
      <c r="K187" s="157"/>
      <c r="L187" s="157"/>
      <c r="M187" s="157"/>
      <c r="N187" s="157"/>
      <c r="O187" s="157"/>
      <c r="P187" s="157"/>
      <c r="Q187" s="157"/>
    </row>
    <row r="188" spans="1:17" ht="33.75">
      <c r="A188" s="54"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65"/>
      <c r="C188" s="159"/>
      <c r="D188" s="160" t="s">
        <v>180</v>
      </c>
      <c r="E188" s="160" t="s">
        <v>75</v>
      </c>
      <c r="F188" s="152" t="s">
        <v>317</v>
      </c>
      <c r="G188" s="238" t="s">
        <v>584</v>
      </c>
      <c r="H188" s="152"/>
      <c r="I188" s="152"/>
      <c r="J188" s="157"/>
      <c r="K188" s="157"/>
      <c r="L188" s="157"/>
      <c r="M188" s="157"/>
      <c r="N188" s="157"/>
      <c r="O188" s="157"/>
      <c r="P188" s="157"/>
      <c r="Q188" s="157"/>
    </row>
    <row r="189" spans="1:17" ht="22.5">
      <c r="A189" s="54"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65"/>
      <c r="C189" s="162" t="s">
        <v>318</v>
      </c>
      <c r="D189" s="151" t="s">
        <v>319</v>
      </c>
      <c r="E189" s="151" t="s">
        <v>320</v>
      </c>
      <c r="F189" s="152" t="s">
        <v>321</v>
      </c>
      <c r="G189" s="238" t="s">
        <v>584</v>
      </c>
      <c r="H189" s="152"/>
      <c r="I189" s="152"/>
      <c r="J189" s="157"/>
      <c r="K189" s="157"/>
      <c r="L189" s="157"/>
      <c r="M189" s="157"/>
      <c r="N189" s="157"/>
      <c r="O189" s="157"/>
      <c r="P189" s="157"/>
      <c r="Q189" s="157"/>
    </row>
    <row r="190" spans="1:17" ht="22.5">
      <c r="A190" s="54"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65"/>
      <c r="C190" s="190"/>
      <c r="D190" s="151"/>
      <c r="E190" s="151"/>
      <c r="F190" s="152" t="s">
        <v>322</v>
      </c>
      <c r="G190" s="238" t="s">
        <v>584</v>
      </c>
      <c r="H190" s="152"/>
      <c r="I190" s="152"/>
      <c r="J190" s="157"/>
      <c r="K190" s="157"/>
      <c r="L190" s="157"/>
      <c r="M190" s="157"/>
      <c r="N190" s="157"/>
      <c r="O190" s="157"/>
      <c r="P190" s="157"/>
      <c r="Q190" s="157"/>
    </row>
    <row r="191" spans="1:17" ht="22.5">
      <c r="A191" s="54"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65"/>
      <c r="C191" s="190"/>
      <c r="D191" s="151"/>
      <c r="E191" s="151"/>
      <c r="F191" s="152" t="s">
        <v>323</v>
      </c>
      <c r="G191" s="238" t="s">
        <v>584</v>
      </c>
      <c r="H191" s="152"/>
      <c r="I191" s="152"/>
      <c r="J191" s="157"/>
      <c r="K191" s="157"/>
      <c r="L191" s="157"/>
      <c r="M191" s="157"/>
      <c r="N191" s="157"/>
      <c r="O191" s="157"/>
      <c r="P191" s="157"/>
      <c r="Q191" s="157"/>
    </row>
    <row r="192" spans="1:17" ht="22.5">
      <c r="A192" s="54"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65"/>
      <c r="C192" s="190"/>
      <c r="D192" s="151"/>
      <c r="E192" s="151"/>
      <c r="F192" s="152" t="s">
        <v>324</v>
      </c>
      <c r="G192" s="238" t="s">
        <v>584</v>
      </c>
      <c r="H192" s="152"/>
      <c r="I192" s="152"/>
      <c r="J192" s="157"/>
      <c r="K192" s="157"/>
      <c r="L192" s="157"/>
      <c r="M192" s="157"/>
      <c r="N192" s="157"/>
      <c r="O192" s="157"/>
      <c r="P192" s="157"/>
      <c r="Q192" s="157"/>
    </row>
    <row r="193" spans="1:17" ht="22.5">
      <c r="A193" s="54"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65"/>
      <c r="C193" s="190"/>
      <c r="D193" s="151"/>
      <c r="E193" s="151"/>
      <c r="F193" s="152" t="s">
        <v>325</v>
      </c>
      <c r="G193" s="238" t="s">
        <v>584</v>
      </c>
      <c r="H193" s="152"/>
      <c r="I193" s="152"/>
      <c r="J193" s="157"/>
      <c r="K193" s="157"/>
      <c r="L193" s="157"/>
      <c r="M193" s="157"/>
      <c r="N193" s="157"/>
      <c r="O193" s="157"/>
      <c r="P193" s="157"/>
      <c r="Q193" s="157"/>
    </row>
    <row r="194" spans="1:17" ht="22.5">
      <c r="A194" s="54"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65"/>
      <c r="C194" s="190"/>
      <c r="D194" s="151"/>
      <c r="E194" s="151"/>
      <c r="F194" s="152" t="s">
        <v>326</v>
      </c>
      <c r="G194" s="238" t="s">
        <v>584</v>
      </c>
      <c r="H194" s="152"/>
      <c r="I194" s="152"/>
      <c r="J194" s="157"/>
      <c r="K194" s="157"/>
      <c r="L194" s="157"/>
      <c r="M194" s="157"/>
      <c r="N194" s="157"/>
      <c r="O194" s="157"/>
      <c r="P194" s="157"/>
      <c r="Q194" s="157"/>
    </row>
    <row r="195" spans="1:17" ht="22.5">
      <c r="A195" s="54"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65"/>
      <c r="C195" s="190"/>
      <c r="D195" s="151"/>
      <c r="E195" s="160"/>
      <c r="F195" s="152" t="s">
        <v>327</v>
      </c>
      <c r="G195" s="238" t="s">
        <v>584</v>
      </c>
      <c r="H195" s="152"/>
      <c r="I195" s="152"/>
      <c r="J195" s="157"/>
      <c r="K195" s="157"/>
      <c r="L195" s="157"/>
      <c r="M195" s="157"/>
      <c r="N195" s="157"/>
      <c r="O195" s="157"/>
      <c r="P195" s="157"/>
      <c r="Q195" s="157"/>
    </row>
    <row r="196" spans="1:17" ht="22.5">
      <c r="A196" s="54"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65"/>
      <c r="C196" s="165"/>
      <c r="D196" s="160"/>
      <c r="E196" s="160" t="s">
        <v>328</v>
      </c>
      <c r="F196" s="152" t="s">
        <v>329</v>
      </c>
      <c r="G196" s="238" t="s">
        <v>584</v>
      </c>
      <c r="H196" s="152"/>
      <c r="I196" s="152"/>
      <c r="J196" s="157"/>
      <c r="K196" s="157"/>
      <c r="L196" s="157"/>
      <c r="M196" s="157"/>
      <c r="N196" s="157"/>
      <c r="O196" s="157"/>
      <c r="P196" s="157"/>
      <c r="Q196" s="157"/>
    </row>
    <row r="197" spans="1:17" ht="22.5">
      <c r="A197" s="54"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65"/>
      <c r="C197" s="165"/>
      <c r="D197" s="151" t="s">
        <v>330</v>
      </c>
      <c r="E197" s="151" t="s">
        <v>148</v>
      </c>
      <c r="F197" s="152" t="s">
        <v>331</v>
      </c>
      <c r="G197" s="238" t="s">
        <v>584</v>
      </c>
      <c r="H197" s="152"/>
      <c r="I197" s="152"/>
      <c r="J197" s="157"/>
      <c r="K197" s="157"/>
      <c r="L197" s="157"/>
      <c r="M197" s="157"/>
      <c r="N197" s="157"/>
      <c r="O197" s="157"/>
      <c r="P197" s="157"/>
      <c r="Q197" s="157"/>
    </row>
    <row r="198" spans="1:17" ht="22.5">
      <c r="A198" s="54"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65"/>
      <c r="C198" s="165"/>
      <c r="D198" s="151"/>
      <c r="E198" s="151"/>
      <c r="F198" s="152" t="s">
        <v>332</v>
      </c>
      <c r="G198" s="238" t="s">
        <v>584</v>
      </c>
      <c r="H198" s="152"/>
      <c r="I198" s="152"/>
      <c r="J198" s="157"/>
      <c r="K198" s="157"/>
      <c r="L198" s="157"/>
      <c r="M198" s="157"/>
      <c r="N198" s="157"/>
      <c r="O198" s="157"/>
      <c r="P198" s="157"/>
      <c r="Q198" s="157"/>
    </row>
    <row r="199" spans="1:17" ht="22.5">
      <c r="A199" s="54"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65"/>
      <c r="C199" s="165"/>
      <c r="D199" s="151"/>
      <c r="E199" s="151"/>
      <c r="F199" s="152" t="s">
        <v>333</v>
      </c>
      <c r="G199" s="238" t="s">
        <v>584</v>
      </c>
      <c r="H199" s="152"/>
      <c r="I199" s="152"/>
      <c r="J199" s="157"/>
      <c r="K199" s="157"/>
      <c r="L199" s="157"/>
      <c r="M199" s="157"/>
      <c r="N199" s="157"/>
      <c r="O199" s="157"/>
      <c r="P199" s="157"/>
      <c r="Q199" s="157"/>
    </row>
    <row r="200" spans="1:17" ht="22.5">
      <c r="A200" s="54"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65"/>
      <c r="C200" s="165"/>
      <c r="D200" s="151"/>
      <c r="E200" s="151"/>
      <c r="F200" s="152" t="s">
        <v>334</v>
      </c>
      <c r="G200" s="238" t="s">
        <v>584</v>
      </c>
      <c r="H200" s="152"/>
      <c r="I200" s="152"/>
      <c r="J200" s="157"/>
      <c r="K200" s="157"/>
      <c r="L200" s="157"/>
      <c r="M200" s="157"/>
      <c r="N200" s="157"/>
      <c r="O200" s="157"/>
      <c r="P200" s="157"/>
      <c r="Q200" s="157"/>
    </row>
    <row r="201" spans="1:17" ht="33.75">
      <c r="A201" s="54"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65"/>
      <c r="C201" s="165"/>
      <c r="D201" s="151"/>
      <c r="E201" s="151"/>
      <c r="F201" s="152" t="s">
        <v>335</v>
      </c>
      <c r="G201" s="238" t="s">
        <v>584</v>
      </c>
      <c r="H201" s="152"/>
      <c r="I201" s="152"/>
      <c r="J201" s="157"/>
      <c r="K201" s="157"/>
      <c r="L201" s="157"/>
      <c r="M201" s="157"/>
      <c r="N201" s="157"/>
      <c r="O201" s="157"/>
      <c r="P201" s="157"/>
      <c r="Q201" s="157"/>
    </row>
    <row r="202" spans="1:17" ht="33.75">
      <c r="A202" s="54"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65"/>
      <c r="C202" s="165"/>
      <c r="D202" s="151"/>
      <c r="E202" s="151"/>
      <c r="F202" s="152" t="s">
        <v>336</v>
      </c>
      <c r="G202" s="238" t="s">
        <v>584</v>
      </c>
      <c r="H202" s="152"/>
      <c r="I202" s="152"/>
      <c r="J202" s="157"/>
      <c r="K202" s="157"/>
      <c r="L202" s="157"/>
      <c r="M202" s="157"/>
      <c r="N202" s="157"/>
      <c r="O202" s="157"/>
      <c r="P202" s="157"/>
      <c r="Q202" s="157"/>
    </row>
    <row r="203" spans="1:17" ht="45">
      <c r="A203" s="54"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65"/>
      <c r="C203" s="165"/>
      <c r="D203" s="151"/>
      <c r="E203" s="151"/>
      <c r="F203" s="152" t="s">
        <v>337</v>
      </c>
      <c r="G203" s="238" t="s">
        <v>584</v>
      </c>
      <c r="H203" s="152"/>
      <c r="I203" s="152"/>
      <c r="J203" s="157"/>
      <c r="K203" s="157"/>
      <c r="L203" s="157"/>
      <c r="M203" s="157"/>
      <c r="N203" s="157"/>
      <c r="O203" s="157"/>
      <c r="P203" s="157"/>
      <c r="Q203" s="157"/>
    </row>
    <row r="204" spans="1:17" ht="33.75">
      <c r="A204" s="54"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65"/>
      <c r="C204" s="165"/>
      <c r="D204" s="151"/>
      <c r="E204" s="151"/>
      <c r="F204" s="152" t="s">
        <v>338</v>
      </c>
      <c r="G204" s="238" t="s">
        <v>584</v>
      </c>
      <c r="H204" s="152"/>
      <c r="I204" s="152"/>
      <c r="J204" s="157"/>
      <c r="K204" s="157"/>
      <c r="L204" s="157"/>
      <c r="M204" s="157"/>
      <c r="N204" s="157"/>
      <c r="O204" s="157"/>
      <c r="P204" s="157"/>
      <c r="Q204" s="157"/>
    </row>
    <row r="205" spans="1:17" ht="33.75">
      <c r="A205" s="54"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65"/>
      <c r="C205" s="165"/>
      <c r="D205" s="151"/>
      <c r="E205" s="151"/>
      <c r="F205" s="152" t="s">
        <v>339</v>
      </c>
      <c r="G205" s="238" t="s">
        <v>584</v>
      </c>
      <c r="H205" s="152"/>
      <c r="I205" s="152"/>
      <c r="J205" s="157"/>
      <c r="K205" s="157"/>
      <c r="L205" s="157"/>
      <c r="M205" s="157"/>
      <c r="N205" s="157"/>
      <c r="O205" s="157"/>
      <c r="P205" s="157"/>
      <c r="Q205" s="157"/>
    </row>
    <row r="206" spans="1:17" ht="22.5">
      <c r="A206" s="54"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65"/>
      <c r="C206" s="165"/>
      <c r="D206" s="151"/>
      <c r="E206" s="151"/>
      <c r="F206" s="152" t="s">
        <v>340</v>
      </c>
      <c r="G206" s="238" t="s">
        <v>584</v>
      </c>
      <c r="H206" s="152"/>
      <c r="I206" s="152"/>
      <c r="J206" s="157"/>
      <c r="K206" s="157"/>
      <c r="L206" s="157"/>
      <c r="M206" s="157"/>
      <c r="N206" s="157"/>
      <c r="O206" s="157"/>
      <c r="P206" s="157"/>
      <c r="Q206" s="157"/>
    </row>
    <row r="207" spans="1:17" ht="22.5">
      <c r="A207" s="54"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65"/>
      <c r="C207" s="165"/>
      <c r="D207" s="151"/>
      <c r="E207" s="151"/>
      <c r="F207" s="152" t="s">
        <v>341</v>
      </c>
      <c r="G207" s="238" t="s">
        <v>584</v>
      </c>
      <c r="H207" s="152"/>
      <c r="I207" s="152"/>
      <c r="J207" s="157"/>
      <c r="K207" s="157"/>
      <c r="L207" s="157"/>
      <c r="M207" s="157"/>
      <c r="N207" s="157"/>
      <c r="O207" s="157"/>
      <c r="P207" s="157"/>
      <c r="Q207" s="157"/>
    </row>
    <row r="208" spans="1:17" ht="33.75">
      <c r="A208" s="54"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65"/>
      <c r="C208" s="165"/>
      <c r="D208" s="151"/>
      <c r="E208" s="151"/>
      <c r="F208" s="152" t="s">
        <v>342</v>
      </c>
      <c r="G208" s="238" t="s">
        <v>584</v>
      </c>
      <c r="H208" s="152"/>
      <c r="I208" s="152"/>
      <c r="J208" s="157"/>
      <c r="K208" s="157"/>
      <c r="L208" s="157"/>
      <c r="M208" s="157"/>
      <c r="N208" s="157"/>
      <c r="O208" s="157"/>
      <c r="P208" s="157"/>
      <c r="Q208" s="157"/>
    </row>
    <row r="209" spans="1:17" ht="22.5">
      <c r="A209" s="54"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51"/>
      <c r="C209" s="165"/>
      <c r="D209" s="160"/>
      <c r="E209" s="160"/>
      <c r="F209" s="152" t="s">
        <v>343</v>
      </c>
      <c r="G209" s="238" t="s">
        <v>584</v>
      </c>
      <c r="H209" s="152"/>
      <c r="I209" s="152"/>
      <c r="J209" s="157"/>
      <c r="K209" s="157"/>
      <c r="L209" s="157"/>
      <c r="M209" s="157"/>
      <c r="N209" s="157"/>
      <c r="O209" s="157"/>
      <c r="P209" s="157"/>
      <c r="Q209" s="157"/>
    </row>
    <row r="210" spans="1:17" ht="22.5">
      <c r="A210" s="54"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51"/>
      <c r="C210" s="165"/>
      <c r="D210" s="150" t="s">
        <v>344</v>
      </c>
      <c r="E210" s="150" t="s">
        <v>148</v>
      </c>
      <c r="F210" s="152" t="s">
        <v>345</v>
      </c>
      <c r="G210" s="238" t="s">
        <v>584</v>
      </c>
      <c r="H210" s="152"/>
      <c r="I210" s="152"/>
      <c r="J210" s="157"/>
      <c r="K210" s="157"/>
      <c r="L210" s="157"/>
      <c r="M210" s="157"/>
      <c r="N210" s="157"/>
      <c r="O210" s="157"/>
      <c r="P210" s="157"/>
      <c r="Q210" s="157"/>
    </row>
    <row r="211" spans="1:17" ht="22.5">
      <c r="A211" s="54"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65"/>
      <c r="C211" s="165"/>
      <c r="D211" s="151"/>
      <c r="E211" s="151"/>
      <c r="F211" s="152" t="s">
        <v>346</v>
      </c>
      <c r="G211" s="238" t="s">
        <v>584</v>
      </c>
      <c r="H211" s="152"/>
      <c r="I211" s="152"/>
      <c r="J211" s="157"/>
      <c r="K211" s="157"/>
      <c r="L211" s="157"/>
      <c r="M211" s="157"/>
      <c r="N211" s="157"/>
      <c r="O211" s="157"/>
      <c r="P211" s="157"/>
      <c r="Q211" s="157"/>
    </row>
    <row r="212" spans="1:17" ht="22.5">
      <c r="A212" s="54"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65"/>
      <c r="C212" s="165"/>
      <c r="D212" s="151"/>
      <c r="E212" s="151"/>
      <c r="F212" s="152" t="s">
        <v>347</v>
      </c>
      <c r="G212" s="238" t="s">
        <v>584</v>
      </c>
      <c r="H212" s="152"/>
      <c r="I212" s="152"/>
      <c r="J212" s="157"/>
      <c r="K212" s="157"/>
      <c r="L212" s="157"/>
      <c r="M212" s="157"/>
      <c r="N212" s="157"/>
      <c r="O212" s="157"/>
      <c r="P212" s="157"/>
      <c r="Q212" s="157"/>
    </row>
    <row r="213" spans="1:17" ht="22.5">
      <c r="A213" s="54"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65"/>
      <c r="C213" s="165"/>
      <c r="D213" s="151"/>
      <c r="E213" s="151"/>
      <c r="F213" s="152" t="s">
        <v>333</v>
      </c>
      <c r="G213" s="238" t="s">
        <v>584</v>
      </c>
      <c r="H213" s="152"/>
      <c r="I213" s="152"/>
      <c r="J213" s="157"/>
      <c r="K213" s="157"/>
      <c r="L213" s="157"/>
      <c r="M213" s="157"/>
      <c r="N213" s="157"/>
      <c r="O213" s="157"/>
      <c r="P213" s="157"/>
      <c r="Q213" s="157"/>
    </row>
    <row r="214" spans="1:17" ht="22.5">
      <c r="A214" s="54"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65"/>
      <c r="C214" s="165"/>
      <c r="D214" s="151"/>
      <c r="E214" s="151"/>
      <c r="F214" s="152" t="s">
        <v>334</v>
      </c>
      <c r="G214" s="238" t="s">
        <v>584</v>
      </c>
      <c r="H214" s="152"/>
      <c r="I214" s="152"/>
      <c r="J214" s="157"/>
      <c r="K214" s="157"/>
      <c r="L214" s="157"/>
      <c r="M214" s="157"/>
      <c r="N214" s="157"/>
      <c r="O214" s="157"/>
      <c r="P214" s="157"/>
      <c r="Q214" s="157"/>
    </row>
    <row r="215" spans="1:17" ht="45">
      <c r="A215" s="54"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65"/>
      <c r="C215" s="165"/>
      <c r="D215" s="151"/>
      <c r="E215" s="151"/>
      <c r="F215" s="152" t="s">
        <v>348</v>
      </c>
      <c r="G215" s="238" t="s">
        <v>584</v>
      </c>
      <c r="H215" s="152"/>
      <c r="I215" s="152"/>
      <c r="J215" s="157"/>
      <c r="K215" s="157"/>
      <c r="L215" s="157"/>
      <c r="M215" s="157"/>
      <c r="N215" s="157"/>
      <c r="O215" s="157"/>
      <c r="P215" s="157"/>
      <c r="Q215" s="157"/>
    </row>
    <row r="216" spans="1:17" ht="33.75">
      <c r="A216" s="54"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65"/>
      <c r="C216" s="165"/>
      <c r="D216" s="151"/>
      <c r="E216" s="151"/>
      <c r="F216" s="152" t="s">
        <v>349</v>
      </c>
      <c r="G216" s="238" t="s">
        <v>584</v>
      </c>
      <c r="H216" s="152"/>
      <c r="I216" s="152"/>
      <c r="J216" s="157"/>
      <c r="K216" s="157"/>
      <c r="L216" s="157"/>
      <c r="M216" s="157"/>
      <c r="N216" s="157"/>
      <c r="O216" s="157"/>
      <c r="P216" s="157"/>
      <c r="Q216" s="157"/>
    </row>
    <row r="217" spans="1:17" ht="33.75">
      <c r="A217" s="54"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65"/>
      <c r="C217" s="165"/>
      <c r="D217" s="151"/>
      <c r="E217" s="151"/>
      <c r="F217" s="152" t="s">
        <v>350</v>
      </c>
      <c r="G217" s="238" t="s">
        <v>584</v>
      </c>
      <c r="H217" s="152"/>
      <c r="I217" s="152"/>
      <c r="J217" s="157"/>
      <c r="K217" s="157"/>
      <c r="L217" s="157"/>
      <c r="M217" s="157"/>
      <c r="N217" s="157"/>
      <c r="O217" s="157"/>
      <c r="P217" s="157"/>
      <c r="Q217" s="157"/>
    </row>
    <row r="218" spans="1:17" ht="45">
      <c r="A218" s="54"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65"/>
      <c r="C218" s="165"/>
      <c r="D218" s="151"/>
      <c r="E218" s="151"/>
      <c r="F218" s="152" t="s">
        <v>351</v>
      </c>
      <c r="G218" s="238" t="s">
        <v>584</v>
      </c>
      <c r="H218" s="152"/>
      <c r="I218" s="152"/>
      <c r="J218" s="157"/>
      <c r="K218" s="157"/>
      <c r="L218" s="157"/>
      <c r="M218" s="157"/>
      <c r="N218" s="157"/>
      <c r="O218" s="157"/>
      <c r="P218" s="157"/>
      <c r="Q218" s="157"/>
    </row>
    <row r="219" spans="1:17" ht="33.75">
      <c r="A219" s="54"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65"/>
      <c r="C219" s="165"/>
      <c r="D219" s="151"/>
      <c r="E219" s="151"/>
      <c r="F219" s="152" t="s">
        <v>352</v>
      </c>
      <c r="G219" s="238" t="s">
        <v>584</v>
      </c>
      <c r="H219" s="152"/>
      <c r="I219" s="152"/>
      <c r="J219" s="157"/>
      <c r="K219" s="157"/>
      <c r="L219" s="157"/>
      <c r="M219" s="157"/>
      <c r="N219" s="157"/>
      <c r="O219" s="157"/>
      <c r="P219" s="157"/>
      <c r="Q219" s="157"/>
    </row>
    <row r="220" spans="1:17" ht="33.75">
      <c r="A220" s="54"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65"/>
      <c r="C220" s="165"/>
      <c r="D220" s="151"/>
      <c r="E220" s="151"/>
      <c r="F220" s="152" t="s">
        <v>353</v>
      </c>
      <c r="G220" s="238" t="s">
        <v>584</v>
      </c>
      <c r="H220" s="152"/>
      <c r="I220" s="152"/>
      <c r="J220" s="157"/>
      <c r="K220" s="157"/>
      <c r="L220" s="157"/>
      <c r="M220" s="157"/>
      <c r="N220" s="157"/>
      <c r="O220" s="157"/>
      <c r="P220" s="157"/>
      <c r="Q220" s="157"/>
    </row>
    <row r="221" spans="1:17" ht="22.5">
      <c r="A221" s="54"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65"/>
      <c r="C221" s="165"/>
      <c r="D221" s="151"/>
      <c r="E221" s="151"/>
      <c r="F221" s="152" t="s">
        <v>354</v>
      </c>
      <c r="G221" s="238" t="s">
        <v>584</v>
      </c>
      <c r="H221" s="152"/>
      <c r="I221" s="152"/>
      <c r="J221" s="157"/>
      <c r="K221" s="157"/>
      <c r="L221" s="157"/>
      <c r="M221" s="157"/>
      <c r="N221" s="157"/>
      <c r="O221" s="157"/>
      <c r="P221" s="157"/>
      <c r="Q221" s="157"/>
    </row>
    <row r="222" spans="1:17" ht="22.5">
      <c r="A222" s="54"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65"/>
      <c r="C222" s="165"/>
      <c r="D222" s="151"/>
      <c r="E222" s="151"/>
      <c r="F222" s="152" t="s">
        <v>355</v>
      </c>
      <c r="G222" s="238" t="s">
        <v>584</v>
      </c>
      <c r="H222" s="152"/>
      <c r="I222" s="152"/>
      <c r="J222" s="157"/>
      <c r="K222" s="157"/>
      <c r="L222" s="157"/>
      <c r="M222" s="157"/>
      <c r="N222" s="157"/>
      <c r="O222" s="157"/>
      <c r="P222" s="157"/>
      <c r="Q222" s="157"/>
    </row>
    <row r="223" spans="1:17" ht="33.75">
      <c r="A223" s="54"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65"/>
      <c r="C223" s="165"/>
      <c r="D223" s="151"/>
      <c r="E223" s="151"/>
      <c r="F223" s="152" t="s">
        <v>356</v>
      </c>
      <c r="G223" s="238" t="s">
        <v>584</v>
      </c>
      <c r="H223" s="152"/>
      <c r="I223" s="152"/>
      <c r="J223" s="157"/>
      <c r="K223" s="157"/>
      <c r="L223" s="157"/>
      <c r="M223" s="157"/>
      <c r="N223" s="157"/>
      <c r="O223" s="157"/>
      <c r="P223" s="157"/>
      <c r="Q223" s="157"/>
    </row>
    <row r="224" spans="1:17" ht="22.5">
      <c r="A224" s="54"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65"/>
      <c r="C224" s="165"/>
      <c r="D224" s="151"/>
      <c r="E224" s="160"/>
      <c r="F224" s="152" t="s">
        <v>343</v>
      </c>
      <c r="G224" s="238" t="s">
        <v>584</v>
      </c>
      <c r="H224" s="152"/>
      <c r="I224" s="152"/>
      <c r="J224" s="157"/>
      <c r="K224" s="157"/>
      <c r="L224" s="157"/>
      <c r="M224" s="157"/>
      <c r="N224" s="157"/>
      <c r="O224" s="157"/>
      <c r="P224" s="157"/>
      <c r="Q224" s="157"/>
    </row>
    <row r="225" spans="1:17" ht="45">
      <c r="A225" s="54"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65"/>
      <c r="C225" s="165"/>
      <c r="D225" s="151"/>
      <c r="E225" s="151" t="s">
        <v>357</v>
      </c>
      <c r="F225" s="152" t="s">
        <v>358</v>
      </c>
      <c r="G225" s="238" t="s">
        <v>584</v>
      </c>
      <c r="H225" s="152"/>
      <c r="I225" s="152"/>
      <c r="J225" s="157"/>
      <c r="K225" s="157"/>
      <c r="L225" s="157"/>
      <c r="M225" s="157"/>
      <c r="N225" s="157"/>
      <c r="O225" s="157"/>
      <c r="P225" s="157"/>
      <c r="Q225" s="157"/>
    </row>
    <row r="226" spans="1:17" ht="45">
      <c r="A226" s="54"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65"/>
      <c r="C226" s="165"/>
      <c r="D226" s="151"/>
      <c r="E226" s="151"/>
      <c r="F226" s="152" t="s">
        <v>359</v>
      </c>
      <c r="G226" s="238" t="s">
        <v>584</v>
      </c>
      <c r="H226" s="152"/>
      <c r="I226" s="152"/>
      <c r="J226" s="157"/>
      <c r="K226" s="157"/>
      <c r="L226" s="157"/>
      <c r="M226" s="157"/>
      <c r="N226" s="157"/>
      <c r="O226" s="157"/>
      <c r="P226" s="157"/>
      <c r="Q226" s="157"/>
    </row>
    <row r="227" spans="1:17" ht="33.75">
      <c r="A227" s="54"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65"/>
      <c r="C227" s="165"/>
      <c r="D227" s="151"/>
      <c r="E227" s="160"/>
      <c r="F227" s="152" t="s">
        <v>360</v>
      </c>
      <c r="G227" s="238" t="s">
        <v>584</v>
      </c>
      <c r="H227" s="152"/>
      <c r="I227" s="152"/>
      <c r="J227" s="157"/>
      <c r="K227" s="157"/>
      <c r="L227" s="157"/>
      <c r="M227" s="157"/>
      <c r="N227" s="157"/>
      <c r="O227" s="157"/>
      <c r="P227" s="157"/>
      <c r="Q227" s="157"/>
    </row>
    <row r="228" spans="1:17" ht="33.75">
      <c r="A228" s="54"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65"/>
      <c r="C228" s="165"/>
      <c r="D228" s="151"/>
      <c r="E228" s="160" t="s">
        <v>173</v>
      </c>
      <c r="F228" s="152" t="s">
        <v>361</v>
      </c>
      <c r="G228" s="238" t="s">
        <v>584</v>
      </c>
      <c r="H228" s="152"/>
      <c r="I228" s="152"/>
      <c r="J228" s="157"/>
      <c r="K228" s="157"/>
      <c r="L228" s="157"/>
      <c r="M228" s="157"/>
      <c r="N228" s="157"/>
      <c r="O228" s="157"/>
      <c r="P228" s="157"/>
      <c r="Q228" s="157"/>
    </row>
    <row r="229" spans="1:17" ht="22.5">
      <c r="A229" s="54"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60"/>
      <c r="C229" s="160"/>
      <c r="D229" s="160"/>
      <c r="E229" s="188" t="s">
        <v>362</v>
      </c>
      <c r="F229" s="152" t="s">
        <v>363</v>
      </c>
      <c r="G229" s="238" t="s">
        <v>584</v>
      </c>
      <c r="H229" s="152"/>
      <c r="I229" s="152"/>
      <c r="J229" s="157"/>
      <c r="K229" s="157"/>
      <c r="L229" s="157"/>
      <c r="M229" s="157"/>
      <c r="N229" s="157"/>
      <c r="O229" s="157"/>
      <c r="P229" s="157"/>
      <c r="Q229" s="157"/>
    </row>
    <row r="230" spans="1:17" ht="22.5">
      <c r="A230" s="54"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150" t="s">
        <v>364</v>
      </c>
      <c r="C230" s="150" t="s">
        <v>215</v>
      </c>
      <c r="D230" s="150" t="s">
        <v>75</v>
      </c>
      <c r="E230" s="152" t="s">
        <v>75</v>
      </c>
      <c r="F230" s="152" t="s">
        <v>365</v>
      </c>
      <c r="G230" s="238" t="s">
        <v>565</v>
      </c>
      <c r="H230" s="152"/>
      <c r="I230" s="152"/>
      <c r="J230" s="157"/>
      <c r="K230" s="157"/>
      <c r="L230" s="157"/>
      <c r="M230" s="157"/>
      <c r="N230" s="157"/>
      <c r="O230" s="157"/>
      <c r="P230" s="157"/>
      <c r="Q230" s="157"/>
    </row>
    <row r="231" spans="1:17" ht="22.5">
      <c r="A231" s="54"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65"/>
      <c r="C231" s="151"/>
      <c r="D231" s="151"/>
      <c r="E231" s="151" t="s">
        <v>159</v>
      </c>
      <c r="F231" s="152" t="s">
        <v>366</v>
      </c>
      <c r="G231" s="238" t="s">
        <v>565</v>
      </c>
      <c r="H231" s="152"/>
      <c r="I231" s="152"/>
      <c r="J231" s="157"/>
      <c r="K231" s="157"/>
      <c r="L231" s="157"/>
      <c r="M231" s="157"/>
      <c r="N231" s="157"/>
      <c r="O231" s="157"/>
      <c r="P231" s="157"/>
      <c r="Q231" s="157"/>
    </row>
    <row r="232" spans="1:17" ht="22.5">
      <c r="A232" s="54"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65"/>
      <c r="C232" s="151"/>
      <c r="D232" s="151"/>
      <c r="E232" s="151"/>
      <c r="F232" s="152" t="s">
        <v>367</v>
      </c>
      <c r="G232" s="238" t="s">
        <v>565</v>
      </c>
      <c r="H232" s="152"/>
      <c r="I232" s="152"/>
      <c r="J232" s="157"/>
      <c r="K232" s="157"/>
      <c r="L232" s="157"/>
      <c r="M232" s="157"/>
      <c r="N232" s="157"/>
      <c r="O232" s="157"/>
      <c r="P232" s="157"/>
      <c r="Q232" s="157"/>
    </row>
    <row r="233" spans="1:17" ht="22.5">
      <c r="A233" s="54"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65"/>
      <c r="C233" s="151"/>
      <c r="D233" s="151"/>
      <c r="E233" s="151"/>
      <c r="F233" s="152" t="s">
        <v>368</v>
      </c>
      <c r="G233" s="238" t="s">
        <v>565</v>
      </c>
      <c r="H233" s="152"/>
      <c r="I233" s="152"/>
      <c r="J233" s="157"/>
      <c r="K233" s="157"/>
      <c r="L233" s="157"/>
      <c r="M233" s="157"/>
      <c r="N233" s="157"/>
      <c r="O233" s="157"/>
      <c r="P233" s="157"/>
      <c r="Q233" s="157"/>
    </row>
    <row r="234" spans="1:17" ht="22.5">
      <c r="A234" s="54"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65"/>
      <c r="C234" s="151"/>
      <c r="D234" s="151"/>
      <c r="E234" s="151"/>
      <c r="F234" s="152" t="s">
        <v>369</v>
      </c>
      <c r="G234" s="238" t="s">
        <v>565</v>
      </c>
      <c r="H234" s="152"/>
      <c r="I234" s="152"/>
      <c r="J234" s="157"/>
      <c r="K234" s="157"/>
      <c r="L234" s="157"/>
      <c r="M234" s="157"/>
      <c r="N234" s="157"/>
      <c r="O234" s="157"/>
      <c r="P234" s="157"/>
      <c r="Q234" s="157"/>
    </row>
    <row r="235" spans="1:17" ht="33.75">
      <c r="A235" s="54"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65"/>
      <c r="C235" s="151"/>
      <c r="D235" s="151"/>
      <c r="E235" s="160"/>
      <c r="F235" s="152" t="s">
        <v>370</v>
      </c>
      <c r="G235" s="238" t="s">
        <v>565</v>
      </c>
      <c r="H235" s="152"/>
      <c r="I235" s="152"/>
      <c r="J235" s="157"/>
      <c r="K235" s="157"/>
      <c r="L235" s="157"/>
      <c r="M235" s="157"/>
      <c r="N235" s="157"/>
      <c r="O235" s="157"/>
      <c r="P235" s="157"/>
      <c r="Q235" s="157"/>
    </row>
    <row r="236" spans="1:17" ht="33.75">
      <c r="A236" s="54"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65"/>
      <c r="C236" s="151"/>
      <c r="D236" s="151"/>
      <c r="E236" s="151" t="s">
        <v>226</v>
      </c>
      <c r="F236" s="152" t="s">
        <v>371</v>
      </c>
      <c r="G236" s="238" t="s">
        <v>565</v>
      </c>
      <c r="H236" s="152"/>
      <c r="I236" s="152"/>
      <c r="J236" s="157"/>
      <c r="K236" s="157"/>
      <c r="L236" s="157"/>
      <c r="M236" s="157"/>
      <c r="N236" s="157"/>
      <c r="O236" s="157"/>
      <c r="P236" s="157"/>
      <c r="Q236" s="157"/>
    </row>
    <row r="237" spans="1:17" ht="33.75">
      <c r="A237" s="54"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65"/>
      <c r="C237" s="151"/>
      <c r="D237" s="151"/>
      <c r="E237" s="151"/>
      <c r="F237" s="152" t="s">
        <v>372</v>
      </c>
      <c r="G237" s="238" t="s">
        <v>565</v>
      </c>
      <c r="H237" s="152"/>
      <c r="I237" s="152"/>
      <c r="J237" s="157"/>
      <c r="K237" s="157"/>
      <c r="L237" s="157"/>
      <c r="M237" s="157"/>
      <c r="N237" s="157"/>
      <c r="O237" s="157"/>
      <c r="P237" s="157"/>
      <c r="Q237" s="157"/>
    </row>
    <row r="238" spans="1:17" ht="45">
      <c r="A238" s="54"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65"/>
      <c r="C238" s="151"/>
      <c r="D238" s="151"/>
      <c r="E238" s="151"/>
      <c r="F238" s="152" t="s">
        <v>373</v>
      </c>
      <c r="G238" s="238" t="s">
        <v>565</v>
      </c>
      <c r="H238" s="152"/>
      <c r="I238" s="152"/>
      <c r="J238" s="157"/>
      <c r="K238" s="157"/>
      <c r="L238" s="157"/>
      <c r="M238" s="157"/>
      <c r="N238" s="157"/>
      <c r="O238" s="157"/>
      <c r="P238" s="157"/>
      <c r="Q238" s="157"/>
    </row>
    <row r="239" spans="1:17" ht="45">
      <c r="A239" s="54"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65"/>
      <c r="C239" s="151"/>
      <c r="D239" s="151"/>
      <c r="E239" s="151"/>
      <c r="F239" s="152" t="s">
        <v>374</v>
      </c>
      <c r="G239" s="238" t="s">
        <v>565</v>
      </c>
      <c r="H239" s="152"/>
      <c r="I239" s="152"/>
      <c r="J239" s="157"/>
      <c r="K239" s="157"/>
      <c r="L239" s="157"/>
      <c r="M239" s="157"/>
      <c r="N239" s="157"/>
      <c r="O239" s="157"/>
      <c r="P239" s="157"/>
      <c r="Q239" s="157"/>
    </row>
    <row r="240" spans="1:17" ht="33.75">
      <c r="A240" s="54"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65"/>
      <c r="C240" s="151"/>
      <c r="D240" s="151"/>
      <c r="E240" s="160"/>
      <c r="F240" s="152" t="s">
        <v>375</v>
      </c>
      <c r="G240" s="238" t="s">
        <v>565</v>
      </c>
      <c r="H240" s="152"/>
      <c r="I240" s="152"/>
      <c r="J240" s="157"/>
      <c r="K240" s="157"/>
      <c r="L240" s="157"/>
      <c r="M240" s="157"/>
      <c r="N240" s="157"/>
      <c r="O240" s="157"/>
      <c r="P240" s="157"/>
      <c r="Q240" s="157"/>
    </row>
    <row r="241" spans="1:17" ht="33.75">
      <c r="A241" s="54"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65"/>
      <c r="C241" s="159"/>
      <c r="D241" s="160"/>
      <c r="E241" s="160" t="s">
        <v>232</v>
      </c>
      <c r="F241" s="152" t="s">
        <v>376</v>
      </c>
      <c r="G241" s="238" t="s">
        <v>565</v>
      </c>
      <c r="H241" s="152"/>
      <c r="I241" s="152"/>
      <c r="J241" s="157"/>
      <c r="K241" s="157"/>
      <c r="L241" s="157"/>
      <c r="M241" s="157"/>
      <c r="N241" s="157"/>
      <c r="O241" s="157"/>
      <c r="P241" s="157"/>
      <c r="Q241" s="157"/>
    </row>
    <row r="242" spans="1:17" ht="33.75">
      <c r="A242" s="54"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160"/>
      <c r="C242" s="160" t="s">
        <v>67</v>
      </c>
      <c r="D242" s="160" t="s">
        <v>235</v>
      </c>
      <c r="E242" s="160" t="s">
        <v>236</v>
      </c>
      <c r="F242" s="152" t="s">
        <v>377</v>
      </c>
      <c r="G242" s="238" t="s">
        <v>565</v>
      </c>
      <c r="H242" s="152"/>
      <c r="I242" s="152"/>
      <c r="J242" s="157"/>
      <c r="K242" s="157"/>
      <c r="L242" s="157"/>
      <c r="M242" s="157"/>
      <c r="N242" s="157"/>
      <c r="O242" s="157"/>
      <c r="P242" s="157"/>
      <c r="Q242" s="157"/>
    </row>
    <row r="243" spans="1:17" ht="22.5">
      <c r="A243" s="54"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150" t="s">
        <v>378</v>
      </c>
      <c r="C243" s="150" t="s">
        <v>379</v>
      </c>
      <c r="D243" s="150" t="s">
        <v>75</v>
      </c>
      <c r="E243" s="150" t="s">
        <v>75</v>
      </c>
      <c r="F243" s="152" t="s">
        <v>380</v>
      </c>
      <c r="G243" s="238" t="s">
        <v>565</v>
      </c>
      <c r="H243" s="152"/>
      <c r="I243" s="152"/>
      <c r="J243" s="157"/>
      <c r="K243" s="157"/>
      <c r="L243" s="157"/>
      <c r="M243" s="157"/>
      <c r="N243" s="157"/>
      <c r="O243" s="157"/>
      <c r="P243" s="157"/>
      <c r="Q243" s="157"/>
    </row>
    <row r="244" spans="1:17" ht="22.5">
      <c r="A244" s="54"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165"/>
      <c r="C244" s="151"/>
      <c r="D244" s="160"/>
      <c r="E244" s="160"/>
      <c r="F244" s="152" t="s">
        <v>381</v>
      </c>
      <c r="G244" s="238" t="s">
        <v>565</v>
      </c>
      <c r="H244" s="152"/>
      <c r="I244" s="152"/>
      <c r="J244" s="157"/>
      <c r="K244" s="157"/>
      <c r="L244" s="157"/>
      <c r="M244" s="157"/>
      <c r="N244" s="157"/>
      <c r="O244" s="157"/>
      <c r="P244" s="157"/>
      <c r="Q244" s="157"/>
    </row>
    <row r="245" spans="1:17" ht="33.75">
      <c r="A245" s="54"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165"/>
      <c r="C245" s="151"/>
      <c r="D245" s="151" t="s">
        <v>180</v>
      </c>
      <c r="E245" s="151" t="s">
        <v>75</v>
      </c>
      <c r="F245" s="152" t="s">
        <v>382</v>
      </c>
      <c r="G245" s="238" t="s">
        <v>565</v>
      </c>
      <c r="H245" s="152"/>
      <c r="I245" s="152"/>
      <c r="J245" s="157"/>
      <c r="K245" s="157"/>
      <c r="L245" s="157"/>
      <c r="M245" s="157"/>
      <c r="N245" s="157"/>
      <c r="O245" s="157"/>
      <c r="P245" s="157"/>
      <c r="Q245" s="157"/>
    </row>
    <row r="246" spans="1:17" ht="33.75">
      <c r="A246" s="54"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165"/>
      <c r="C246" s="160"/>
      <c r="D246" s="160"/>
      <c r="E246" s="160"/>
      <c r="F246" s="152" t="s">
        <v>383</v>
      </c>
      <c r="G246" s="238" t="s">
        <v>565</v>
      </c>
      <c r="H246" s="152"/>
      <c r="I246" s="152"/>
      <c r="J246" s="157"/>
      <c r="K246" s="157"/>
      <c r="L246" s="157"/>
      <c r="M246" s="157"/>
      <c r="N246" s="157"/>
      <c r="O246" s="157"/>
      <c r="P246" s="157"/>
      <c r="Q246" s="157"/>
    </row>
    <row r="247" spans="1:17" ht="33.75">
      <c r="A247" s="54"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65"/>
      <c r="C247" s="162" t="s">
        <v>384</v>
      </c>
      <c r="D247" s="151" t="s">
        <v>235</v>
      </c>
      <c r="E247" s="152" t="s">
        <v>253</v>
      </c>
      <c r="F247" s="152" t="s">
        <v>385</v>
      </c>
      <c r="G247" s="238" t="s">
        <v>565</v>
      </c>
      <c r="H247" s="152"/>
      <c r="I247" s="152"/>
      <c r="J247" s="157"/>
      <c r="K247" s="157"/>
      <c r="L247" s="157"/>
      <c r="M247" s="157"/>
      <c r="N247" s="157"/>
      <c r="O247" s="157"/>
      <c r="P247" s="157"/>
      <c r="Q247" s="157"/>
    </row>
    <row r="248" spans="1:17" ht="33.75">
      <c r="A248" s="54"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165"/>
      <c r="C248" s="162"/>
      <c r="D248" s="151"/>
      <c r="E248" s="152" t="s">
        <v>257</v>
      </c>
      <c r="F248" s="152" t="s">
        <v>386</v>
      </c>
      <c r="G248" s="238" t="s">
        <v>565</v>
      </c>
      <c r="H248" s="152"/>
      <c r="I248" s="152"/>
      <c r="J248" s="157"/>
      <c r="K248" s="157"/>
      <c r="L248" s="157"/>
      <c r="M248" s="157"/>
      <c r="N248" s="157"/>
      <c r="O248" s="157"/>
      <c r="P248" s="157"/>
      <c r="Q248" s="157"/>
    </row>
    <row r="249" spans="1:17" ht="33.75">
      <c r="A249" s="54"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165"/>
      <c r="C249" s="165"/>
      <c r="D249" s="162"/>
      <c r="E249" s="152" t="s">
        <v>236</v>
      </c>
      <c r="F249" s="152" t="s">
        <v>387</v>
      </c>
      <c r="G249" s="238" t="s">
        <v>565</v>
      </c>
      <c r="H249" s="152"/>
      <c r="I249" s="152"/>
      <c r="J249" s="157"/>
      <c r="K249" s="157"/>
      <c r="L249" s="157"/>
      <c r="M249" s="157"/>
      <c r="N249" s="157"/>
      <c r="O249" s="157"/>
      <c r="P249" s="157"/>
      <c r="Q249" s="157"/>
    </row>
    <row r="250" spans="1:17" ht="33.75">
      <c r="A250" s="54"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165"/>
      <c r="C250" s="162"/>
      <c r="D250" s="160"/>
      <c r="E250" s="152" t="s">
        <v>260</v>
      </c>
      <c r="F250" s="152" t="s">
        <v>388</v>
      </c>
      <c r="G250" s="238" t="s">
        <v>565</v>
      </c>
      <c r="H250" s="152"/>
      <c r="I250" s="152"/>
      <c r="J250" s="157"/>
      <c r="K250" s="157"/>
      <c r="L250" s="157"/>
      <c r="M250" s="157"/>
      <c r="N250" s="157"/>
      <c r="O250" s="157"/>
      <c r="P250" s="157"/>
      <c r="Q250" s="157"/>
    </row>
    <row r="251" spans="1:17" ht="22.5">
      <c r="A251" s="54"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165"/>
      <c r="C251" s="165"/>
      <c r="D251" s="151" t="s">
        <v>269</v>
      </c>
      <c r="E251" s="165" t="s">
        <v>75</v>
      </c>
      <c r="F251" s="152" t="s">
        <v>389</v>
      </c>
      <c r="G251" s="238" t="s">
        <v>565</v>
      </c>
      <c r="H251" s="152"/>
      <c r="I251" s="152"/>
      <c r="J251" s="157"/>
      <c r="K251" s="157"/>
      <c r="L251" s="157"/>
      <c r="M251" s="157"/>
      <c r="N251" s="157"/>
      <c r="O251" s="157"/>
      <c r="P251" s="157"/>
      <c r="Q251" s="157"/>
    </row>
    <row r="252" spans="1:17" ht="22.5">
      <c r="A252" s="54"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165"/>
      <c r="C252" s="165"/>
      <c r="D252" s="162"/>
      <c r="E252" s="160"/>
      <c r="F252" s="152" t="s">
        <v>390</v>
      </c>
      <c r="G252" s="238" t="s">
        <v>565</v>
      </c>
      <c r="H252" s="152"/>
      <c r="I252" s="152"/>
      <c r="J252" s="157"/>
      <c r="K252" s="157"/>
      <c r="L252" s="157"/>
      <c r="M252" s="157"/>
      <c r="N252" s="157"/>
      <c r="O252" s="157"/>
      <c r="P252" s="157"/>
      <c r="Q252" s="157"/>
    </row>
    <row r="253" spans="1:17" ht="33.75">
      <c r="A253" s="54"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165"/>
      <c r="C253" s="165"/>
      <c r="D253" s="162"/>
      <c r="E253" s="151" t="s">
        <v>148</v>
      </c>
      <c r="F253" s="152" t="s">
        <v>391</v>
      </c>
      <c r="G253" s="238" t="s">
        <v>565</v>
      </c>
      <c r="H253" s="152"/>
      <c r="I253" s="152"/>
      <c r="J253" s="157"/>
      <c r="K253" s="157"/>
      <c r="L253" s="157"/>
      <c r="M253" s="157"/>
      <c r="N253" s="157"/>
      <c r="O253" s="157"/>
      <c r="P253" s="157"/>
      <c r="Q253" s="157"/>
    </row>
    <row r="254" spans="1:17" ht="33.75">
      <c r="A254" s="54"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165"/>
      <c r="C254" s="165"/>
      <c r="D254" s="162"/>
      <c r="E254" s="151"/>
      <c r="F254" s="152" t="s">
        <v>392</v>
      </c>
      <c r="G254" s="238" t="s">
        <v>565</v>
      </c>
      <c r="H254" s="152"/>
      <c r="I254" s="152"/>
      <c r="J254" s="157"/>
      <c r="K254" s="157"/>
      <c r="L254" s="157"/>
      <c r="M254" s="157"/>
      <c r="N254" s="157"/>
      <c r="O254" s="157"/>
      <c r="P254" s="157"/>
      <c r="Q254" s="157"/>
    </row>
    <row r="255" spans="1:17" ht="33.75">
      <c r="A255" s="54"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165"/>
      <c r="C255" s="165"/>
      <c r="D255" s="162"/>
      <c r="E255" s="151"/>
      <c r="F255" s="152" t="s">
        <v>393</v>
      </c>
      <c r="G255" s="238" t="s">
        <v>565</v>
      </c>
      <c r="H255" s="152"/>
      <c r="I255" s="152"/>
      <c r="J255" s="157"/>
      <c r="K255" s="157"/>
      <c r="L255" s="157"/>
      <c r="M255" s="157"/>
      <c r="N255" s="157"/>
      <c r="O255" s="157"/>
      <c r="P255" s="157"/>
      <c r="Q255" s="157"/>
    </row>
    <row r="256" spans="1:17" ht="33.75">
      <c r="A256" s="54"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165"/>
      <c r="C256" s="165"/>
      <c r="D256" s="162"/>
      <c r="E256" s="151"/>
      <c r="F256" s="152" t="s">
        <v>394</v>
      </c>
      <c r="G256" s="238" t="s">
        <v>565</v>
      </c>
      <c r="H256" s="152"/>
      <c r="I256" s="152"/>
      <c r="J256" s="157"/>
      <c r="K256" s="157"/>
      <c r="L256" s="157"/>
      <c r="M256" s="157"/>
      <c r="N256" s="157"/>
      <c r="O256" s="157"/>
      <c r="P256" s="157"/>
      <c r="Q256" s="157"/>
    </row>
    <row r="257" spans="1:17" ht="33.75">
      <c r="A257" s="54"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51"/>
      <c r="C257" s="151"/>
      <c r="D257" s="151"/>
      <c r="E257" s="165"/>
      <c r="F257" s="152" t="s">
        <v>395</v>
      </c>
      <c r="G257" s="238" t="s">
        <v>565</v>
      </c>
      <c r="H257" s="152"/>
      <c r="I257" s="152"/>
      <c r="J257" s="157"/>
      <c r="K257" s="157"/>
      <c r="L257" s="157"/>
      <c r="M257" s="157"/>
      <c r="N257" s="157"/>
      <c r="O257" s="157"/>
      <c r="P257" s="157"/>
      <c r="Q257" s="157"/>
    </row>
    <row r="258" spans="1:17" ht="22.5">
      <c r="A258" s="54"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165"/>
      <c r="C258" s="151"/>
      <c r="D258" s="151"/>
      <c r="E258" s="165"/>
      <c r="F258" s="152" t="s">
        <v>396</v>
      </c>
      <c r="G258" s="238" t="s">
        <v>565</v>
      </c>
      <c r="H258" s="152"/>
      <c r="I258" s="152"/>
      <c r="J258" s="157"/>
      <c r="K258" s="157"/>
      <c r="L258" s="157"/>
      <c r="M258" s="157"/>
      <c r="N258" s="157"/>
      <c r="O258" s="157"/>
      <c r="P258" s="157"/>
      <c r="Q258" s="157"/>
    </row>
    <row r="259" spans="1:17" ht="22.5">
      <c r="A259" s="54"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165"/>
      <c r="C259" s="151"/>
      <c r="D259" s="151"/>
      <c r="E259" s="165"/>
      <c r="F259" s="152" t="s">
        <v>397</v>
      </c>
      <c r="G259" s="238" t="s">
        <v>565</v>
      </c>
      <c r="H259" s="152"/>
      <c r="I259" s="152"/>
      <c r="J259" s="157"/>
      <c r="K259" s="157"/>
      <c r="L259" s="157"/>
      <c r="M259" s="157"/>
      <c r="N259" s="157"/>
      <c r="O259" s="157"/>
      <c r="P259" s="157"/>
      <c r="Q259" s="157"/>
    </row>
    <row r="260" spans="1:17" ht="33.75">
      <c r="A260" s="54"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165"/>
      <c r="C260" s="151"/>
      <c r="D260" s="151"/>
      <c r="E260" s="165"/>
      <c r="F260" s="152" t="s">
        <v>398</v>
      </c>
      <c r="G260" s="238" t="s">
        <v>565</v>
      </c>
      <c r="H260" s="152"/>
      <c r="I260" s="152"/>
      <c r="J260" s="157"/>
      <c r="K260" s="157"/>
      <c r="L260" s="157"/>
      <c r="M260" s="157"/>
      <c r="N260" s="157"/>
      <c r="O260" s="157"/>
      <c r="P260" s="157"/>
      <c r="Q260" s="157"/>
    </row>
    <row r="261" spans="1:17" ht="33.75">
      <c r="A261" s="54"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165"/>
      <c r="C261" s="151"/>
      <c r="D261" s="151"/>
      <c r="E261" s="165"/>
      <c r="F261" s="152" t="s">
        <v>399</v>
      </c>
      <c r="G261" s="238" t="s">
        <v>565</v>
      </c>
      <c r="H261" s="152"/>
      <c r="I261" s="152"/>
      <c r="J261" s="157"/>
      <c r="K261" s="157"/>
      <c r="L261" s="157"/>
      <c r="M261" s="157"/>
      <c r="N261" s="157"/>
      <c r="O261" s="157"/>
      <c r="P261" s="157"/>
      <c r="Q261" s="157"/>
    </row>
    <row r="262" spans="1:17" ht="33.75">
      <c r="A262" s="54"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165"/>
      <c r="C262" s="151"/>
      <c r="D262" s="151"/>
      <c r="E262" s="151"/>
      <c r="F262" s="152" t="s">
        <v>400</v>
      </c>
      <c r="G262" s="238" t="s">
        <v>565</v>
      </c>
      <c r="H262" s="152"/>
      <c r="I262" s="152"/>
      <c r="J262" s="157"/>
      <c r="K262" s="157"/>
      <c r="L262" s="157"/>
      <c r="M262" s="157"/>
      <c r="N262" s="157"/>
      <c r="O262" s="157"/>
      <c r="P262" s="157"/>
      <c r="Q262" s="157"/>
    </row>
    <row r="263" spans="1:17" ht="33.75">
      <c r="A263" s="54"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165"/>
      <c r="C263" s="151"/>
      <c r="D263" s="151"/>
      <c r="E263" s="160"/>
      <c r="F263" s="152" t="s">
        <v>401</v>
      </c>
      <c r="G263" s="238" t="s">
        <v>565</v>
      </c>
      <c r="H263" s="152"/>
      <c r="I263" s="152"/>
      <c r="J263" s="157"/>
      <c r="K263" s="157"/>
      <c r="L263" s="157"/>
      <c r="M263" s="157"/>
      <c r="N263" s="157"/>
      <c r="O263" s="157"/>
      <c r="P263" s="157"/>
      <c r="Q263" s="157"/>
    </row>
    <row r="264" spans="1:17">
      <c r="A264" s="54"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165"/>
      <c r="C264" s="151"/>
      <c r="D264" s="151"/>
      <c r="E264" s="151" t="s">
        <v>82</v>
      </c>
      <c r="F264" s="152" t="s">
        <v>402</v>
      </c>
      <c r="G264" s="238" t="s">
        <v>565</v>
      </c>
      <c r="H264" s="152"/>
      <c r="I264" s="152"/>
      <c r="J264" s="157"/>
      <c r="K264" s="157"/>
      <c r="L264" s="157"/>
      <c r="M264" s="157"/>
      <c r="N264" s="157"/>
      <c r="O264" s="157"/>
      <c r="P264" s="157"/>
      <c r="Q264" s="157"/>
    </row>
    <row r="265" spans="1:17">
      <c r="A265" s="54"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165"/>
      <c r="C265" s="151"/>
      <c r="D265" s="151"/>
      <c r="E265" s="151"/>
      <c r="F265" s="152" t="s">
        <v>403</v>
      </c>
      <c r="G265" s="238" t="s">
        <v>565</v>
      </c>
      <c r="H265" s="152"/>
      <c r="I265" s="152"/>
      <c r="J265" s="157"/>
      <c r="K265" s="157"/>
      <c r="L265" s="157"/>
      <c r="M265" s="157"/>
      <c r="N265" s="157"/>
      <c r="O265" s="157"/>
      <c r="P265" s="157"/>
      <c r="Q265" s="157"/>
    </row>
    <row r="266" spans="1:17" ht="22.5">
      <c r="A266" s="54"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165"/>
      <c r="C266" s="165"/>
      <c r="D266" s="151"/>
      <c r="E266" s="151"/>
      <c r="F266" s="152" t="s">
        <v>404</v>
      </c>
      <c r="G266" s="238" t="s">
        <v>565</v>
      </c>
      <c r="H266" s="152"/>
      <c r="I266" s="152"/>
      <c r="J266" s="157"/>
      <c r="K266" s="157"/>
      <c r="L266" s="157"/>
      <c r="M266" s="157"/>
      <c r="N266" s="157"/>
      <c r="O266" s="157"/>
      <c r="P266" s="157"/>
      <c r="Q266" s="157"/>
    </row>
    <row r="267" spans="1:17" ht="22.5">
      <c r="A267" s="54"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165"/>
      <c r="C267" s="165"/>
      <c r="D267" s="162"/>
      <c r="E267" s="151"/>
      <c r="F267" s="152" t="s">
        <v>405</v>
      </c>
      <c r="G267" s="238" t="s">
        <v>565</v>
      </c>
      <c r="H267" s="152"/>
      <c r="I267" s="152"/>
      <c r="J267" s="157"/>
      <c r="K267" s="157"/>
      <c r="L267" s="157"/>
      <c r="M267" s="157"/>
      <c r="N267" s="157"/>
      <c r="O267" s="157"/>
      <c r="P267" s="157"/>
      <c r="Q267" s="157"/>
    </row>
    <row r="268" spans="1:17" ht="22.5">
      <c r="A268" s="54"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165"/>
      <c r="C268" s="165"/>
      <c r="D268" s="162"/>
      <c r="E268" s="151"/>
      <c r="F268" s="152" t="s">
        <v>406</v>
      </c>
      <c r="G268" s="238" t="s">
        <v>565</v>
      </c>
      <c r="H268" s="152"/>
      <c r="I268" s="152"/>
      <c r="J268" s="157"/>
      <c r="K268" s="157"/>
      <c r="L268" s="157"/>
      <c r="M268" s="157"/>
      <c r="N268" s="157"/>
      <c r="O268" s="157"/>
      <c r="P268" s="157"/>
      <c r="Q268" s="157"/>
    </row>
    <row r="269" spans="1:17" ht="33.75">
      <c r="A269" s="54"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165"/>
      <c r="C269" s="165"/>
      <c r="D269" s="162"/>
      <c r="E269" s="160"/>
      <c r="F269" s="152" t="s">
        <v>407</v>
      </c>
      <c r="G269" s="238" t="s">
        <v>565</v>
      </c>
      <c r="H269" s="152"/>
      <c r="I269" s="152"/>
      <c r="J269" s="157"/>
      <c r="K269" s="157"/>
      <c r="L269" s="157"/>
      <c r="M269" s="157"/>
      <c r="N269" s="157"/>
      <c r="O269" s="157"/>
      <c r="P269" s="157"/>
      <c r="Q269" s="157"/>
    </row>
    <row r="270" spans="1:17" ht="22.5">
      <c r="A270" s="54"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165"/>
      <c r="C270" s="165"/>
      <c r="D270" s="162"/>
      <c r="E270" s="151" t="s">
        <v>226</v>
      </c>
      <c r="F270" s="152" t="s">
        <v>408</v>
      </c>
      <c r="G270" s="238" t="s">
        <v>565</v>
      </c>
      <c r="H270" s="152"/>
      <c r="I270" s="152"/>
      <c r="J270" s="157"/>
      <c r="K270" s="157"/>
      <c r="L270" s="157"/>
      <c r="M270" s="157"/>
      <c r="N270" s="157"/>
      <c r="O270" s="157"/>
      <c r="P270" s="157"/>
      <c r="Q270" s="157"/>
    </row>
    <row r="271" spans="1:17" ht="33.75">
      <c r="A271" s="54"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165"/>
      <c r="C271" s="165"/>
      <c r="D271" s="162"/>
      <c r="E271" s="151"/>
      <c r="F271" s="152" t="s">
        <v>409</v>
      </c>
      <c r="G271" s="238" t="s">
        <v>565</v>
      </c>
      <c r="H271" s="152"/>
      <c r="I271" s="152"/>
      <c r="J271" s="157"/>
      <c r="K271" s="157"/>
      <c r="L271" s="157"/>
      <c r="M271" s="157"/>
      <c r="N271" s="157"/>
      <c r="O271" s="157"/>
      <c r="P271" s="157"/>
      <c r="Q271" s="157"/>
    </row>
    <row r="272" spans="1:17" ht="45">
      <c r="A272" s="54"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165"/>
      <c r="C272" s="165"/>
      <c r="D272" s="162"/>
      <c r="E272" s="151"/>
      <c r="F272" s="152" t="s">
        <v>410</v>
      </c>
      <c r="G272" s="238" t="s">
        <v>565</v>
      </c>
      <c r="H272" s="152"/>
      <c r="I272" s="152"/>
      <c r="J272" s="157"/>
      <c r="K272" s="157"/>
      <c r="L272" s="157"/>
      <c r="M272" s="157"/>
      <c r="N272" s="157"/>
      <c r="O272" s="157"/>
      <c r="P272" s="157"/>
      <c r="Q272" s="157"/>
    </row>
    <row r="273" spans="1:17" ht="45">
      <c r="A273" s="54"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165"/>
      <c r="C273" s="165"/>
      <c r="D273" s="162"/>
      <c r="E273" s="151"/>
      <c r="F273" s="152" t="s">
        <v>411</v>
      </c>
      <c r="G273" s="238" t="s">
        <v>565</v>
      </c>
      <c r="H273" s="152"/>
      <c r="I273" s="152"/>
      <c r="J273" s="157"/>
      <c r="K273" s="157"/>
      <c r="L273" s="157"/>
      <c r="M273" s="157"/>
      <c r="N273" s="157"/>
      <c r="O273" s="157"/>
      <c r="P273" s="157"/>
      <c r="Q273" s="157"/>
    </row>
    <row r="274" spans="1:17" ht="22.5">
      <c r="A274" s="54"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165"/>
      <c r="C274" s="165"/>
      <c r="D274" s="162"/>
      <c r="E274" s="151"/>
      <c r="F274" s="152" t="s">
        <v>412</v>
      </c>
      <c r="G274" s="238" t="s">
        <v>565</v>
      </c>
      <c r="H274" s="152"/>
      <c r="I274" s="152"/>
      <c r="J274" s="157"/>
      <c r="K274" s="157"/>
      <c r="L274" s="157"/>
      <c r="M274" s="157"/>
      <c r="N274" s="157"/>
      <c r="O274" s="157"/>
      <c r="P274" s="157"/>
      <c r="Q274" s="157"/>
    </row>
    <row r="275" spans="1:17" ht="45">
      <c r="A275" s="54"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165"/>
      <c r="C275" s="165"/>
      <c r="D275" s="162"/>
      <c r="E275" s="151"/>
      <c r="F275" s="152" t="s">
        <v>413</v>
      </c>
      <c r="G275" s="238" t="s">
        <v>565</v>
      </c>
      <c r="H275" s="152"/>
      <c r="I275" s="152"/>
      <c r="J275" s="157"/>
      <c r="K275" s="157"/>
      <c r="L275" s="157"/>
      <c r="M275" s="157"/>
      <c r="N275" s="157"/>
      <c r="O275" s="157"/>
      <c r="P275" s="157"/>
      <c r="Q275" s="157"/>
    </row>
    <row r="276" spans="1:17" ht="45">
      <c r="A276" s="54"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165"/>
      <c r="C276" s="165"/>
      <c r="D276" s="162"/>
      <c r="E276" s="151"/>
      <c r="F276" s="152" t="s">
        <v>414</v>
      </c>
      <c r="G276" s="238" t="s">
        <v>565</v>
      </c>
      <c r="H276" s="152"/>
      <c r="I276" s="152"/>
      <c r="J276" s="157"/>
      <c r="K276" s="157"/>
      <c r="L276" s="157"/>
      <c r="M276" s="157"/>
      <c r="N276" s="157"/>
      <c r="O276" s="157"/>
      <c r="P276" s="157"/>
      <c r="Q276" s="157"/>
    </row>
    <row r="277" spans="1:17" ht="22.5">
      <c r="A277" s="54"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165"/>
      <c r="C277" s="165"/>
      <c r="D277" s="162"/>
      <c r="E277" s="160"/>
      <c r="F277" s="152" t="s">
        <v>415</v>
      </c>
      <c r="G277" s="238" t="s">
        <v>565</v>
      </c>
      <c r="H277" s="152"/>
      <c r="I277" s="152"/>
      <c r="J277" s="157"/>
      <c r="K277" s="157"/>
      <c r="L277" s="157"/>
      <c r="M277" s="157"/>
      <c r="N277" s="157"/>
      <c r="O277" s="157"/>
      <c r="P277" s="157"/>
      <c r="Q277" s="157"/>
    </row>
    <row r="278" spans="1:17" ht="22.5">
      <c r="A278" s="54"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188"/>
      <c r="C278" s="188"/>
      <c r="D278" s="159"/>
      <c r="E278" s="160" t="s">
        <v>260</v>
      </c>
      <c r="F278" s="152" t="s">
        <v>416</v>
      </c>
      <c r="G278" s="238" t="s">
        <v>565</v>
      </c>
      <c r="H278" s="152"/>
      <c r="I278" s="152"/>
      <c r="J278" s="157"/>
      <c r="K278" s="157"/>
      <c r="L278" s="157"/>
      <c r="M278" s="157"/>
      <c r="N278" s="157"/>
      <c r="O278" s="157"/>
      <c r="P278" s="157"/>
      <c r="Q278" s="157"/>
    </row>
    <row r="279" spans="1:17" ht="22.5">
      <c r="A279" s="54"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129" t="s">
        <v>417</v>
      </c>
      <c r="C279" s="96" t="s">
        <v>418</v>
      </c>
      <c r="D279" s="96" t="s">
        <v>75</v>
      </c>
      <c r="E279" s="96" t="s">
        <v>75</v>
      </c>
      <c r="F279" s="95" t="s">
        <v>419</v>
      </c>
      <c r="G279" s="239"/>
      <c r="H279" s="95"/>
      <c r="I279" s="95"/>
      <c r="J279" s="34"/>
      <c r="K279" s="34"/>
      <c r="L279" s="32"/>
      <c r="M279" s="34"/>
      <c r="N279" s="34"/>
      <c r="O279" s="34"/>
      <c r="P279" s="34"/>
      <c r="Q279" s="34"/>
    </row>
    <row r="280" spans="1:17" ht="22.5">
      <c r="A280" s="54"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130"/>
      <c r="C280" s="135"/>
      <c r="D280" s="108"/>
      <c r="E280" s="108"/>
      <c r="F280" s="95" t="s">
        <v>420</v>
      </c>
      <c r="G280" s="239"/>
      <c r="H280" s="95"/>
      <c r="I280" s="95"/>
      <c r="J280" s="34"/>
      <c r="K280" s="34"/>
      <c r="L280" s="32"/>
      <c r="M280" s="34"/>
      <c r="N280" s="34"/>
      <c r="O280" s="34"/>
      <c r="P280" s="34"/>
      <c r="Q280" s="34"/>
    </row>
    <row r="281" spans="1:17" ht="22.5">
      <c r="A281" s="54"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130"/>
      <c r="C281" s="135"/>
      <c r="D281" s="108"/>
      <c r="E281" s="108"/>
      <c r="F281" s="95" t="s">
        <v>421</v>
      </c>
      <c r="G281" s="239"/>
      <c r="H281" s="95"/>
      <c r="I281" s="95"/>
      <c r="J281" s="34"/>
      <c r="K281" s="34"/>
      <c r="L281" s="32"/>
      <c r="M281" s="34"/>
      <c r="N281" s="34"/>
      <c r="O281" s="34"/>
      <c r="P281" s="34"/>
      <c r="Q281" s="34"/>
    </row>
    <row r="282" spans="1:17" ht="22.5">
      <c r="A282" s="54"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130"/>
      <c r="C282" s="145"/>
      <c r="D282" s="132"/>
      <c r="E282" s="132"/>
      <c r="F282" s="95" t="s">
        <v>422</v>
      </c>
      <c r="G282" s="239"/>
      <c r="H282" s="95"/>
      <c r="I282" s="95"/>
      <c r="J282" s="34"/>
      <c r="K282" s="34"/>
      <c r="L282" s="32"/>
      <c r="M282" s="34"/>
      <c r="N282" s="34"/>
      <c r="O282" s="34"/>
      <c r="P282" s="34"/>
      <c r="Q282" s="34"/>
    </row>
    <row r="283" spans="1:17" ht="22.5">
      <c r="A283" s="54"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130"/>
      <c r="C283" s="108" t="s">
        <v>423</v>
      </c>
      <c r="D283" s="108" t="s">
        <v>235</v>
      </c>
      <c r="E283" s="95" t="s">
        <v>253</v>
      </c>
      <c r="F283" s="95" t="s">
        <v>424</v>
      </c>
      <c r="G283" s="239"/>
      <c r="H283" s="95"/>
      <c r="I283" s="95"/>
      <c r="J283" s="34"/>
      <c r="K283" s="34"/>
      <c r="L283" s="32"/>
      <c r="M283" s="34"/>
      <c r="N283" s="34"/>
      <c r="O283" s="34"/>
      <c r="P283" s="34"/>
      <c r="Q283" s="34"/>
    </row>
    <row r="284" spans="1:17" ht="22.5">
      <c r="A284" s="54"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130"/>
      <c r="C284" s="135"/>
      <c r="D284" s="108"/>
      <c r="E284" s="132" t="s">
        <v>255</v>
      </c>
      <c r="F284" s="95" t="s">
        <v>425</v>
      </c>
      <c r="G284" s="239"/>
      <c r="H284" s="95"/>
      <c r="I284" s="95"/>
      <c r="J284" s="34"/>
      <c r="K284" s="34"/>
      <c r="L284" s="32"/>
      <c r="M284" s="34"/>
      <c r="N284" s="34"/>
      <c r="O284" s="34"/>
      <c r="P284" s="34"/>
      <c r="Q284" s="34"/>
    </row>
    <row r="285" spans="1:17" ht="22.5">
      <c r="A285" s="54"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130"/>
      <c r="C285" s="135"/>
      <c r="D285" s="108"/>
      <c r="E285" s="95" t="s">
        <v>257</v>
      </c>
      <c r="F285" s="95" t="s">
        <v>426</v>
      </c>
      <c r="G285" s="239"/>
      <c r="H285" s="95"/>
      <c r="I285" s="95"/>
      <c r="J285" s="34"/>
      <c r="K285" s="34"/>
      <c r="L285" s="32"/>
      <c r="M285" s="34"/>
      <c r="N285" s="34"/>
      <c r="O285" s="34"/>
      <c r="P285" s="34"/>
      <c r="Q285" s="34"/>
    </row>
    <row r="286" spans="1:17" ht="22.5">
      <c r="A286" s="54"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130"/>
      <c r="C286" s="135"/>
      <c r="D286" s="132"/>
      <c r="E286" s="132" t="s">
        <v>173</v>
      </c>
      <c r="F286" s="95" t="s">
        <v>427</v>
      </c>
      <c r="G286" s="239"/>
      <c r="H286" s="95"/>
      <c r="I286" s="95"/>
      <c r="J286" s="34"/>
      <c r="K286" s="34"/>
      <c r="L286" s="32"/>
      <c r="M286" s="34"/>
      <c r="N286" s="34"/>
      <c r="O286" s="34"/>
      <c r="P286" s="34"/>
      <c r="Q286" s="34"/>
    </row>
    <row r="287" spans="1:17" ht="22.5">
      <c r="A287" s="54"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130"/>
      <c r="C287" s="130"/>
      <c r="D287" s="108" t="s">
        <v>428</v>
      </c>
      <c r="E287" s="108" t="s">
        <v>429</v>
      </c>
      <c r="F287" s="95" t="s">
        <v>430</v>
      </c>
      <c r="G287" s="239"/>
      <c r="H287" s="95"/>
      <c r="I287" s="95"/>
      <c r="J287" s="34"/>
      <c r="K287" s="34"/>
      <c r="L287" s="32"/>
      <c r="M287" s="34"/>
      <c r="N287" s="34"/>
      <c r="O287" s="34"/>
      <c r="P287" s="34"/>
      <c r="Q287" s="34"/>
    </row>
    <row r="288" spans="1:17" ht="22.5">
      <c r="A288" s="54"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130"/>
      <c r="C288" s="130"/>
      <c r="D288" s="133"/>
      <c r="E288" s="108"/>
      <c r="F288" s="95" t="s">
        <v>431</v>
      </c>
      <c r="G288" s="239"/>
      <c r="H288" s="95"/>
      <c r="I288" s="95"/>
      <c r="J288" s="34"/>
      <c r="K288" s="34"/>
      <c r="L288" s="32"/>
      <c r="M288" s="34"/>
      <c r="N288" s="34"/>
      <c r="O288" s="34"/>
      <c r="P288" s="34"/>
      <c r="Q288" s="34"/>
    </row>
    <row r="289" spans="1:17" ht="33.75">
      <c r="A289" s="54"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130"/>
      <c r="C289" s="130"/>
      <c r="D289" s="133"/>
      <c r="E289" s="108"/>
      <c r="F289" s="95" t="s">
        <v>432</v>
      </c>
      <c r="G289" s="239"/>
      <c r="H289" s="95"/>
      <c r="I289" s="95"/>
      <c r="J289" s="34"/>
      <c r="K289" s="34"/>
      <c r="L289" s="32"/>
      <c r="M289" s="34"/>
      <c r="N289" s="34"/>
      <c r="O289" s="34"/>
      <c r="P289" s="34"/>
      <c r="Q289" s="34"/>
    </row>
    <row r="290" spans="1:17" ht="33.75">
      <c r="A290" s="54"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130"/>
      <c r="C290" s="130"/>
      <c r="D290" s="133"/>
      <c r="E290" s="108"/>
      <c r="F290" s="95" t="s">
        <v>273</v>
      </c>
      <c r="G290" s="239"/>
      <c r="H290" s="95"/>
      <c r="I290" s="95"/>
      <c r="J290" s="34"/>
      <c r="K290" s="34"/>
      <c r="L290" s="32"/>
      <c r="M290" s="34"/>
      <c r="N290" s="34"/>
      <c r="O290" s="34"/>
      <c r="P290" s="34"/>
      <c r="Q290" s="34"/>
    </row>
    <row r="291" spans="1:17" ht="33.75">
      <c r="A291" s="54"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130"/>
      <c r="C291" s="130"/>
      <c r="D291" s="133"/>
      <c r="E291" s="108"/>
      <c r="F291" s="95" t="s">
        <v>274</v>
      </c>
      <c r="G291" s="239"/>
      <c r="H291" s="95"/>
      <c r="I291" s="95"/>
      <c r="J291" s="34"/>
      <c r="K291" s="34"/>
      <c r="L291" s="32"/>
      <c r="M291" s="34"/>
      <c r="N291" s="34"/>
      <c r="O291" s="34"/>
      <c r="P291" s="34"/>
      <c r="Q291" s="34"/>
    </row>
    <row r="292" spans="1:17" ht="33.75">
      <c r="A292" s="54"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130"/>
      <c r="C292" s="130"/>
      <c r="D292" s="133"/>
      <c r="E292" s="108"/>
      <c r="F292" s="95" t="s">
        <v>275</v>
      </c>
      <c r="G292" s="239"/>
      <c r="H292" s="95"/>
      <c r="I292" s="95"/>
      <c r="J292" s="34"/>
      <c r="K292" s="34"/>
      <c r="L292" s="32"/>
      <c r="M292" s="34"/>
      <c r="N292" s="34"/>
      <c r="O292" s="34"/>
      <c r="P292" s="34"/>
      <c r="Q292" s="34"/>
    </row>
    <row r="293" spans="1:17" ht="33.75">
      <c r="A293" s="54"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130"/>
      <c r="C293" s="130"/>
      <c r="D293" s="133"/>
      <c r="E293" s="108"/>
      <c r="F293" s="95" t="s">
        <v>433</v>
      </c>
      <c r="G293" s="239"/>
      <c r="H293" s="95"/>
      <c r="I293" s="95"/>
      <c r="J293" s="34"/>
      <c r="K293" s="34"/>
      <c r="L293" s="32"/>
      <c r="M293" s="34"/>
      <c r="N293" s="34"/>
      <c r="O293" s="34"/>
      <c r="P293" s="34"/>
      <c r="Q293" s="34"/>
    </row>
    <row r="294" spans="1:17" ht="22.5">
      <c r="A294" s="54"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130"/>
      <c r="C294" s="130"/>
      <c r="D294" s="133"/>
      <c r="E294" s="108"/>
      <c r="F294" s="95" t="s">
        <v>434</v>
      </c>
      <c r="G294" s="239"/>
      <c r="H294" s="95"/>
      <c r="I294" s="95"/>
      <c r="J294" s="34"/>
      <c r="K294" s="34"/>
      <c r="L294" s="32"/>
      <c r="M294" s="34"/>
      <c r="N294" s="34"/>
      <c r="O294" s="34"/>
      <c r="P294" s="34"/>
      <c r="Q294" s="34"/>
    </row>
    <row r="295" spans="1:17" ht="22.5">
      <c r="A295" s="54"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137"/>
      <c r="C295" s="137"/>
      <c r="D295" s="131"/>
      <c r="E295" s="132"/>
      <c r="F295" s="95" t="s">
        <v>435</v>
      </c>
      <c r="G295" s="239"/>
      <c r="H295" s="95"/>
      <c r="I295" s="95"/>
      <c r="J295" s="34"/>
      <c r="K295" s="34"/>
      <c r="L295" s="32"/>
      <c r="M295" s="34"/>
      <c r="N295" s="34"/>
      <c r="O295" s="34"/>
      <c r="P295" s="34"/>
      <c r="Q295" s="34"/>
    </row>
    <row r="296" spans="1:17" s="31" customFormat="1" ht="22.5">
      <c r="A296" s="54"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101-1-1</v>
      </c>
      <c r="B296" s="99" t="s">
        <v>438</v>
      </c>
      <c r="C296" s="100" t="s">
        <v>439</v>
      </c>
      <c r="D296" s="101" t="s">
        <v>440</v>
      </c>
      <c r="E296" s="102" t="s">
        <v>36</v>
      </c>
      <c r="F296" s="248" t="s">
        <v>441</v>
      </c>
      <c r="G296" s="161" t="s">
        <v>585</v>
      </c>
      <c r="H296" s="161"/>
      <c r="I296" s="161"/>
      <c r="J296" s="161"/>
      <c r="K296" s="249"/>
      <c r="L296" s="157"/>
      <c r="M296" s="157"/>
      <c r="N296" s="157"/>
      <c r="O296" s="177"/>
      <c r="P296" s="161"/>
      <c r="Q296" s="161"/>
    </row>
    <row r="297" spans="1:17" s="31" customFormat="1">
      <c r="A297" s="54"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101-2-1</v>
      </c>
      <c r="B297" s="104"/>
      <c r="C297" s="105"/>
      <c r="D297" s="101"/>
      <c r="E297" s="101"/>
      <c r="F297" s="248" t="s">
        <v>442</v>
      </c>
      <c r="G297" s="161" t="s">
        <v>585</v>
      </c>
      <c r="H297" s="161"/>
      <c r="I297" s="161"/>
      <c r="J297" s="161"/>
      <c r="K297" s="249"/>
      <c r="L297" s="157"/>
      <c r="M297" s="157"/>
      <c r="N297" s="157"/>
      <c r="O297" s="177"/>
      <c r="P297" s="161"/>
      <c r="Q297" s="161"/>
    </row>
    <row r="298" spans="1:17" s="31" customFormat="1">
      <c r="A298" s="54"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101-3-1</v>
      </c>
      <c r="B298" s="104"/>
      <c r="C298" s="105"/>
      <c r="D298" s="101"/>
      <c r="E298" s="101"/>
      <c r="F298" s="93" t="s">
        <v>443</v>
      </c>
      <c r="G298" s="242"/>
      <c r="H298" s="95"/>
      <c r="I298" s="95"/>
      <c r="J298" s="95"/>
      <c r="K298" s="95"/>
      <c r="L298" s="34"/>
      <c r="M298" s="34"/>
      <c r="N298" s="34"/>
      <c r="O298" s="94"/>
      <c r="P298" s="41"/>
      <c r="Q298" s="41"/>
    </row>
    <row r="299" spans="1:17" s="31" customFormat="1">
      <c r="A299" s="54"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101-4-1</v>
      </c>
      <c r="B299" s="104"/>
      <c r="C299" s="105"/>
      <c r="D299" s="101"/>
      <c r="E299" s="101"/>
      <c r="F299" s="93" t="s">
        <v>444</v>
      </c>
      <c r="G299" s="242"/>
      <c r="H299" s="95"/>
      <c r="I299" s="95"/>
      <c r="J299" s="95"/>
      <c r="K299" s="95"/>
      <c r="L299" s="34"/>
      <c r="M299" s="34"/>
      <c r="N299" s="34"/>
      <c r="O299" s="94"/>
      <c r="P299" s="41"/>
      <c r="Q299" s="41"/>
    </row>
    <row r="300" spans="1:17" s="31" customFormat="1">
      <c r="A300" s="54"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101-5-1</v>
      </c>
      <c r="B300" s="104"/>
      <c r="C300" s="105"/>
      <c r="D300" s="101"/>
      <c r="E300" s="101"/>
      <c r="F300" s="93" t="s">
        <v>445</v>
      </c>
      <c r="G300" s="242"/>
      <c r="H300" s="95"/>
      <c r="I300" s="95"/>
      <c r="J300" s="95"/>
      <c r="K300" s="95"/>
      <c r="L300" s="34"/>
      <c r="M300" s="34"/>
      <c r="N300" s="34"/>
      <c r="O300" s="94"/>
      <c r="P300" s="41"/>
      <c r="Q300" s="41"/>
    </row>
    <row r="301" spans="1:17">
      <c r="A301" s="54"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101-6-1</v>
      </c>
      <c r="B301" s="106"/>
      <c r="C301" s="107"/>
      <c r="D301" s="108"/>
      <c r="E301" s="108"/>
      <c r="F301" s="98" t="s">
        <v>446</v>
      </c>
      <c r="G301" s="240"/>
      <c r="H301" s="95"/>
      <c r="I301" s="95"/>
      <c r="J301" s="95"/>
      <c r="K301" s="95"/>
      <c r="L301" s="34"/>
      <c r="M301" s="36"/>
      <c r="N301" s="34"/>
      <c r="O301" s="109"/>
      <c r="P301" s="34"/>
      <c r="Q301" s="34"/>
    </row>
    <row r="302" spans="1:17" s="31" customFormat="1">
      <c r="A302" s="54"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101-7-1</v>
      </c>
      <c r="B302" s="104"/>
      <c r="C302" s="105"/>
      <c r="D302" s="101"/>
      <c r="E302" s="101"/>
      <c r="F302" s="93" t="s">
        <v>447</v>
      </c>
      <c r="G302" s="242"/>
      <c r="H302" s="95"/>
      <c r="I302" s="95"/>
      <c r="J302" s="95"/>
      <c r="K302" s="41"/>
      <c r="L302" s="34"/>
      <c r="M302" s="34"/>
      <c r="N302" s="34"/>
      <c r="O302" s="94"/>
      <c r="P302" s="41"/>
      <c r="Q302" s="41"/>
    </row>
    <row r="303" spans="1:17" s="31" customFormat="1">
      <c r="A303" s="54"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101-8-1</v>
      </c>
      <c r="B303" s="104"/>
      <c r="C303" s="105"/>
      <c r="D303" s="101"/>
      <c r="E303" s="101"/>
      <c r="F303" s="93" t="s">
        <v>448</v>
      </c>
      <c r="G303" s="242"/>
      <c r="H303" s="95"/>
      <c r="I303" s="95"/>
      <c r="J303" s="95"/>
      <c r="K303" s="41"/>
      <c r="L303" s="34"/>
      <c r="M303" s="34"/>
      <c r="N303" s="34"/>
      <c r="O303" s="94"/>
      <c r="P303" s="41"/>
      <c r="Q303" s="41"/>
    </row>
    <row r="304" spans="1:17" s="31" customFormat="1">
      <c r="A304" s="54"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101-9-1</v>
      </c>
      <c r="B304" s="104"/>
      <c r="C304" s="105"/>
      <c r="D304" s="101"/>
      <c r="E304" s="101"/>
      <c r="F304" s="93" t="s">
        <v>449</v>
      </c>
      <c r="G304" s="242"/>
      <c r="H304" s="95"/>
      <c r="I304" s="95"/>
      <c r="J304" s="95"/>
      <c r="K304" s="95"/>
      <c r="L304" s="34"/>
      <c r="M304" s="34"/>
      <c r="N304" s="34"/>
      <c r="O304" s="94"/>
      <c r="P304" s="41"/>
      <c r="Q304" s="41"/>
    </row>
    <row r="305" spans="1:17" s="31" customFormat="1" ht="22.5">
      <c r="A305" s="54"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101-10-1</v>
      </c>
      <c r="B305" s="104"/>
      <c r="C305" s="105"/>
      <c r="D305" s="101"/>
      <c r="E305" s="101"/>
      <c r="F305" s="93" t="s">
        <v>450</v>
      </c>
      <c r="G305" s="242"/>
      <c r="H305" s="95"/>
      <c r="I305" s="95"/>
      <c r="J305" s="95"/>
      <c r="K305" s="95"/>
      <c r="L305" s="34"/>
      <c r="M305" s="34"/>
      <c r="N305" s="34"/>
      <c r="O305" s="94"/>
      <c r="P305" s="41"/>
      <c r="Q305" s="41"/>
    </row>
    <row r="306" spans="1:17" s="31" customFormat="1">
      <c r="A306" s="54"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101-11-1</v>
      </c>
      <c r="B306" s="104"/>
      <c r="C306" s="105"/>
      <c r="D306" s="101"/>
      <c r="E306" s="101"/>
      <c r="F306" s="93" t="s">
        <v>451</v>
      </c>
      <c r="G306" s="242"/>
      <c r="H306" s="95"/>
      <c r="I306" s="95"/>
      <c r="J306" s="95"/>
      <c r="K306" s="95"/>
      <c r="L306" s="34"/>
      <c r="M306" s="34"/>
      <c r="N306" s="34"/>
      <c r="O306" s="94"/>
      <c r="P306" s="41"/>
      <c r="Q306" s="41"/>
    </row>
    <row r="307" spans="1:17" s="31" customFormat="1">
      <c r="A307" s="54"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101-12-1</v>
      </c>
      <c r="B307" s="104"/>
      <c r="C307" s="105"/>
      <c r="D307" s="101"/>
      <c r="E307" s="101"/>
      <c r="F307" s="93" t="s">
        <v>452</v>
      </c>
      <c r="G307" s="242"/>
      <c r="H307" s="95"/>
      <c r="I307" s="95"/>
      <c r="J307" s="95"/>
      <c r="K307" s="95"/>
      <c r="L307" s="34"/>
      <c r="M307" s="34"/>
      <c r="N307" s="34"/>
      <c r="O307" s="94"/>
      <c r="P307" s="41"/>
      <c r="Q307" s="41"/>
    </row>
    <row r="308" spans="1:17" s="31" customFormat="1">
      <c r="A308" s="54"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101-13-1</v>
      </c>
      <c r="B308" s="104"/>
      <c r="C308" s="105"/>
      <c r="D308" s="101"/>
      <c r="E308" s="101"/>
      <c r="F308" s="93" t="s">
        <v>453</v>
      </c>
      <c r="G308" s="242"/>
      <c r="H308" s="95"/>
      <c r="I308" s="95"/>
      <c r="J308" s="95"/>
      <c r="K308" s="95"/>
      <c r="L308" s="34"/>
      <c r="M308" s="34"/>
      <c r="N308" s="34"/>
      <c r="O308" s="94"/>
      <c r="P308" s="41"/>
      <c r="Q308" s="41"/>
    </row>
    <row r="309" spans="1:17" s="31" customFormat="1" ht="22.5">
      <c r="A309" s="54"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101-14-1</v>
      </c>
      <c r="B309" s="104"/>
      <c r="C309" s="105"/>
      <c r="D309" s="101"/>
      <c r="E309" s="101"/>
      <c r="F309" s="92" t="s">
        <v>454</v>
      </c>
      <c r="G309" s="242"/>
      <c r="H309" s="80"/>
      <c r="I309" s="80"/>
      <c r="J309" s="41"/>
      <c r="K309" s="41"/>
      <c r="L309" s="34"/>
      <c r="M309" s="34"/>
      <c r="N309" s="34"/>
      <c r="O309" s="94"/>
      <c r="P309" s="41"/>
      <c r="Q309" s="41"/>
    </row>
    <row r="310" spans="1:17" s="31" customFormat="1" ht="22.5">
      <c r="A310" s="54"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101-15-1</v>
      </c>
      <c r="B310" s="104"/>
      <c r="C310" s="105"/>
      <c r="D310" s="101"/>
      <c r="E310" s="101"/>
      <c r="F310" s="93" t="s">
        <v>455</v>
      </c>
      <c r="G310" s="242"/>
      <c r="H310" s="80"/>
      <c r="I310" s="80"/>
      <c r="J310" s="95"/>
      <c r="K310" s="95"/>
      <c r="L310" s="34"/>
      <c r="M310" s="34"/>
      <c r="N310" s="34"/>
      <c r="O310" s="94"/>
      <c r="P310" s="41"/>
      <c r="Q310" s="41"/>
    </row>
    <row r="311" spans="1:17" s="31" customFormat="1" ht="22.5">
      <c r="A311" s="54"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101-16-1</v>
      </c>
      <c r="B311" s="104"/>
      <c r="C311" s="105"/>
      <c r="D311" s="101"/>
      <c r="E311" s="101"/>
      <c r="F311" s="93" t="s">
        <v>456</v>
      </c>
      <c r="G311" s="242"/>
      <c r="H311" s="80"/>
      <c r="I311" s="80"/>
      <c r="J311" s="95"/>
      <c r="K311" s="41"/>
      <c r="L311" s="34"/>
      <c r="M311" s="34"/>
      <c r="N311" s="34"/>
      <c r="O311" s="94"/>
      <c r="P311" s="41"/>
      <c r="Q311" s="41"/>
    </row>
    <row r="312" spans="1:17" s="31" customFormat="1" ht="22.5">
      <c r="A312" s="54"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101-17-1</v>
      </c>
      <c r="B312" s="104"/>
      <c r="C312" s="105"/>
      <c r="D312" s="101"/>
      <c r="E312" s="101"/>
      <c r="F312" s="92" t="s">
        <v>457</v>
      </c>
      <c r="G312" s="242"/>
      <c r="H312" s="80"/>
      <c r="I312" s="80"/>
      <c r="J312" s="95"/>
      <c r="K312" s="95"/>
      <c r="L312" s="34"/>
      <c r="M312" s="34"/>
      <c r="N312" s="34"/>
      <c r="O312" s="94"/>
      <c r="P312" s="41"/>
      <c r="Q312" s="41"/>
    </row>
    <row r="313" spans="1:17" s="31" customFormat="1" ht="22.5">
      <c r="A313" s="54"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101-18-1</v>
      </c>
      <c r="B313" s="104"/>
      <c r="C313" s="105"/>
      <c r="D313" s="101"/>
      <c r="E313" s="101"/>
      <c r="F313" s="92" t="s">
        <v>458</v>
      </c>
      <c r="G313" s="242"/>
      <c r="H313" s="80"/>
      <c r="I313" s="80"/>
      <c r="J313" s="95"/>
      <c r="K313" s="95"/>
      <c r="L313" s="34"/>
      <c r="M313" s="34"/>
      <c r="N313" s="34"/>
      <c r="O313" s="94"/>
      <c r="P313" s="41"/>
      <c r="Q313" s="41"/>
    </row>
    <row r="314" spans="1:17" s="31" customFormat="1" ht="22.5">
      <c r="A314" s="54"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101-19-1</v>
      </c>
      <c r="B314" s="104"/>
      <c r="C314" s="105"/>
      <c r="D314" s="101"/>
      <c r="E314" s="101"/>
      <c r="F314" s="92" t="s">
        <v>459</v>
      </c>
      <c r="G314" s="242"/>
      <c r="H314" s="80"/>
      <c r="I314" s="80"/>
      <c r="J314" s="95"/>
      <c r="K314" s="95"/>
      <c r="L314" s="34"/>
      <c r="M314" s="34"/>
      <c r="N314" s="34"/>
      <c r="O314" s="94"/>
      <c r="P314" s="41"/>
      <c r="Q314" s="41"/>
    </row>
    <row r="315" spans="1:17" s="31" customFormat="1" ht="22.5">
      <c r="A315" s="54"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101-20-1</v>
      </c>
      <c r="B315" s="104"/>
      <c r="C315" s="105"/>
      <c r="D315" s="101"/>
      <c r="E315" s="101"/>
      <c r="F315" s="93" t="s">
        <v>460</v>
      </c>
      <c r="G315" s="242"/>
      <c r="H315" s="80"/>
      <c r="I315" s="80"/>
      <c r="J315" s="41"/>
      <c r="K315" s="103"/>
      <c r="L315" s="34"/>
      <c r="M315" s="34"/>
      <c r="N315" s="34"/>
      <c r="O315" s="94"/>
      <c r="P315" s="41"/>
      <c r="Q315" s="41"/>
    </row>
    <row r="316" spans="1:17" s="31" customFormat="1" ht="22.5">
      <c r="A316" s="54"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101-21-1</v>
      </c>
      <c r="B316" s="104"/>
      <c r="C316" s="105"/>
      <c r="D316" s="101"/>
      <c r="E316" s="101"/>
      <c r="F316" s="248" t="s">
        <v>461</v>
      </c>
      <c r="G316" s="161" t="s">
        <v>586</v>
      </c>
      <c r="H316" s="152"/>
      <c r="I316" s="161"/>
      <c r="J316" s="161"/>
      <c r="K316" s="249"/>
      <c r="L316" s="157"/>
      <c r="M316" s="157"/>
      <c r="N316" s="157"/>
      <c r="O316" s="177"/>
      <c r="P316" s="161"/>
      <c r="Q316" s="161"/>
    </row>
    <row r="317" spans="1:17" s="31" customFormat="1" ht="22.5">
      <c r="A317" s="54"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102-1-1</v>
      </c>
      <c r="B317" s="104"/>
      <c r="C317" s="101"/>
      <c r="D317" s="101"/>
      <c r="E317" s="102" t="s">
        <v>462</v>
      </c>
      <c r="F317" s="93" t="s">
        <v>463</v>
      </c>
      <c r="G317" s="242"/>
      <c r="H317" s="95"/>
      <c r="I317" s="41"/>
      <c r="J317" s="41"/>
      <c r="K317" s="103"/>
      <c r="L317" s="34"/>
      <c r="M317" s="34"/>
      <c r="N317" s="34"/>
      <c r="O317" s="94"/>
      <c r="P317" s="41"/>
      <c r="Q317" s="41"/>
    </row>
    <row r="318" spans="1:17" s="31" customFormat="1" ht="22.5">
      <c r="A318" s="54"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102-2-1</v>
      </c>
      <c r="B318" s="104"/>
      <c r="C318" s="105"/>
      <c r="D318" s="101"/>
      <c r="E318" s="110"/>
      <c r="F318" s="93" t="s">
        <v>464</v>
      </c>
      <c r="G318" s="242"/>
      <c r="H318" s="95"/>
      <c r="I318" s="41"/>
      <c r="J318" s="41"/>
      <c r="K318" s="103"/>
      <c r="L318" s="34"/>
      <c r="M318" s="34"/>
      <c r="N318" s="34"/>
      <c r="O318" s="94"/>
      <c r="P318" s="41"/>
      <c r="Q318" s="41"/>
    </row>
    <row r="319" spans="1:17" ht="22.5">
      <c r="A319" s="54"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103-1-1</v>
      </c>
      <c r="B319" s="104"/>
      <c r="C319" s="105"/>
      <c r="D319" s="101"/>
      <c r="E319" s="101" t="s">
        <v>465</v>
      </c>
      <c r="F319" s="93" t="s">
        <v>466</v>
      </c>
      <c r="G319" s="243"/>
      <c r="H319" s="95"/>
      <c r="I319" s="95"/>
      <c r="J319" s="34"/>
      <c r="K319" s="111"/>
      <c r="L319" s="95"/>
      <c r="M319" s="34"/>
      <c r="N319" s="32"/>
      <c r="O319" s="94"/>
      <c r="P319" s="94"/>
      <c r="Q319" s="94"/>
    </row>
    <row r="320" spans="1:17" ht="22.5">
      <c r="A320" s="54" t="str" cm="1">
        <f t="array" aca="1" ref="A320" ca="1">_xlfn.LET(
_xlpm.詳細項目数, COUNTA($E$11:E320),
_xlpm.直近で詳細項目が空でないセルの行番号, MAX(INDEX((LEN($E$11:E320)&gt;0)*ROW($E$11:E320),0)),
_xlpm.観点数, COUNTA(INDIRECT("F"&amp;_xlpm.直近で詳細項目が空でないセルの行番号):F320),
_xlpm.直近で観点が空でないセルの行番号, MAX(INDEX((LEN($F$11:F320)&gt;0)*ROW($F$11:F320),0)),
_xlpm.テスト内容数, COUNTA(INDIRECT("J"&amp;_xlpm.直近で観点が空でないセルの行番号):J320),
_xlpm.テスト内容数_空なら1, IF(_xlpm.テスト内容数=0,1,_xlpm.テスト内容数),
_xlpm.詳細項目数&amp;"-"&amp;_xlpm.観点数&amp;"-"&amp;_xlpm.テスト内容数_空なら1
)</f>
        <v>103-2-1</v>
      </c>
      <c r="B320" s="104"/>
      <c r="C320" s="105"/>
      <c r="D320" s="101"/>
      <c r="E320" s="101"/>
      <c r="F320" s="93" t="s">
        <v>467</v>
      </c>
      <c r="G320" s="243"/>
      <c r="H320" s="95"/>
      <c r="I320" s="95"/>
      <c r="J320" s="34"/>
      <c r="K320" s="111"/>
      <c r="L320" s="95"/>
      <c r="M320" s="34"/>
      <c r="N320" s="32"/>
      <c r="O320" s="94"/>
      <c r="P320" s="94"/>
      <c r="Q320" s="94"/>
    </row>
    <row r="321" spans="1:17" s="31" customFormat="1" ht="22.5">
      <c r="A321" s="54" t="str" cm="1">
        <f t="array" aca="1" ref="A321" ca="1">_xlfn.LET(
_xlpm.詳細項目数, COUNTA($E$11:E321),
_xlpm.直近で詳細項目が空でないセルの行番号, MAX(INDEX((LEN($E$11:E321)&gt;0)*ROW($E$11:E321),0)),
_xlpm.観点数, COUNTA(INDIRECT("F"&amp;_xlpm.直近で詳細項目が空でないセルの行番号):F321),
_xlpm.直近で観点が空でないセルの行番号, MAX(INDEX((LEN($F$11:F321)&gt;0)*ROW($F$11:F321),0)),
_xlpm.テスト内容数, COUNTA(INDIRECT("J"&amp;_xlpm.直近で観点が空でないセルの行番号):J321),
_xlpm.テスト内容数_空なら1, IF(_xlpm.テスト内容数=0,1,_xlpm.テスト内容数),
_xlpm.詳細項目数&amp;"-"&amp;_xlpm.観点数&amp;"-"&amp;_xlpm.テスト内容数_空なら1
)</f>
        <v>104-1-1</v>
      </c>
      <c r="B321" s="104"/>
      <c r="C321" s="105"/>
      <c r="D321" s="101"/>
      <c r="E321" s="94" t="s">
        <v>468</v>
      </c>
      <c r="F321" s="93" t="s">
        <v>469</v>
      </c>
      <c r="G321" s="242"/>
      <c r="H321" s="95"/>
      <c r="I321" s="41"/>
      <c r="J321" s="34"/>
      <c r="K321" s="103"/>
      <c r="L321" s="34"/>
      <c r="M321" s="34"/>
      <c r="N321" s="34"/>
      <c r="O321" s="94"/>
      <c r="P321" s="41"/>
      <c r="Q321" s="41"/>
    </row>
    <row r="322" spans="1:17" s="31" customFormat="1" ht="22.5">
      <c r="A322" s="54" t="str" cm="1">
        <f t="array" aca="1" ref="A322" ca="1">_xlfn.LET(
_xlpm.詳細項目数, COUNTA($E$11:E322),
_xlpm.直近で詳細項目が空でないセルの行番号, MAX(INDEX((LEN($E$11:E322)&gt;0)*ROW($E$11:E322),0)),
_xlpm.観点数, COUNTA(INDIRECT("F"&amp;_xlpm.直近で詳細項目が空でないセルの行番号):F322),
_xlpm.直近で観点が空でないセルの行番号, MAX(INDEX((LEN($F$11:F322)&gt;0)*ROW($F$11:F322),0)),
_xlpm.テスト内容数, COUNTA(INDIRECT("J"&amp;_xlpm.直近で観点が空でないセルの行番号):J322),
_xlpm.テスト内容数_空なら1, IF(_xlpm.テスト内容数=0,1,_xlpm.テスト内容数),
_xlpm.詳細項目数&amp;"-"&amp;_xlpm.観点数&amp;"-"&amp;_xlpm.テスト内容数_空なら1
)</f>
        <v>105-1-1</v>
      </c>
      <c r="B322" s="104"/>
      <c r="C322" s="105"/>
      <c r="D322" s="101"/>
      <c r="E322" s="101" t="s">
        <v>437</v>
      </c>
      <c r="F322" s="92" t="s">
        <v>470</v>
      </c>
      <c r="G322" s="242"/>
      <c r="H322" s="95"/>
      <c r="I322" s="95"/>
      <c r="J322" s="95"/>
      <c r="K322" s="41"/>
      <c r="L322" s="34"/>
      <c r="M322" s="34"/>
      <c r="N322" s="34"/>
      <c r="O322" s="94"/>
      <c r="P322" s="41"/>
      <c r="Q322" s="41"/>
    </row>
    <row r="323" spans="1:17" ht="22.5">
      <c r="A323" s="54" t="str" cm="1">
        <f t="array" aca="1" ref="A323" ca="1">_xlfn.LET(
_xlpm.詳細項目数, COUNTA($E$11:E323),
_xlpm.直近で詳細項目が空でないセルの行番号, MAX(INDEX((LEN($E$11:E323)&gt;0)*ROW($E$11:E323),0)),
_xlpm.観点数, COUNTA(INDIRECT("F"&amp;_xlpm.直近で詳細項目が空でないセルの行番号):F323),
_xlpm.直近で観点が空でないセルの行番号, MAX(INDEX((LEN($F$11:F323)&gt;0)*ROW($F$11:F323),0)),
_xlpm.テスト内容数, COUNTA(INDIRECT("J"&amp;_xlpm.直近で観点が空でないセルの行番号):J323),
_xlpm.テスト内容数_空なら1, IF(_xlpm.テスト内容数=0,1,_xlpm.テスト内容数),
_xlpm.詳細項目数&amp;"-"&amp;_xlpm.観点数&amp;"-"&amp;_xlpm.テスト内容数_空なら1
)</f>
        <v>105-2-1</v>
      </c>
      <c r="B323" s="104"/>
      <c r="C323" s="105"/>
      <c r="D323" s="101"/>
      <c r="E323" s="101"/>
      <c r="F323" s="93" t="s">
        <v>471</v>
      </c>
      <c r="G323" s="239"/>
      <c r="H323" s="34"/>
      <c r="I323" s="34"/>
      <c r="J323" s="76"/>
      <c r="K323" s="76"/>
      <c r="L323" s="34"/>
      <c r="M323" s="34"/>
      <c r="N323" s="34"/>
      <c r="O323" s="94"/>
      <c r="P323" s="32"/>
      <c r="Q323" s="32"/>
    </row>
    <row r="324" spans="1:17" ht="33.75">
      <c r="A324" s="54" t="str" cm="1">
        <f t="array" aca="1" ref="A324" ca="1">_xlfn.LET(
_xlpm.詳細項目数, COUNTA($E$11:E324),
_xlpm.直近で詳細項目が空でないセルの行番号, MAX(INDEX((LEN($E$11:E324)&gt;0)*ROW($E$11:E324),0)),
_xlpm.観点数, COUNTA(INDIRECT("F"&amp;_xlpm.直近で詳細項目が空でないセルの行番号):F324),
_xlpm.直近で観点が空でないセルの行番号, MAX(INDEX((LEN($F$11:F324)&gt;0)*ROW($F$11:F324),0)),
_xlpm.テスト内容数, COUNTA(INDIRECT("J"&amp;_xlpm.直近で観点が空でないセルの行番号):J324),
_xlpm.テスト内容数_空なら1, IF(_xlpm.テスト内容数=0,1,_xlpm.テスト内容数),
_xlpm.詳細項目数&amp;"-"&amp;_xlpm.観点数&amp;"-"&amp;_xlpm.テスト内容数_空なら1
)</f>
        <v>105-3-1</v>
      </c>
      <c r="B324" s="104"/>
      <c r="C324" s="105"/>
      <c r="D324" s="101"/>
      <c r="E324" s="101"/>
      <c r="F324" s="93" t="s">
        <v>472</v>
      </c>
      <c r="G324" s="239"/>
      <c r="H324" s="95"/>
      <c r="I324" s="95"/>
      <c r="J324" s="95"/>
      <c r="K324" s="32"/>
      <c r="L324" s="34"/>
      <c r="M324" s="34"/>
      <c r="N324" s="34"/>
      <c r="O324" s="94"/>
      <c r="P324" s="32"/>
      <c r="Q324" s="32"/>
    </row>
    <row r="325" spans="1:17" ht="45">
      <c r="A325" s="54" t="str" cm="1">
        <f t="array" aca="1" ref="A325" ca="1">_xlfn.LET(
_xlpm.詳細項目数, COUNTA($E$11:E325),
_xlpm.直近で詳細項目が空でないセルの行番号, MAX(INDEX((LEN($E$11:E325)&gt;0)*ROW($E$11:E325),0)),
_xlpm.観点数, COUNTA(INDIRECT("F"&amp;_xlpm.直近で詳細項目が空でないセルの行番号):F325),
_xlpm.直近で観点が空でないセルの行番号, MAX(INDEX((LEN($F$11:F325)&gt;0)*ROW($F$11:F325),0)),
_xlpm.テスト内容数, COUNTA(INDIRECT("J"&amp;_xlpm.直近で観点が空でないセルの行番号):J325),
_xlpm.テスト内容数_空なら1, IF(_xlpm.テスト内容数=0,1,_xlpm.テスト内容数),
_xlpm.詳細項目数&amp;"-"&amp;_xlpm.観点数&amp;"-"&amp;_xlpm.テスト内容数_空なら1
)</f>
        <v>105-4-1</v>
      </c>
      <c r="B325" s="104"/>
      <c r="C325" s="105"/>
      <c r="D325" s="101"/>
      <c r="E325" s="101"/>
      <c r="F325" s="93" t="s">
        <v>473</v>
      </c>
      <c r="G325" s="239"/>
      <c r="H325" s="34"/>
      <c r="I325" s="34"/>
      <c r="J325" s="32"/>
      <c r="K325" s="32"/>
      <c r="L325" s="34"/>
      <c r="M325" s="34"/>
      <c r="N325" s="34"/>
      <c r="O325" s="94"/>
      <c r="P325" s="32"/>
      <c r="Q325" s="32"/>
    </row>
    <row r="326" spans="1:17" ht="33.75">
      <c r="A326" s="54" t="str" cm="1">
        <f t="array" aca="1" ref="A326" ca="1">_xlfn.LET(
_xlpm.詳細項目数, COUNTA($E$11:E326),
_xlpm.直近で詳細項目が空でないセルの行番号, MAX(INDEX((LEN($E$11:E326)&gt;0)*ROW($E$11:E326),0)),
_xlpm.観点数, COUNTA(INDIRECT("F"&amp;_xlpm.直近で詳細項目が空でないセルの行番号):F326),
_xlpm.直近で観点が空でないセルの行番号, MAX(INDEX((LEN($F$11:F326)&gt;0)*ROW($F$11:F326),0)),
_xlpm.テスト内容数, COUNTA(INDIRECT("J"&amp;_xlpm.直近で観点が空でないセルの行番号):J326),
_xlpm.テスト内容数_空なら1, IF(_xlpm.テスト内容数=0,1,_xlpm.テスト内容数),
_xlpm.詳細項目数&amp;"-"&amp;_xlpm.観点数&amp;"-"&amp;_xlpm.テスト内容数_空なら1
)</f>
        <v>105-5-1</v>
      </c>
      <c r="B326" s="104"/>
      <c r="C326" s="105"/>
      <c r="D326" s="101"/>
      <c r="E326" s="101"/>
      <c r="F326" s="93" t="s">
        <v>474</v>
      </c>
      <c r="G326" s="239"/>
      <c r="H326" s="34"/>
      <c r="I326" s="34"/>
      <c r="J326" s="32"/>
      <c r="K326" s="32"/>
      <c r="L326" s="34"/>
      <c r="M326" s="34"/>
      <c r="N326" s="34"/>
      <c r="O326" s="94"/>
      <c r="P326" s="32"/>
      <c r="Q326" s="32"/>
    </row>
    <row r="327" spans="1:17" ht="45">
      <c r="A327" s="54" t="str" cm="1">
        <f t="array" aca="1" ref="A327" ca="1">_xlfn.LET(
_xlpm.詳細項目数, COUNTA($E$11:E327),
_xlpm.直近で詳細項目が空でないセルの行番号, MAX(INDEX((LEN($E$11:E327)&gt;0)*ROW($E$11:E327),0)),
_xlpm.観点数, COUNTA(INDIRECT("F"&amp;_xlpm.直近で詳細項目が空でないセルの行番号):F327),
_xlpm.直近で観点が空でないセルの行番号, MAX(INDEX((LEN($F$11:F327)&gt;0)*ROW($F$11:F327),0)),
_xlpm.テスト内容数, COUNTA(INDIRECT("J"&amp;_xlpm.直近で観点が空でないセルの行番号):J327),
_xlpm.テスト内容数_空なら1, IF(_xlpm.テスト内容数=0,1,_xlpm.テスト内容数),
_xlpm.詳細項目数&amp;"-"&amp;_xlpm.観点数&amp;"-"&amp;_xlpm.テスト内容数_空なら1
)</f>
        <v>105-6-1</v>
      </c>
      <c r="B327" s="104"/>
      <c r="C327" s="105"/>
      <c r="D327" s="101"/>
      <c r="E327" s="101"/>
      <c r="F327" s="93" t="s">
        <v>475</v>
      </c>
      <c r="G327" s="239"/>
      <c r="H327" s="34"/>
      <c r="I327" s="34"/>
      <c r="J327" s="32"/>
      <c r="K327" s="32"/>
      <c r="L327" s="34"/>
      <c r="M327" s="34"/>
      <c r="N327" s="34"/>
      <c r="O327" s="94"/>
      <c r="P327" s="32"/>
      <c r="Q327" s="32"/>
    </row>
    <row r="328" spans="1:17" ht="33.75">
      <c r="A328" s="54" t="str" cm="1">
        <f t="array" aca="1" ref="A328" ca="1">_xlfn.LET(
_xlpm.詳細項目数, COUNTA($E$11:E328),
_xlpm.直近で詳細項目が空でないセルの行番号, MAX(INDEX((LEN($E$11:E328)&gt;0)*ROW($E$11:E328),0)),
_xlpm.観点数, COUNTA(INDIRECT("F"&amp;_xlpm.直近で詳細項目が空でないセルの行番号):F328),
_xlpm.直近で観点が空でないセルの行番号, MAX(INDEX((LEN($F$11:F328)&gt;0)*ROW($F$11:F328),0)),
_xlpm.テスト内容数, COUNTA(INDIRECT("J"&amp;_xlpm.直近で観点が空でないセルの行番号):J328),
_xlpm.テスト内容数_空なら1, IF(_xlpm.テスト内容数=0,1,_xlpm.テスト内容数),
_xlpm.詳細項目数&amp;"-"&amp;_xlpm.観点数&amp;"-"&amp;_xlpm.テスト内容数_空なら1
)</f>
        <v>105-7-1</v>
      </c>
      <c r="B328" s="104"/>
      <c r="C328" s="105"/>
      <c r="D328" s="101"/>
      <c r="E328" s="101"/>
      <c r="F328" s="93" t="s">
        <v>476</v>
      </c>
      <c r="G328" s="239"/>
      <c r="H328" s="34"/>
      <c r="I328" s="34"/>
      <c r="J328" s="32"/>
      <c r="K328" s="32"/>
      <c r="L328" s="34"/>
      <c r="M328" s="34"/>
      <c r="N328" s="34"/>
      <c r="O328" s="94"/>
      <c r="P328" s="32"/>
      <c r="Q328" s="32"/>
    </row>
    <row r="329" spans="1:17" ht="45">
      <c r="A329" s="54" t="str" cm="1">
        <f t="array" aca="1" ref="A329" ca="1">_xlfn.LET(
_xlpm.詳細項目数, COUNTA($E$11:E329),
_xlpm.直近で詳細項目が空でないセルの行番号, MAX(INDEX((LEN($E$11:E329)&gt;0)*ROW($E$11:E329),0)),
_xlpm.観点数, COUNTA(INDIRECT("F"&amp;_xlpm.直近で詳細項目が空でないセルの行番号):F329),
_xlpm.直近で観点が空でないセルの行番号, MAX(INDEX((LEN($F$11:F329)&gt;0)*ROW($F$11:F329),0)),
_xlpm.テスト内容数, COUNTA(INDIRECT("J"&amp;_xlpm.直近で観点が空でないセルの行番号):J329),
_xlpm.テスト内容数_空なら1, IF(_xlpm.テスト内容数=0,1,_xlpm.テスト内容数),
_xlpm.詳細項目数&amp;"-"&amp;_xlpm.観点数&amp;"-"&amp;_xlpm.テスト内容数_空なら1
)</f>
        <v>105-8-1</v>
      </c>
      <c r="B329" s="104"/>
      <c r="C329" s="105"/>
      <c r="D329" s="101"/>
      <c r="E329" s="101"/>
      <c r="F329" s="93" t="s">
        <v>477</v>
      </c>
      <c r="G329" s="239"/>
      <c r="H329" s="34"/>
      <c r="I329" s="34"/>
      <c r="J329" s="32"/>
      <c r="K329" s="32"/>
      <c r="L329" s="34"/>
      <c r="M329" s="34"/>
      <c r="N329" s="34"/>
      <c r="O329" s="94"/>
      <c r="P329" s="32"/>
      <c r="Q329" s="32"/>
    </row>
    <row r="330" spans="1:17" ht="22.5">
      <c r="A330" s="54" t="str" cm="1">
        <f t="array" aca="1" ref="A330" ca="1">_xlfn.LET(
_xlpm.詳細項目数, COUNTA($E$11:E330),
_xlpm.直近で詳細項目が空でないセルの行番号, MAX(INDEX((LEN($E$11:E330)&gt;0)*ROW($E$11:E330),0)),
_xlpm.観点数, COUNTA(INDIRECT("F"&amp;_xlpm.直近で詳細項目が空でないセルの行番号):F330),
_xlpm.直近で観点が空でないセルの行番号, MAX(INDEX((LEN($F$11:F330)&gt;0)*ROW($F$11:F330),0)),
_xlpm.テスト内容数, COUNTA(INDIRECT("J"&amp;_xlpm.直近で観点が空でないセルの行番号):J330),
_xlpm.テスト内容数_空なら1, IF(_xlpm.テスト内容数=0,1,_xlpm.テスト内容数),
_xlpm.詳細項目数&amp;"-"&amp;_xlpm.観点数&amp;"-"&amp;_xlpm.テスト内容数_空なら1
)</f>
        <v>105-9-1</v>
      </c>
      <c r="B330" s="104"/>
      <c r="C330" s="105"/>
      <c r="D330" s="101"/>
      <c r="E330" s="101"/>
      <c r="F330" s="93" t="s">
        <v>478</v>
      </c>
      <c r="G330" s="239"/>
      <c r="H330" s="34"/>
      <c r="I330" s="34"/>
      <c r="J330" s="97"/>
      <c r="K330" s="32"/>
      <c r="L330" s="34"/>
      <c r="M330" s="34"/>
      <c r="N330" s="34"/>
      <c r="O330" s="94"/>
      <c r="P330" s="32"/>
      <c r="Q330" s="32"/>
    </row>
    <row r="331" spans="1:17" ht="22.5">
      <c r="A331" s="54" t="str" cm="1">
        <f t="array" aca="1" ref="A331" ca="1">_xlfn.LET(
_xlpm.詳細項目数, COUNTA($E$11:E331),
_xlpm.直近で詳細項目が空でないセルの行番号, MAX(INDEX((LEN($E$11:E331)&gt;0)*ROW($E$11:E331),0)),
_xlpm.観点数, COUNTA(INDIRECT("F"&amp;_xlpm.直近で詳細項目が空でないセルの行番号):F331),
_xlpm.直近で観点が空でないセルの行番号, MAX(INDEX((LEN($F$11:F331)&gt;0)*ROW($F$11:F331),0)),
_xlpm.テスト内容数, COUNTA(INDIRECT("J"&amp;_xlpm.直近で観点が空でないセルの行番号):J331),
_xlpm.テスト内容数_空なら1, IF(_xlpm.テスト内容数=0,1,_xlpm.テスト内容数),
_xlpm.詳細項目数&amp;"-"&amp;_xlpm.観点数&amp;"-"&amp;_xlpm.テスト内容数_空なら1
)</f>
        <v>106-1-1</v>
      </c>
      <c r="B331" s="112"/>
      <c r="C331" s="105"/>
      <c r="D331" s="101"/>
      <c r="E331" s="94" t="s">
        <v>479</v>
      </c>
      <c r="F331" s="93" t="s">
        <v>480</v>
      </c>
      <c r="G331" s="239"/>
      <c r="H331" s="95"/>
      <c r="I331" s="95"/>
      <c r="J331" s="95"/>
      <c r="K331" s="41"/>
      <c r="L331" s="34"/>
      <c r="M331" s="34"/>
      <c r="N331" s="34"/>
      <c r="O331" s="94"/>
      <c r="P331" s="32"/>
      <c r="Q331" s="32"/>
    </row>
    <row r="332" spans="1:17" ht="22.5">
      <c r="A332" s="54" t="str" cm="1">
        <f t="array" aca="1" ref="A332" ca="1">_xlfn.LET(
_xlpm.詳細項目数, COUNTA($E$11:E332),
_xlpm.直近で詳細項目が空でないセルの行番号, MAX(INDEX((LEN($E$11:E332)&gt;0)*ROW($E$11:E332),0)),
_xlpm.観点数, COUNTA(INDIRECT("F"&amp;_xlpm.直近で詳細項目が空でないセルの行番号):F332),
_xlpm.直近で観点が空でないセルの行番号, MAX(INDEX((LEN($F$11:F332)&gt;0)*ROW($F$11:F332),0)),
_xlpm.テスト内容数, COUNTA(INDIRECT("J"&amp;_xlpm.直近で観点が空でないセルの行番号):J332),
_xlpm.テスト内容数_空なら1, IF(_xlpm.テスト内容数=0,1,_xlpm.テスト内容数),
_xlpm.詳細項目数&amp;"-"&amp;_xlpm.観点数&amp;"-"&amp;_xlpm.テスト内容数_空なら1
)</f>
        <v>107-1-1</v>
      </c>
      <c r="B332" s="112"/>
      <c r="C332" s="105"/>
      <c r="D332" s="110"/>
      <c r="E332" s="94" t="s">
        <v>481</v>
      </c>
      <c r="F332" s="93" t="s">
        <v>482</v>
      </c>
      <c r="G332" s="239"/>
      <c r="H332" s="95"/>
      <c r="I332" s="95"/>
      <c r="J332" s="95"/>
      <c r="K332" s="34"/>
      <c r="L332" s="34"/>
      <c r="M332" s="34"/>
      <c r="N332" s="34"/>
      <c r="O332" s="94"/>
      <c r="P332" s="32"/>
      <c r="Q332" s="32"/>
    </row>
    <row r="333" spans="1:17" ht="22.5">
      <c r="A333" s="54" t="str" cm="1">
        <f t="array" aca="1" ref="A333" ca="1">_xlfn.LET(
_xlpm.詳細項目数, COUNTA($E$11:E333),
_xlpm.直近で詳細項目が空でないセルの行番号, MAX(INDEX((LEN($E$11:E333)&gt;0)*ROW($E$11:E333),0)),
_xlpm.観点数, COUNTA(INDIRECT("F"&amp;_xlpm.直近で詳細項目が空でないセルの行番号):F333),
_xlpm.直近で観点が空でないセルの行番号, MAX(INDEX((LEN($F$11:F333)&gt;0)*ROW($F$11:F333),0)),
_xlpm.テスト内容数, COUNTA(INDIRECT("J"&amp;_xlpm.直近で観点が空でないセルの行番号):J333),
_xlpm.テスト内容数_空なら1, IF(_xlpm.テスト内容数=0,1,_xlpm.テスト内容数),
_xlpm.詳細項目数&amp;"-"&amp;_xlpm.観点数&amp;"-"&amp;_xlpm.テスト内容数_空なら1
)</f>
        <v>108-1-1</v>
      </c>
      <c r="B333" s="112"/>
      <c r="C333" s="101"/>
      <c r="D333" s="101" t="s">
        <v>483</v>
      </c>
      <c r="E333" s="102" t="s">
        <v>436</v>
      </c>
      <c r="F333" s="92" t="s">
        <v>484</v>
      </c>
      <c r="G333" s="239"/>
      <c r="H333" s="95"/>
      <c r="I333" s="95"/>
      <c r="J333" s="41"/>
      <c r="K333" s="41"/>
      <c r="L333" s="34"/>
      <c r="M333" s="34"/>
      <c r="N333" s="34"/>
      <c r="O333" s="94"/>
      <c r="P333" s="32"/>
      <c r="Q333" s="32"/>
    </row>
    <row r="334" spans="1:17" ht="22.5">
      <c r="A334" s="54" t="str" cm="1">
        <f t="array" aca="1" ref="A334" ca="1">_xlfn.LET(
_xlpm.詳細項目数, COUNTA($E$11:E334),
_xlpm.直近で詳細項目が空でないセルの行番号, MAX(INDEX((LEN($E$11:E334)&gt;0)*ROW($E$11:E334),0)),
_xlpm.観点数, COUNTA(INDIRECT("F"&amp;_xlpm.直近で詳細項目が空でないセルの行番号):F334),
_xlpm.直近で観点が空でないセルの行番号, MAX(INDEX((LEN($F$11:F334)&gt;0)*ROW($F$11:F334),0)),
_xlpm.テスト内容数, COUNTA(INDIRECT("J"&amp;_xlpm.直近で観点が空でないセルの行番号):J334),
_xlpm.テスト内容数_空なら1, IF(_xlpm.テスト内容数=0,1,_xlpm.テスト内容数),
_xlpm.詳細項目数&amp;"-"&amp;_xlpm.観点数&amp;"-"&amp;_xlpm.テスト内容数_空なら1
)</f>
        <v>109-1-1</v>
      </c>
      <c r="B334" s="112"/>
      <c r="C334" s="105"/>
      <c r="D334" s="101"/>
      <c r="E334" s="101" t="s">
        <v>485</v>
      </c>
      <c r="F334" s="93" t="s">
        <v>486</v>
      </c>
      <c r="G334" s="239"/>
      <c r="H334" s="95"/>
      <c r="I334" s="95"/>
      <c r="J334" s="95"/>
      <c r="K334" s="41"/>
      <c r="L334" s="34"/>
      <c r="M334" s="34"/>
      <c r="N334" s="34"/>
      <c r="O334" s="94"/>
      <c r="P334" s="32"/>
      <c r="Q334" s="32"/>
    </row>
    <row r="335" spans="1:17" ht="22.5">
      <c r="A335" s="54" t="str" cm="1">
        <f t="array" aca="1" ref="A335" ca="1">_xlfn.LET(
_xlpm.詳細項目数, COUNTA($E$11:E335),
_xlpm.直近で詳細項目が空でないセルの行番号, MAX(INDEX((LEN($E$11:E335)&gt;0)*ROW($E$11:E335),0)),
_xlpm.観点数, COUNTA(INDIRECT("F"&amp;_xlpm.直近で詳細項目が空でないセルの行番号):F335),
_xlpm.直近で観点が空でないセルの行番号, MAX(INDEX((LEN($F$11:F335)&gt;0)*ROW($F$11:F335),0)),
_xlpm.テスト内容数, COUNTA(INDIRECT("J"&amp;_xlpm.直近で観点が空でないセルの行番号):J335),
_xlpm.テスト内容数_空なら1, IF(_xlpm.テスト内容数=0,1,_xlpm.テスト内容数),
_xlpm.詳細項目数&amp;"-"&amp;_xlpm.観点数&amp;"-"&amp;_xlpm.テスト内容数_空なら1
)</f>
        <v>109-2-1</v>
      </c>
      <c r="B335" s="112"/>
      <c r="C335" s="105"/>
      <c r="D335" s="101"/>
      <c r="E335" s="101"/>
      <c r="F335" s="92" t="s">
        <v>487</v>
      </c>
      <c r="G335" s="239"/>
      <c r="H335" s="95"/>
      <c r="I335" s="95"/>
      <c r="J335" s="41"/>
      <c r="K335" s="41"/>
      <c r="L335" s="34"/>
      <c r="M335" s="34"/>
      <c r="N335" s="34"/>
      <c r="O335" s="94"/>
      <c r="P335" s="32"/>
      <c r="Q335" s="32"/>
    </row>
    <row r="336" spans="1:17" ht="22.5">
      <c r="A336" s="54" t="str" cm="1">
        <f t="array" aca="1" ref="A336" ca="1">_xlfn.LET(
_xlpm.詳細項目数, COUNTA($E$11:E336),
_xlpm.直近で詳細項目が空でないセルの行番号, MAX(INDEX((LEN($E$11:E336)&gt;0)*ROW($E$11:E336),0)),
_xlpm.観点数, COUNTA(INDIRECT("F"&amp;_xlpm.直近で詳細項目が空でないセルの行番号):F336),
_xlpm.直近で観点が空でないセルの行番号, MAX(INDEX((LEN($F$11:F336)&gt;0)*ROW($F$11:F336),0)),
_xlpm.テスト内容数, COUNTA(INDIRECT("J"&amp;_xlpm.直近で観点が空でないセルの行番号):J336),
_xlpm.テスト内容数_空なら1, IF(_xlpm.テスト内容数=0,1,_xlpm.テスト内容数),
_xlpm.詳細項目数&amp;"-"&amp;_xlpm.観点数&amp;"-"&amp;_xlpm.テスト内容数_空なら1
)</f>
        <v>109-3-1</v>
      </c>
      <c r="B336" s="112"/>
      <c r="C336" s="105"/>
      <c r="D336" s="101"/>
      <c r="E336" s="101"/>
      <c r="F336" s="93" t="s">
        <v>488</v>
      </c>
      <c r="G336" s="239"/>
      <c r="H336" s="95"/>
      <c r="I336" s="95"/>
      <c r="J336" s="41"/>
      <c r="K336" s="41"/>
      <c r="L336" s="34"/>
      <c r="M336" s="34"/>
      <c r="N336" s="34"/>
      <c r="O336" s="94"/>
      <c r="P336" s="32"/>
      <c r="Q336" s="32"/>
    </row>
    <row r="337" spans="1:17" ht="22.5">
      <c r="A337" s="54" t="str" cm="1">
        <f t="array" aca="1" ref="A337" ca="1">_xlfn.LET(
_xlpm.詳細項目数, COUNTA($E$11:E337),
_xlpm.直近で詳細項目が空でないセルの行番号, MAX(INDEX((LEN($E$11:E337)&gt;0)*ROW($E$11:E337),0)),
_xlpm.観点数, COUNTA(INDIRECT("F"&amp;_xlpm.直近で詳細項目が空でないセルの行番号):F337),
_xlpm.直近で観点が空でないセルの行番号, MAX(INDEX((LEN($F$11:F337)&gt;0)*ROW($F$11:F337),0)),
_xlpm.テスト内容数, COUNTA(INDIRECT("J"&amp;_xlpm.直近で観点が空でないセルの行番号):J337),
_xlpm.テスト内容数_空なら1, IF(_xlpm.テスト内容数=0,1,_xlpm.テスト内容数),
_xlpm.詳細項目数&amp;"-"&amp;_xlpm.観点数&amp;"-"&amp;_xlpm.テスト内容数_空なら1
)</f>
        <v>109-4-1</v>
      </c>
      <c r="B337" s="112"/>
      <c r="C337" s="105"/>
      <c r="D337" s="110"/>
      <c r="E337" s="101"/>
      <c r="F337" s="93" t="s">
        <v>489</v>
      </c>
      <c r="G337" s="239"/>
      <c r="H337" s="95"/>
      <c r="I337" s="95"/>
      <c r="J337" s="41"/>
      <c r="K337" s="41"/>
      <c r="L337" s="34"/>
      <c r="M337" s="34"/>
      <c r="N337" s="34"/>
      <c r="O337" s="94"/>
      <c r="P337" s="32"/>
      <c r="Q337" s="32"/>
    </row>
    <row r="338" spans="1:17">
      <c r="A338" s="54" t="str" cm="1">
        <f t="array" aca="1" ref="A338" ca="1">_xlfn.LET(
_xlpm.詳細項目数, COUNTA($E$11:E338),
_xlpm.直近で詳細項目が空でないセルの行番号, MAX(INDEX((LEN($E$11:E338)&gt;0)*ROW($E$11:E338),0)),
_xlpm.観点数, COUNTA(INDIRECT("F"&amp;_xlpm.直近で詳細項目が空でないセルの行番号):F338),
_xlpm.直近で観点が空でないセルの行番号, MAX(INDEX((LEN($F$11:F338)&gt;0)*ROW($F$11:F338),0)),
_xlpm.テスト内容数, COUNTA(INDIRECT("J"&amp;_xlpm.直近で観点が空でないセルの行番号):J338),
_xlpm.テスト内容数_空なら1, IF(_xlpm.テスト内容数=0,1,_xlpm.テスト内容数),
_xlpm.詳細項目数&amp;"-"&amp;_xlpm.観点数&amp;"-"&amp;_xlpm.テスト内容数_空なら1
)</f>
        <v>110-1-1</v>
      </c>
      <c r="B338" s="112"/>
      <c r="C338" s="105"/>
      <c r="D338" s="101" t="s">
        <v>490</v>
      </c>
      <c r="E338" s="102" t="s">
        <v>436</v>
      </c>
      <c r="F338" s="93" t="s">
        <v>491</v>
      </c>
      <c r="G338" s="239"/>
      <c r="H338" s="34"/>
      <c r="I338" s="34"/>
      <c r="J338" s="32"/>
      <c r="K338" s="32"/>
      <c r="L338" s="34"/>
      <c r="M338" s="34"/>
      <c r="N338" s="34"/>
      <c r="O338" s="94"/>
      <c r="P338" s="32"/>
      <c r="Q338" s="32"/>
    </row>
    <row r="339" spans="1:17" ht="22.5">
      <c r="A339" s="54" t="str" cm="1">
        <f t="array" aca="1" ref="A339" ca="1">_xlfn.LET(
_xlpm.詳細項目数, COUNTA($E$11:E339),
_xlpm.直近で詳細項目が空でないセルの行番号, MAX(INDEX((LEN($E$11:E339)&gt;0)*ROW($E$11:E339),0)),
_xlpm.観点数, COUNTA(INDIRECT("F"&amp;_xlpm.直近で詳細項目が空でないセルの行番号):F339),
_xlpm.直近で観点が空でないセルの行番号, MAX(INDEX((LEN($F$11:F339)&gt;0)*ROW($F$11:F339),0)),
_xlpm.テスト内容数, COUNTA(INDIRECT("J"&amp;_xlpm.直近で観点が空でないセルの行番号):J339),
_xlpm.テスト内容数_空なら1, IF(_xlpm.テスト内容数=0,1,_xlpm.テスト内容数),
_xlpm.詳細項目数&amp;"-"&amp;_xlpm.観点数&amp;"-"&amp;_xlpm.テスト内容数_空なら1
)</f>
        <v>110-2-1</v>
      </c>
      <c r="B339" s="112"/>
      <c r="C339" s="105"/>
      <c r="D339" s="101"/>
      <c r="E339" s="101"/>
      <c r="F339" s="93" t="s">
        <v>492</v>
      </c>
      <c r="G339" s="239"/>
      <c r="H339" s="34"/>
      <c r="I339" s="34"/>
      <c r="J339" s="32"/>
      <c r="K339" s="32"/>
      <c r="L339" s="34"/>
      <c r="M339" s="34"/>
      <c r="N339" s="34"/>
      <c r="O339" s="94"/>
      <c r="P339" s="32"/>
      <c r="Q339" s="32"/>
    </row>
    <row r="340" spans="1:17" ht="22.5">
      <c r="A340" s="54" t="str" cm="1">
        <f t="array" aca="1" ref="A340" ca="1">_xlfn.LET(
_xlpm.詳細項目数, COUNTA($E$11:E340),
_xlpm.直近で詳細項目が空でないセルの行番号, MAX(INDEX((LEN($E$11:E340)&gt;0)*ROW($E$11:E340),0)),
_xlpm.観点数, COUNTA(INDIRECT("F"&amp;_xlpm.直近で詳細項目が空でないセルの行番号):F340),
_xlpm.直近で観点が空でないセルの行番号, MAX(INDEX((LEN($F$11:F340)&gt;0)*ROW($F$11:F340),0)),
_xlpm.テスト内容数, COUNTA(INDIRECT("J"&amp;_xlpm.直近で観点が空でないセルの行番号):J340),
_xlpm.テスト内容数_空なら1, IF(_xlpm.テスト内容数=0,1,_xlpm.テスト内容数),
_xlpm.詳細項目数&amp;"-"&amp;_xlpm.観点数&amp;"-"&amp;_xlpm.テスト内容数_空なら1
)</f>
        <v>110-3-1</v>
      </c>
      <c r="B340" s="101"/>
      <c r="C340" s="101"/>
      <c r="D340" s="110"/>
      <c r="E340" s="110"/>
      <c r="F340" s="93" t="s">
        <v>493</v>
      </c>
      <c r="G340" s="239"/>
      <c r="H340" s="34"/>
      <c r="I340" s="34"/>
      <c r="J340" s="32"/>
      <c r="K340" s="32"/>
      <c r="L340" s="34"/>
      <c r="M340" s="34"/>
      <c r="N340" s="34"/>
      <c r="O340" s="94"/>
      <c r="P340" s="32"/>
      <c r="Q340" s="32"/>
    </row>
    <row r="341" spans="1:17" ht="28.5" customHeight="1">
      <c r="A341" s="54" t="str" cm="1">
        <f t="array" aca="1" ref="A341" ca="1">_xlfn.LET(
_xlpm.詳細項目数, COUNTA($E$11:E341),
_xlpm.直近で詳細項目が空でないセルの行番号, MAX(INDEX((LEN($E$11:E341)&gt;0)*ROW($E$11:E341),0)),
_xlpm.観点数, COUNTA(INDIRECT("F"&amp;_xlpm.直近で詳細項目が空でないセルの行番号):F341),
_xlpm.直近で観点が空でないセルの行番号, MAX(INDEX((LEN($F$11:F341)&gt;0)*ROW($F$11:F341),0)),
_xlpm.テスト内容数, COUNTA(INDIRECT("J"&amp;_xlpm.直近で観点が空でないセルの行番号):J341),
_xlpm.テスト内容数_空なら1, IF(_xlpm.テスト内容数=0,1,_xlpm.テスト内容数),
_xlpm.詳細項目数&amp;"-"&amp;_xlpm.観点数&amp;"-"&amp;_xlpm.テスト内容数_空なら1
)</f>
        <v>111-1-1</v>
      </c>
      <c r="B341" s="101"/>
      <c r="C341" s="101"/>
      <c r="D341" s="101" t="s">
        <v>494</v>
      </c>
      <c r="E341" s="101" t="s">
        <v>436</v>
      </c>
      <c r="F341" s="92" t="s">
        <v>495</v>
      </c>
      <c r="G341" s="239"/>
      <c r="H341" s="34"/>
      <c r="I341" s="34"/>
      <c r="J341" s="41"/>
      <c r="K341" s="41"/>
      <c r="L341" s="34"/>
      <c r="M341" s="34"/>
      <c r="N341" s="34"/>
      <c r="O341" s="94"/>
      <c r="P341" s="32"/>
      <c r="Q341" s="32"/>
    </row>
    <row r="342" spans="1:17" ht="22.5">
      <c r="A342" s="54" t="str" cm="1">
        <f t="array" aca="1" ref="A342" ca="1">_xlfn.LET(
_xlpm.詳細項目数, COUNTA($E$11:E342),
_xlpm.直近で詳細項目が空でないセルの行番号, MAX(INDEX((LEN($E$11:E342)&gt;0)*ROW($E$11:E342),0)),
_xlpm.観点数, COUNTA(INDIRECT("F"&amp;_xlpm.直近で詳細項目が空でないセルの行番号):F342),
_xlpm.直近で観点が空でないセルの行番号, MAX(INDEX((LEN($F$11:F342)&gt;0)*ROW($F$11:F342),0)),
_xlpm.テスト内容数, COUNTA(INDIRECT("J"&amp;_xlpm.直近で観点が空でないセルの行番号):J342),
_xlpm.テスト内容数_空なら1, IF(_xlpm.テスト内容数=0,1,_xlpm.テスト内容数),
_xlpm.詳細項目数&amp;"-"&amp;_xlpm.観点数&amp;"-"&amp;_xlpm.テスト内容数_空なら1
)</f>
        <v>111-2-1</v>
      </c>
      <c r="B342" s="112"/>
      <c r="C342" s="105"/>
      <c r="D342" s="101"/>
      <c r="E342" s="101"/>
      <c r="F342" s="92" t="s">
        <v>496</v>
      </c>
      <c r="G342" s="239"/>
      <c r="H342" s="34"/>
      <c r="I342" s="34"/>
      <c r="J342" s="95"/>
      <c r="K342" s="32"/>
      <c r="L342" s="34"/>
      <c r="M342" s="34"/>
      <c r="N342" s="34"/>
      <c r="O342" s="94"/>
      <c r="P342" s="32"/>
      <c r="Q342" s="32"/>
    </row>
    <row r="343" spans="1:17" ht="22.5">
      <c r="A343" s="54" t="str" cm="1">
        <f t="array" aca="1" ref="A343" ca="1">_xlfn.LET(
_xlpm.詳細項目数, COUNTA($E$11:E343),
_xlpm.直近で詳細項目が空でないセルの行番号, MAX(INDEX((LEN($E$11:E343)&gt;0)*ROW($E$11:E343),0)),
_xlpm.観点数, COUNTA(INDIRECT("F"&amp;_xlpm.直近で詳細項目が空でないセルの行番号):F343),
_xlpm.直近で観点が空でないセルの行番号, MAX(INDEX((LEN($F$11:F343)&gt;0)*ROW($F$11:F343),0)),
_xlpm.テスト内容数, COUNTA(INDIRECT("J"&amp;_xlpm.直近で観点が空でないセルの行番号):J343),
_xlpm.テスト内容数_空なら1, IF(_xlpm.テスト内容数=0,1,_xlpm.テスト内容数),
_xlpm.詳細項目数&amp;"-"&amp;_xlpm.観点数&amp;"-"&amp;_xlpm.テスト内容数_空なら1
)</f>
        <v>111-3-1</v>
      </c>
      <c r="B343" s="112"/>
      <c r="C343" s="105"/>
      <c r="D343" s="101"/>
      <c r="E343" s="101"/>
      <c r="F343" s="92" t="s">
        <v>497</v>
      </c>
      <c r="G343" s="239"/>
      <c r="H343" s="34"/>
      <c r="I343" s="34"/>
      <c r="J343" s="95"/>
      <c r="K343" s="76"/>
      <c r="L343" s="34"/>
      <c r="M343" s="34"/>
      <c r="N343" s="34"/>
      <c r="O343" s="94"/>
      <c r="P343" s="32"/>
      <c r="Q343" s="32"/>
    </row>
    <row r="344" spans="1:17" ht="22.5">
      <c r="A344" s="54" t="str" cm="1">
        <f t="array" aca="1" ref="A344" ca="1">_xlfn.LET(
_xlpm.詳細項目数, COUNTA($E$11:E344),
_xlpm.直近で詳細項目が空でないセルの行番号, MAX(INDEX((LEN($E$11:E344)&gt;0)*ROW($E$11:E344),0)),
_xlpm.観点数, COUNTA(INDIRECT("F"&amp;_xlpm.直近で詳細項目が空でないセルの行番号):F344),
_xlpm.直近で観点が空でないセルの行番号, MAX(INDEX((LEN($F$11:F344)&gt;0)*ROW($F$11:F344),0)),
_xlpm.テスト内容数, COUNTA(INDIRECT("J"&amp;_xlpm.直近で観点が空でないセルの行番号):J344),
_xlpm.テスト内容数_空なら1, IF(_xlpm.テスト内容数=0,1,_xlpm.テスト内容数),
_xlpm.詳細項目数&amp;"-"&amp;_xlpm.観点数&amp;"-"&amp;_xlpm.テスト内容数_空なら1
)</f>
        <v>111-4-1</v>
      </c>
      <c r="B344" s="112"/>
      <c r="C344" s="105"/>
      <c r="D344" s="101"/>
      <c r="E344" s="101"/>
      <c r="F344" s="93" t="s">
        <v>498</v>
      </c>
      <c r="G344" s="239"/>
      <c r="H344" s="34"/>
      <c r="I344" s="34"/>
      <c r="J344" s="93"/>
      <c r="K344" s="32"/>
      <c r="L344" s="34"/>
      <c r="M344" s="34"/>
      <c r="N344" s="34"/>
      <c r="O344" s="94"/>
      <c r="P344" s="32"/>
      <c r="Q344" s="32"/>
    </row>
    <row r="345" spans="1:17" ht="22.5">
      <c r="A345" s="54" t="str" cm="1">
        <f t="array" aca="1" ref="A345" ca="1">_xlfn.LET(
_xlpm.詳細項目数, COUNTA($E$11:E345),
_xlpm.直近で詳細項目が空でないセルの行番号, MAX(INDEX((LEN($E$11:E345)&gt;0)*ROW($E$11:E345),0)),
_xlpm.観点数, COUNTA(INDIRECT("F"&amp;_xlpm.直近で詳細項目が空でないセルの行番号):F345),
_xlpm.直近で観点が空でないセルの行番号, MAX(INDEX((LEN($F$11:F345)&gt;0)*ROW($F$11:F345),0)),
_xlpm.テスト内容数, COUNTA(INDIRECT("J"&amp;_xlpm.直近で観点が空でないセルの行番号):J345),
_xlpm.テスト内容数_空なら1, IF(_xlpm.テスト内容数=0,1,_xlpm.テスト内容数),
_xlpm.詳細項目数&amp;"-"&amp;_xlpm.観点数&amp;"-"&amp;_xlpm.テスト内容数_空なら1
)</f>
        <v>111-5-1</v>
      </c>
      <c r="B345" s="112"/>
      <c r="C345" s="105"/>
      <c r="D345" s="101"/>
      <c r="E345" s="101"/>
      <c r="F345" s="93" t="s">
        <v>499</v>
      </c>
      <c r="G345" s="239"/>
      <c r="H345" s="34"/>
      <c r="I345" s="34"/>
      <c r="J345" s="76"/>
      <c r="K345" s="76"/>
      <c r="L345" s="34"/>
      <c r="M345" s="34"/>
      <c r="N345" s="34"/>
      <c r="O345" s="94"/>
      <c r="P345" s="32"/>
      <c r="Q345" s="32"/>
    </row>
    <row r="346" spans="1:17" ht="33.75">
      <c r="A346" s="54" t="str" cm="1">
        <f t="array" aca="1" ref="A346" ca="1">_xlfn.LET(
_xlpm.詳細項目数, COUNTA($E$11:E346),
_xlpm.直近で詳細項目が空でないセルの行番号, MAX(INDEX((LEN($E$11:E346)&gt;0)*ROW($E$11:E346),0)),
_xlpm.観点数, COUNTA(INDIRECT("F"&amp;_xlpm.直近で詳細項目が空でないセルの行番号):F346),
_xlpm.直近で観点が空でないセルの行番号, MAX(INDEX((LEN($F$11:F346)&gt;0)*ROW($F$11:F346),0)),
_xlpm.テスト内容数, COUNTA(INDIRECT("J"&amp;_xlpm.直近で観点が空でないセルの行番号):J346),
_xlpm.テスト内容数_空なら1, IF(_xlpm.テスト内容数=0,1,_xlpm.テスト内容数),
_xlpm.詳細項目数&amp;"-"&amp;_xlpm.観点数&amp;"-"&amp;_xlpm.テスト内容数_空なら1
)</f>
        <v>111-6-1</v>
      </c>
      <c r="B346" s="112"/>
      <c r="C346" s="105"/>
      <c r="D346" s="101"/>
      <c r="E346" s="101"/>
      <c r="F346" s="248" t="s">
        <v>500</v>
      </c>
      <c r="G346" s="237" t="s">
        <v>556</v>
      </c>
      <c r="H346" s="157"/>
      <c r="I346" s="157"/>
      <c r="J346" s="154"/>
      <c r="K346" s="154"/>
      <c r="L346" s="157"/>
      <c r="M346" s="157"/>
      <c r="N346" s="157"/>
      <c r="O346" s="177"/>
      <c r="P346" s="154"/>
      <c r="Q346" s="154"/>
    </row>
    <row r="347" spans="1:17" ht="22.5">
      <c r="A347" s="54" t="str" cm="1">
        <f t="array" aca="1" ref="A347" ca="1">_xlfn.LET(
_xlpm.詳細項目数, COUNTA($E$11:E347),
_xlpm.直近で詳細項目が空でないセルの行番号, MAX(INDEX((LEN($E$11:E347)&gt;0)*ROW($E$11:E347),0)),
_xlpm.観点数, COUNTA(INDIRECT("F"&amp;_xlpm.直近で詳細項目が空でないセルの行番号):F347),
_xlpm.直近で観点が空でないセルの行番号, MAX(INDEX((LEN($F$11:F347)&gt;0)*ROW($F$11:F347),0)),
_xlpm.テスト内容数, COUNTA(INDIRECT("J"&amp;_xlpm.直近で観点が空でないセルの行番号):J347),
_xlpm.テスト内容数_空なら1, IF(_xlpm.テスト内容数=0,1,_xlpm.テスト内容数),
_xlpm.詳細項目数&amp;"-"&amp;_xlpm.観点数&amp;"-"&amp;_xlpm.テスト内容数_空なら1
)</f>
        <v>111-7-1</v>
      </c>
      <c r="B347" s="112"/>
      <c r="C347" s="105"/>
      <c r="D347" s="101"/>
      <c r="E347" s="101"/>
      <c r="F347" s="93" t="s">
        <v>501</v>
      </c>
      <c r="G347" s="239"/>
      <c r="H347" s="34"/>
      <c r="I347" s="34"/>
      <c r="J347" s="32"/>
      <c r="K347" s="32"/>
      <c r="L347" s="34"/>
      <c r="M347" s="34"/>
      <c r="N347" s="34"/>
      <c r="O347" s="94"/>
      <c r="P347" s="32"/>
      <c r="Q347" s="32"/>
    </row>
    <row r="348" spans="1:17" ht="22.5">
      <c r="A348" s="54" t="str" cm="1">
        <f t="array" aca="1" ref="A348" ca="1">_xlfn.LET(
_xlpm.詳細項目数, COUNTA($E$11:E348),
_xlpm.直近で詳細項目が空でないセルの行番号, MAX(INDEX((LEN($E$11:E348)&gt;0)*ROW($E$11:E348),0)),
_xlpm.観点数, COUNTA(INDIRECT("F"&amp;_xlpm.直近で詳細項目が空でないセルの行番号):F348),
_xlpm.直近で観点が空でないセルの行番号, MAX(INDEX((LEN($F$11:F348)&gt;0)*ROW($F$11:F348),0)),
_xlpm.テスト内容数, COUNTA(INDIRECT("J"&amp;_xlpm.直近で観点が空でないセルの行番号):J348),
_xlpm.テスト内容数_空なら1, IF(_xlpm.テスト内容数=0,1,_xlpm.テスト内容数),
_xlpm.詳細項目数&amp;"-"&amp;_xlpm.観点数&amp;"-"&amp;_xlpm.テスト内容数_空なら1
)</f>
        <v>111-8-1</v>
      </c>
      <c r="B348" s="112"/>
      <c r="C348" s="105"/>
      <c r="D348" s="101"/>
      <c r="E348" s="101"/>
      <c r="F348" s="93" t="s">
        <v>502</v>
      </c>
      <c r="G348" s="239"/>
      <c r="H348" s="34"/>
      <c r="I348" s="34"/>
      <c r="J348" s="32"/>
      <c r="K348" s="32"/>
      <c r="L348" s="34"/>
      <c r="M348" s="34"/>
      <c r="N348" s="34"/>
      <c r="O348" s="94"/>
      <c r="P348" s="32"/>
      <c r="Q348" s="32"/>
    </row>
    <row r="349" spans="1:17" ht="22.5">
      <c r="A349" s="54" t="str" cm="1">
        <f t="array" aca="1" ref="A349" ca="1">_xlfn.LET(
_xlpm.詳細項目数, COUNTA($E$11:E349),
_xlpm.直近で詳細項目が空でないセルの行番号, MAX(INDEX((LEN($E$11:E349)&gt;0)*ROW($E$11:E349),0)),
_xlpm.観点数, COUNTA(INDIRECT("F"&amp;_xlpm.直近で詳細項目が空でないセルの行番号):F349),
_xlpm.直近で観点が空でないセルの行番号, MAX(INDEX((LEN($F$11:F349)&gt;0)*ROW($F$11:F349),0)),
_xlpm.テスト内容数, COUNTA(INDIRECT("J"&amp;_xlpm.直近で観点が空でないセルの行番号):J349),
_xlpm.テスト内容数_空なら1, IF(_xlpm.テスト内容数=0,1,_xlpm.テスト内容数),
_xlpm.詳細項目数&amp;"-"&amp;_xlpm.観点数&amp;"-"&amp;_xlpm.テスト内容数_空なら1
)</f>
        <v>111-9-1</v>
      </c>
      <c r="B349" s="112"/>
      <c r="C349" s="105"/>
      <c r="D349" s="101"/>
      <c r="E349" s="101"/>
      <c r="F349" s="93" t="s">
        <v>503</v>
      </c>
      <c r="G349" s="239"/>
      <c r="H349" s="34"/>
      <c r="I349" s="34"/>
      <c r="J349" s="32"/>
      <c r="K349" s="32"/>
      <c r="L349" s="34"/>
      <c r="M349" s="34"/>
      <c r="N349" s="34"/>
      <c r="O349" s="94"/>
      <c r="P349" s="32"/>
      <c r="Q349" s="32"/>
    </row>
    <row r="350" spans="1:17" ht="22.5">
      <c r="A350" s="54" t="str" cm="1">
        <f t="array" aca="1" ref="A350" ca="1">_xlfn.LET(
_xlpm.詳細項目数, COUNTA($E$11:E350),
_xlpm.直近で詳細項目が空でないセルの行番号, MAX(INDEX((LEN($E$11:E350)&gt;0)*ROW($E$11:E350),0)),
_xlpm.観点数, COUNTA(INDIRECT("F"&amp;_xlpm.直近で詳細項目が空でないセルの行番号):F350),
_xlpm.直近で観点が空でないセルの行番号, MAX(INDEX((LEN($F$11:F350)&gt;0)*ROW($F$11:F350),0)),
_xlpm.テスト内容数, COUNTA(INDIRECT("J"&amp;_xlpm.直近で観点が空でないセルの行番号):J350),
_xlpm.テスト内容数_空なら1, IF(_xlpm.テスト内容数=0,1,_xlpm.テスト内容数),
_xlpm.詳細項目数&amp;"-"&amp;_xlpm.観点数&amp;"-"&amp;_xlpm.テスト内容数_空なら1
)</f>
        <v>111-10-1</v>
      </c>
      <c r="B350" s="112"/>
      <c r="C350" s="105"/>
      <c r="D350" s="101"/>
      <c r="E350" s="101"/>
      <c r="F350" s="93" t="s">
        <v>504</v>
      </c>
      <c r="G350" s="239"/>
      <c r="H350" s="34"/>
      <c r="I350" s="34"/>
      <c r="J350" s="32"/>
      <c r="K350" s="32"/>
      <c r="L350" s="34"/>
      <c r="M350" s="34"/>
      <c r="N350" s="34"/>
      <c r="O350" s="94"/>
      <c r="P350" s="32"/>
      <c r="Q350" s="32"/>
    </row>
    <row r="351" spans="1:17" ht="22.5">
      <c r="A351" s="54" t="str" cm="1">
        <f t="array" aca="1" ref="A351" ca="1">_xlfn.LET(
_xlpm.詳細項目数, COUNTA($E$11:E351),
_xlpm.直近で詳細項目が空でないセルの行番号, MAX(INDEX((LEN($E$11:E351)&gt;0)*ROW($E$11:E351),0)),
_xlpm.観点数, COUNTA(INDIRECT("F"&amp;_xlpm.直近で詳細項目が空でないセルの行番号):F351),
_xlpm.直近で観点が空でないセルの行番号, MAX(INDEX((LEN($F$11:F351)&gt;0)*ROW($F$11:F351),0)),
_xlpm.テスト内容数, COUNTA(INDIRECT("J"&amp;_xlpm.直近で観点が空でないセルの行番号):J351),
_xlpm.テスト内容数_空なら1, IF(_xlpm.テスト内容数=0,1,_xlpm.テスト内容数),
_xlpm.詳細項目数&amp;"-"&amp;_xlpm.観点数&amp;"-"&amp;_xlpm.テスト内容数_空なら1
)</f>
        <v>111-11-1</v>
      </c>
      <c r="B351" s="112"/>
      <c r="C351" s="105"/>
      <c r="D351" s="101"/>
      <c r="E351" s="101"/>
      <c r="F351" s="93" t="s">
        <v>505</v>
      </c>
      <c r="G351" s="239"/>
      <c r="H351" s="34"/>
      <c r="I351" s="34"/>
      <c r="J351" s="76"/>
      <c r="K351" s="76"/>
      <c r="L351" s="34"/>
      <c r="M351" s="34"/>
      <c r="N351" s="34"/>
      <c r="O351" s="94"/>
      <c r="P351" s="32"/>
      <c r="Q351" s="32"/>
    </row>
    <row r="352" spans="1:17" ht="22.5">
      <c r="A352" s="54" t="str" cm="1">
        <f t="array" aca="1" ref="A352" ca="1">_xlfn.LET(
_xlpm.詳細項目数, COUNTA($E$11:E352),
_xlpm.直近で詳細項目が空でないセルの行番号, MAX(INDEX((LEN($E$11:E352)&gt;0)*ROW($E$11:E352),0)),
_xlpm.観点数, COUNTA(INDIRECT("F"&amp;_xlpm.直近で詳細項目が空でないセルの行番号):F352),
_xlpm.直近で観点が空でないセルの行番号, MAX(INDEX((LEN($F$11:F352)&gt;0)*ROW($F$11:F352),0)),
_xlpm.テスト内容数, COUNTA(INDIRECT("J"&amp;_xlpm.直近で観点が空でないセルの行番号):J352),
_xlpm.テスト内容数_空なら1, IF(_xlpm.テスト内容数=0,1,_xlpm.テスト内容数),
_xlpm.詳細項目数&amp;"-"&amp;_xlpm.観点数&amp;"-"&amp;_xlpm.テスト内容数_空なら1
)</f>
        <v>111-12-1</v>
      </c>
      <c r="B352" s="112"/>
      <c r="C352" s="105"/>
      <c r="D352" s="101"/>
      <c r="E352" s="101"/>
      <c r="F352" s="93" t="s">
        <v>506</v>
      </c>
      <c r="G352" s="239"/>
      <c r="H352" s="34"/>
      <c r="I352" s="34"/>
      <c r="J352" s="113"/>
      <c r="K352" s="114"/>
      <c r="L352" s="34"/>
      <c r="M352" s="34"/>
      <c r="N352" s="34"/>
      <c r="O352" s="94"/>
      <c r="P352" s="32"/>
      <c r="Q352" s="32"/>
    </row>
    <row r="353" spans="1:17" ht="22.5">
      <c r="A353" s="54" t="str" cm="1">
        <f t="array" aca="1" ref="A353" ca="1">_xlfn.LET(
_xlpm.詳細項目数, COUNTA($E$11:E353),
_xlpm.直近で詳細項目が空でないセルの行番号, MAX(INDEX((LEN($E$11:E353)&gt;0)*ROW($E$11:E353),0)),
_xlpm.観点数, COUNTA(INDIRECT("F"&amp;_xlpm.直近で詳細項目が空でないセルの行番号):F353),
_xlpm.直近で観点が空でないセルの行番号, MAX(INDEX((LEN($F$11:F353)&gt;0)*ROW($F$11:F353),0)),
_xlpm.テスト内容数, COUNTA(INDIRECT("J"&amp;_xlpm.直近で観点が空でないセルの行番号):J353),
_xlpm.テスト内容数_空なら1, IF(_xlpm.テスト内容数=0,1,_xlpm.テスト内容数),
_xlpm.詳細項目数&amp;"-"&amp;_xlpm.観点数&amp;"-"&amp;_xlpm.テスト内容数_空なら1
)</f>
        <v>111-13-1</v>
      </c>
      <c r="B353" s="112"/>
      <c r="C353" s="105"/>
      <c r="D353" s="101"/>
      <c r="E353" s="101"/>
      <c r="F353" s="93" t="s">
        <v>507</v>
      </c>
      <c r="G353" s="239"/>
      <c r="H353" s="34"/>
      <c r="I353" s="34"/>
      <c r="J353" s="32"/>
      <c r="K353" s="32"/>
      <c r="L353" s="34"/>
      <c r="M353" s="34"/>
      <c r="N353" s="34"/>
      <c r="O353" s="94"/>
      <c r="P353" s="32"/>
      <c r="Q353" s="32"/>
    </row>
    <row r="354" spans="1:17" ht="22.5">
      <c r="A354" s="54" t="str" cm="1">
        <f t="array" aca="1" ref="A354" ca="1">_xlfn.LET(
_xlpm.詳細項目数, COUNTA($E$11:E354),
_xlpm.直近で詳細項目が空でないセルの行番号, MAX(INDEX((LEN($E$11:E354)&gt;0)*ROW($E$11:E354),0)),
_xlpm.観点数, COUNTA(INDIRECT("F"&amp;_xlpm.直近で詳細項目が空でないセルの行番号):F354),
_xlpm.直近で観点が空でないセルの行番号, MAX(INDEX((LEN($F$11:F354)&gt;0)*ROW($F$11:F354),0)),
_xlpm.テスト内容数, COUNTA(INDIRECT("J"&amp;_xlpm.直近で観点が空でないセルの行番号):J354),
_xlpm.テスト内容数_空なら1, IF(_xlpm.テスト内容数=0,1,_xlpm.テスト内容数),
_xlpm.詳細項目数&amp;"-"&amp;_xlpm.観点数&amp;"-"&amp;_xlpm.テスト内容数_空なら1
)</f>
        <v>111-14-1</v>
      </c>
      <c r="B354" s="112"/>
      <c r="C354" s="105"/>
      <c r="D354" s="101"/>
      <c r="E354" s="110"/>
      <c r="F354" s="93" t="s">
        <v>508</v>
      </c>
      <c r="G354" s="239"/>
      <c r="H354" s="34"/>
      <c r="I354" s="34"/>
      <c r="J354" s="32"/>
      <c r="K354" s="32"/>
      <c r="L354" s="34"/>
      <c r="M354" s="34"/>
      <c r="N354" s="34"/>
      <c r="O354" s="94"/>
      <c r="P354" s="32"/>
      <c r="Q354" s="32"/>
    </row>
    <row r="355" spans="1:17" ht="22.5">
      <c r="A355" s="54" t="str" cm="1">
        <f t="array" aca="1" ref="A355" ca="1">_xlfn.LET(
_xlpm.詳細項目数, COUNTA($E$11:E355),
_xlpm.直近で詳細項目が空でないセルの行番号, MAX(INDEX((LEN($E$11:E355)&gt;0)*ROW($E$11:E355),0)),
_xlpm.観点数, COUNTA(INDIRECT("F"&amp;_xlpm.直近で詳細項目が空でないセルの行番号):F355),
_xlpm.直近で観点が空でないセルの行番号, MAX(INDEX((LEN($F$11:F355)&gt;0)*ROW($F$11:F355),0)),
_xlpm.テスト内容数, COUNTA(INDIRECT("J"&amp;_xlpm.直近で観点が空でないセルの行番号):J355),
_xlpm.テスト内容数_空なら1, IF(_xlpm.テスト内容数=0,1,_xlpm.テスト内容数),
_xlpm.詳細項目数&amp;"-"&amp;_xlpm.観点数&amp;"-"&amp;_xlpm.テスト内容数_空なら1
)</f>
        <v>112-1-1</v>
      </c>
      <c r="B355" s="112"/>
      <c r="C355" s="105"/>
      <c r="D355" s="101"/>
      <c r="E355" s="101" t="s">
        <v>148</v>
      </c>
      <c r="F355" s="93" t="s">
        <v>509</v>
      </c>
      <c r="G355" s="239"/>
      <c r="H355" s="95"/>
      <c r="I355" s="80"/>
      <c r="J355" s="41"/>
      <c r="K355" s="41"/>
      <c r="L355" s="34"/>
      <c r="M355" s="34"/>
      <c r="N355" s="34"/>
      <c r="O355" s="94"/>
      <c r="P355" s="32"/>
      <c r="Q355" s="32"/>
    </row>
    <row r="356" spans="1:17" ht="33.75">
      <c r="A356" s="54" t="str" cm="1">
        <f t="array" aca="1" ref="A356" ca="1">_xlfn.LET(
_xlpm.詳細項目数, COUNTA($E$11:E356),
_xlpm.直近で詳細項目が空でないセルの行番号, MAX(INDEX((LEN($E$11:E356)&gt;0)*ROW($E$11:E356),0)),
_xlpm.観点数, COUNTA(INDIRECT("F"&amp;_xlpm.直近で詳細項目が空でないセルの行番号):F356),
_xlpm.直近で観点が空でないセルの行番号, MAX(INDEX((LEN($F$11:F356)&gt;0)*ROW($F$11:F356),0)),
_xlpm.テスト内容数, COUNTA(INDIRECT("J"&amp;_xlpm.直近で観点が空でないセルの行番号):J356),
_xlpm.テスト内容数_空なら1, IF(_xlpm.テスト内容数=0,1,_xlpm.テスト内容数),
_xlpm.詳細項目数&amp;"-"&amp;_xlpm.観点数&amp;"-"&amp;_xlpm.テスト内容数_空なら1
)</f>
        <v>112-2-1</v>
      </c>
      <c r="B356" s="112"/>
      <c r="C356" s="105"/>
      <c r="D356" s="101"/>
      <c r="E356" s="101"/>
      <c r="F356" s="93" t="s">
        <v>510</v>
      </c>
      <c r="G356" s="239"/>
      <c r="H356" s="34"/>
      <c r="I356" s="34"/>
      <c r="J356" s="32"/>
      <c r="K356" s="32"/>
      <c r="L356" s="34"/>
      <c r="M356" s="34"/>
      <c r="N356" s="34"/>
      <c r="O356" s="94"/>
      <c r="P356" s="32"/>
      <c r="Q356" s="32"/>
    </row>
    <row r="357" spans="1:17" ht="33.75">
      <c r="A357" s="54" t="str" cm="1">
        <f t="array" aca="1" ref="A357" ca="1">_xlfn.LET(
_xlpm.詳細項目数, COUNTA($E$11:E357),
_xlpm.直近で詳細項目が空でないセルの行番号, MAX(INDEX((LEN($E$11:E357)&gt;0)*ROW($E$11:E357),0)),
_xlpm.観点数, COUNTA(INDIRECT("F"&amp;_xlpm.直近で詳細項目が空でないセルの行番号):F357),
_xlpm.直近で観点が空でないセルの行番号, MAX(INDEX((LEN($F$11:F357)&gt;0)*ROW($F$11:F357),0)),
_xlpm.テスト内容数, COUNTA(INDIRECT("J"&amp;_xlpm.直近で観点が空でないセルの行番号):J357),
_xlpm.テスト内容数_空なら1, IF(_xlpm.テスト内容数=0,1,_xlpm.テスト内容数),
_xlpm.詳細項目数&amp;"-"&amp;_xlpm.観点数&amp;"-"&amp;_xlpm.テスト内容数_空なら1
)</f>
        <v>112-3-1</v>
      </c>
      <c r="B357" s="112"/>
      <c r="C357" s="105"/>
      <c r="D357" s="101"/>
      <c r="E357" s="101"/>
      <c r="F357" s="93" t="s">
        <v>511</v>
      </c>
      <c r="G357" s="239"/>
      <c r="H357" s="34"/>
      <c r="I357" s="34"/>
      <c r="J357" s="32"/>
      <c r="K357" s="32"/>
      <c r="L357" s="34"/>
      <c r="M357" s="34"/>
      <c r="N357" s="34"/>
      <c r="O357" s="94"/>
      <c r="P357" s="32"/>
      <c r="Q357" s="32"/>
    </row>
    <row r="358" spans="1:17" ht="33.75">
      <c r="A358" s="54" t="str" cm="1">
        <f t="array" aca="1" ref="A358" ca="1">_xlfn.LET(
_xlpm.詳細項目数, COUNTA($E$11:E358),
_xlpm.直近で詳細項目が空でないセルの行番号, MAX(INDEX((LEN($E$11:E358)&gt;0)*ROW($E$11:E358),0)),
_xlpm.観点数, COUNTA(INDIRECT("F"&amp;_xlpm.直近で詳細項目が空でないセルの行番号):F358),
_xlpm.直近で観点が空でないセルの行番号, MAX(INDEX((LEN($F$11:F358)&gt;0)*ROW($F$11:F358),0)),
_xlpm.テスト内容数, COUNTA(INDIRECT("J"&amp;_xlpm.直近で観点が空でないセルの行番号):J358),
_xlpm.テスト内容数_空なら1, IF(_xlpm.テスト内容数=0,1,_xlpm.テスト内容数),
_xlpm.詳細項目数&amp;"-"&amp;_xlpm.観点数&amp;"-"&amp;_xlpm.テスト内容数_空なら1
)</f>
        <v>112-4-1</v>
      </c>
      <c r="B358" s="112"/>
      <c r="C358" s="105"/>
      <c r="D358" s="101"/>
      <c r="E358" s="101"/>
      <c r="F358" s="93" t="s">
        <v>512</v>
      </c>
      <c r="G358" s="239"/>
      <c r="H358" s="34"/>
      <c r="I358" s="34"/>
      <c r="J358" s="32"/>
      <c r="K358" s="32"/>
      <c r="L358" s="34"/>
      <c r="M358" s="34"/>
      <c r="N358" s="34"/>
      <c r="O358" s="94"/>
      <c r="P358" s="32"/>
      <c r="Q358" s="32"/>
    </row>
    <row r="359" spans="1:17" ht="22.5">
      <c r="A359" s="54" t="str" cm="1">
        <f t="array" aca="1" ref="A359" ca="1">_xlfn.LET(
_xlpm.詳細項目数, COUNTA($E$11:E359),
_xlpm.直近で詳細項目が空でないセルの行番号, MAX(INDEX((LEN($E$11:E359)&gt;0)*ROW($E$11:E359),0)),
_xlpm.観点数, COUNTA(INDIRECT("F"&amp;_xlpm.直近で詳細項目が空でないセルの行番号):F359),
_xlpm.直近で観点が空でないセルの行番号, MAX(INDEX((LEN($F$11:F359)&gt;0)*ROW($F$11:F359),0)),
_xlpm.テスト内容数, COUNTA(INDIRECT("J"&amp;_xlpm.直近で観点が空でないセルの行番号):J359),
_xlpm.テスト内容数_空なら1, IF(_xlpm.テスト内容数=0,1,_xlpm.テスト内容数),
_xlpm.詳細項目数&amp;"-"&amp;_xlpm.観点数&amp;"-"&amp;_xlpm.テスト内容数_空なら1
)</f>
        <v>112-5-1</v>
      </c>
      <c r="B359" s="112"/>
      <c r="C359" s="105"/>
      <c r="D359" s="101"/>
      <c r="E359" s="101"/>
      <c r="F359" s="93" t="s">
        <v>513</v>
      </c>
      <c r="G359" s="239"/>
      <c r="H359" s="34"/>
      <c r="I359" s="34"/>
      <c r="J359" s="32"/>
      <c r="K359" s="32"/>
      <c r="L359" s="34"/>
      <c r="M359" s="34"/>
      <c r="N359" s="34"/>
      <c r="O359" s="94"/>
      <c r="P359" s="32"/>
      <c r="Q359" s="32"/>
    </row>
    <row r="360" spans="1:17" ht="22.5">
      <c r="A360" s="54" t="str" cm="1">
        <f t="array" aca="1" ref="A360" ca="1">_xlfn.LET(
_xlpm.詳細項目数, COUNTA($E$11:E360),
_xlpm.直近で詳細項目が空でないセルの行番号, MAX(INDEX((LEN($E$11:E360)&gt;0)*ROW($E$11:E360),0)),
_xlpm.観点数, COUNTA(INDIRECT("F"&amp;_xlpm.直近で詳細項目が空でないセルの行番号):F360),
_xlpm.直近で観点が空でないセルの行番号, MAX(INDEX((LEN($F$11:F360)&gt;0)*ROW($F$11:F360),0)),
_xlpm.テスト内容数, COUNTA(INDIRECT("J"&amp;_xlpm.直近で観点が空でないセルの行番号):J360),
_xlpm.テスト内容数_空なら1, IF(_xlpm.テスト内容数=0,1,_xlpm.テスト内容数),
_xlpm.詳細項目数&amp;"-"&amp;_xlpm.観点数&amp;"-"&amp;_xlpm.テスト内容数_空なら1
)</f>
        <v>112-6-1</v>
      </c>
      <c r="B360" s="112"/>
      <c r="C360" s="105"/>
      <c r="D360" s="101"/>
      <c r="E360" s="101"/>
      <c r="F360" s="93" t="s">
        <v>514</v>
      </c>
      <c r="G360" s="239"/>
      <c r="H360" s="34"/>
      <c r="I360" s="34"/>
      <c r="J360" s="32"/>
      <c r="K360" s="32"/>
      <c r="L360" s="34"/>
      <c r="M360" s="34"/>
      <c r="N360" s="34"/>
      <c r="O360" s="94"/>
      <c r="P360" s="32"/>
      <c r="Q360" s="32"/>
    </row>
    <row r="361" spans="1:17" ht="22.5">
      <c r="A361" s="54" t="str" cm="1">
        <f t="array" aca="1" ref="A361" ca="1">_xlfn.LET(
_xlpm.詳細項目数, COUNTA($E$11:E361),
_xlpm.直近で詳細項目が空でないセルの行番号, MAX(INDEX((LEN($E$11:E361)&gt;0)*ROW($E$11:E361),0)),
_xlpm.観点数, COUNTA(INDIRECT("F"&amp;_xlpm.直近で詳細項目が空でないセルの行番号):F361),
_xlpm.直近で観点が空でないセルの行番号, MAX(INDEX((LEN($F$11:F361)&gt;0)*ROW($F$11:F361),0)),
_xlpm.テスト内容数, COUNTA(INDIRECT("J"&amp;_xlpm.直近で観点が空でないセルの行番号):J361),
_xlpm.テスト内容数_空なら1, IF(_xlpm.テスト内容数=0,1,_xlpm.テスト内容数),
_xlpm.詳細項目数&amp;"-"&amp;_xlpm.観点数&amp;"-"&amp;_xlpm.テスト内容数_空なら1
)</f>
        <v>112-7-1</v>
      </c>
      <c r="B361" s="116"/>
      <c r="C361" s="117"/>
      <c r="D361" s="110"/>
      <c r="E361" s="110"/>
      <c r="F361" s="93" t="s">
        <v>515</v>
      </c>
      <c r="G361" s="239"/>
      <c r="H361" s="34"/>
      <c r="I361" s="34"/>
      <c r="J361" s="32"/>
      <c r="K361" s="32"/>
      <c r="L361" s="34"/>
      <c r="M361" s="34"/>
      <c r="N361" s="34"/>
      <c r="O361" s="94"/>
      <c r="P361" s="32"/>
      <c r="Q361" s="32"/>
    </row>
    <row r="362" spans="1:17" s="31" customFormat="1" ht="22.5">
      <c r="A362" s="54" t="str" cm="1">
        <f t="array" aca="1" ref="A362" ca="1">_xlfn.LET(
_xlpm.詳細項目数, COUNTA($E$11:E362),
_xlpm.直近で詳細項目が空でないセルの行番号, MAX(INDEX((LEN($E$11:E362)&gt;0)*ROW($E$11:E362),0)),
_xlpm.観点数, COUNTA(INDIRECT("F"&amp;_xlpm.直近で詳細項目が空でないセルの行番号):F362),
_xlpm.直近で観点が空でないセルの行番号, MAX(INDEX((LEN($F$11:F362)&gt;0)*ROW($F$11:F362),0)),
_xlpm.テスト内容数, COUNTA(INDIRECT("J"&amp;_xlpm.直近で観点が空でないセルの行番号):J362),
_xlpm.テスト内容数_空なら1, IF(_xlpm.テスト内容数=0,1,_xlpm.テスト内容数),
_xlpm.詳細項目数&amp;"-"&amp;_xlpm.観点数&amp;"-"&amp;_xlpm.テスト内容数_空なら1
)</f>
        <v>113-1-1</v>
      </c>
      <c r="B362" s="40" t="s">
        <v>516</v>
      </c>
      <c r="C362" s="102" t="s">
        <v>517</v>
      </c>
      <c r="D362" s="102" t="s">
        <v>436</v>
      </c>
      <c r="E362" s="102" t="s">
        <v>436</v>
      </c>
      <c r="F362" s="92" t="s">
        <v>518</v>
      </c>
      <c r="G362" s="244"/>
      <c r="H362" s="40"/>
      <c r="I362" s="40"/>
      <c r="J362" s="34"/>
      <c r="K362" s="118"/>
      <c r="L362" s="119"/>
      <c r="M362" s="42"/>
      <c r="N362" s="42"/>
      <c r="O362" s="42"/>
      <c r="P362" s="42"/>
      <c r="Q362" s="42"/>
    </row>
    <row r="363" spans="1:17" s="31" customFormat="1" ht="22.5">
      <c r="A363" s="54" t="str" cm="1">
        <f t="array" aca="1" ref="A363" ca="1">_xlfn.LET(
_xlpm.詳細項目数, COUNTA($E$11:E363),
_xlpm.直近で詳細項目が空でないセルの行番号, MAX(INDEX((LEN($E$11:E363)&gt;0)*ROW($E$11:E363),0)),
_xlpm.観点数, COUNTA(INDIRECT("F"&amp;_xlpm.直近で詳細項目が空でないセルの行番号):F363),
_xlpm.直近で観点が空でないセルの行番号, MAX(INDEX((LEN($F$11:F363)&gt;0)*ROW($F$11:F363),0)),
_xlpm.テスト内容数, COUNTA(INDIRECT("J"&amp;_xlpm.直近で観点が空でないセルの行番号):J363),
_xlpm.テスト内容数_空なら1, IF(_xlpm.テスト内容数=0,1,_xlpm.テスト内容数),
_xlpm.詳細項目数&amp;"-"&amp;_xlpm.観点数&amp;"-"&amp;_xlpm.テスト内容数_空なら1
)</f>
        <v>113-2-1</v>
      </c>
      <c r="B363" s="43"/>
      <c r="C363" s="101"/>
      <c r="D363" s="101"/>
      <c r="E363" s="112"/>
      <c r="F363" s="120" t="s">
        <v>519</v>
      </c>
      <c r="G363" s="245"/>
      <c r="H363" s="40"/>
      <c r="I363" s="40"/>
      <c r="J363" s="34"/>
      <c r="K363" s="97"/>
      <c r="L363" s="121"/>
      <c r="M363" s="122"/>
      <c r="N363" s="122"/>
      <c r="O363" s="122"/>
      <c r="P363" s="122"/>
      <c r="Q363" s="122"/>
    </row>
    <row r="364" spans="1:17" s="31" customFormat="1" ht="22.5">
      <c r="A364" s="54" t="str" cm="1">
        <f t="array" aca="1" ref="A364" ca="1">_xlfn.LET(
_xlpm.詳細項目数, COUNTA($E$11:E364),
_xlpm.直近で詳細項目が空でないセルの行番号, MAX(INDEX((LEN($E$11:E364)&gt;0)*ROW($E$11:E364),0)),
_xlpm.観点数, COUNTA(INDIRECT("F"&amp;_xlpm.直近で詳細項目が空でないセルの行番号):F364),
_xlpm.直近で観点が空でないセルの行番号, MAX(INDEX((LEN($F$11:F364)&gt;0)*ROW($F$11:F364),0)),
_xlpm.テスト内容数, COUNTA(INDIRECT("J"&amp;_xlpm.直近で観点が空でないセルの行番号):J364),
_xlpm.テスト内容数_空なら1, IF(_xlpm.テスト内容数=0,1,_xlpm.テスト内容数),
_xlpm.詳細項目数&amp;"-"&amp;_xlpm.観点数&amp;"-"&amp;_xlpm.テスト内容数_空なら1
)</f>
        <v>113-3-1</v>
      </c>
      <c r="B364" s="43"/>
      <c r="C364" s="101"/>
      <c r="D364" s="101"/>
      <c r="E364" s="112"/>
      <c r="F364" s="120" t="s">
        <v>520</v>
      </c>
      <c r="G364" s="245"/>
      <c r="H364" s="80"/>
      <c r="I364" s="80"/>
      <c r="J364" s="76"/>
      <c r="K364" s="76"/>
      <c r="L364" s="121"/>
      <c r="M364" s="122"/>
      <c r="N364" s="122"/>
      <c r="O364" s="122"/>
      <c r="P364" s="122"/>
      <c r="Q364" s="122"/>
    </row>
    <row r="365" spans="1:17" s="31" customFormat="1" ht="22.5">
      <c r="A365" s="54" t="str" cm="1">
        <f t="array" aca="1" ref="A365" ca="1">_xlfn.LET(
_xlpm.詳細項目数, COUNTA($E$11:E365),
_xlpm.直近で詳細項目が空でないセルの行番号, MAX(INDEX((LEN($E$11:E365)&gt;0)*ROW($E$11:E365),0)),
_xlpm.観点数, COUNTA(INDIRECT("F"&amp;_xlpm.直近で詳細項目が空でないセルの行番号):F365),
_xlpm.直近で観点が空でないセルの行番号, MAX(INDEX((LEN($F$11:F365)&gt;0)*ROW($F$11:F365),0)),
_xlpm.テスト内容数, COUNTA(INDIRECT("J"&amp;_xlpm.直近で観点が空でないセルの行番号):J365),
_xlpm.テスト内容数_空なら1, IF(_xlpm.テスト内容数=0,1,_xlpm.テスト内容数),
_xlpm.詳細項目数&amp;"-"&amp;_xlpm.観点数&amp;"-"&amp;_xlpm.テスト内容数_空なら1
)</f>
        <v>113-4-1</v>
      </c>
      <c r="B365" s="43"/>
      <c r="C365" s="101"/>
      <c r="D365" s="101"/>
      <c r="E365" s="112"/>
      <c r="F365" s="120" t="s">
        <v>521</v>
      </c>
      <c r="G365" s="245"/>
      <c r="H365" s="80"/>
      <c r="I365" s="80"/>
      <c r="J365" s="76"/>
      <c r="K365" s="76"/>
      <c r="L365" s="121"/>
      <c r="M365" s="122"/>
      <c r="N365" s="122"/>
      <c r="O365" s="122"/>
      <c r="P365" s="122"/>
      <c r="Q365" s="122"/>
    </row>
    <row r="366" spans="1:17" s="31" customFormat="1" ht="22.5">
      <c r="A366" s="54" t="str" cm="1">
        <f t="array" aca="1" ref="A366" ca="1">_xlfn.LET(
_xlpm.詳細項目数, COUNTA($E$11:E366),
_xlpm.直近で詳細項目が空でないセルの行番号, MAX(INDEX((LEN($E$11:E366)&gt;0)*ROW($E$11:E366),0)),
_xlpm.観点数, COUNTA(INDIRECT("F"&amp;_xlpm.直近で詳細項目が空でないセルの行番号):F366),
_xlpm.直近で観点が空でないセルの行番号, MAX(INDEX((LEN($F$11:F366)&gt;0)*ROW($F$11:F366),0)),
_xlpm.テスト内容数, COUNTA(INDIRECT("J"&amp;_xlpm.直近で観点が空でないセルの行番号):J366),
_xlpm.テスト内容数_空なら1, IF(_xlpm.テスト内容数=0,1,_xlpm.テスト内容数),
_xlpm.詳細項目数&amp;"-"&amp;_xlpm.観点数&amp;"-"&amp;_xlpm.テスト内容数_空なら1
)</f>
        <v>113-5-1</v>
      </c>
      <c r="B366" s="43"/>
      <c r="C366" s="101"/>
      <c r="D366" s="101"/>
      <c r="E366" s="112"/>
      <c r="F366" s="246" t="s">
        <v>522</v>
      </c>
      <c r="G366" s="246" t="s">
        <v>587</v>
      </c>
      <c r="H366" s="169"/>
      <c r="I366" s="169"/>
      <c r="J366" s="157"/>
      <c r="K366" s="250"/>
      <c r="L366" s="251"/>
      <c r="M366" s="252"/>
      <c r="N366" s="252"/>
      <c r="O366" s="252"/>
      <c r="P366" s="252"/>
      <c r="Q366" s="252"/>
    </row>
    <row r="367" spans="1:17" s="31" customFormat="1">
      <c r="A367" s="54" t="str" cm="1">
        <f t="array" aca="1" ref="A367" ca="1">_xlfn.LET(
_xlpm.詳細項目数, COUNTA($E$11:E367),
_xlpm.直近で詳細項目が空でないセルの行番号, MAX(INDEX((LEN($E$11:E367)&gt;0)*ROW($E$11:E367),0)),
_xlpm.観点数, COUNTA(INDIRECT("F"&amp;_xlpm.直近で詳細項目が空でないセルの行番号):F367),
_xlpm.直近で観点が空でないセルの行番号, MAX(INDEX((LEN($F$11:F367)&gt;0)*ROW($F$11:F367),0)),
_xlpm.テスト内容数, COUNTA(INDIRECT("J"&amp;_xlpm.直近で観点が空でないセルの行番号):J367),
_xlpm.テスト内容数_空なら1, IF(_xlpm.テスト内容数=0,1,_xlpm.テスト内容数),
_xlpm.詳細項目数&amp;"-"&amp;_xlpm.観点数&amp;"-"&amp;_xlpm.テスト内容数_空なら1
)</f>
        <v>114-1-1</v>
      </c>
      <c r="B367" s="43"/>
      <c r="C367" s="105"/>
      <c r="D367" s="102" t="s">
        <v>523</v>
      </c>
      <c r="E367" s="99" t="s">
        <v>36</v>
      </c>
      <c r="F367" s="120" t="s">
        <v>524</v>
      </c>
      <c r="G367" s="245"/>
      <c r="H367" s="95"/>
      <c r="I367" s="95"/>
      <c r="J367" s="40"/>
      <c r="K367" s="97"/>
      <c r="L367" s="121"/>
      <c r="M367" s="122"/>
      <c r="N367" s="122"/>
      <c r="O367" s="122"/>
      <c r="P367" s="122"/>
      <c r="Q367" s="122"/>
    </row>
    <row r="368" spans="1:17" s="31" customFormat="1">
      <c r="A368" s="54" t="str" cm="1">
        <f t="array" aca="1" ref="A368" ca="1">_xlfn.LET(
_xlpm.詳細項目数, COUNTA($E$11:E368),
_xlpm.直近で詳細項目が空でないセルの行番号, MAX(INDEX((LEN($E$11:E368)&gt;0)*ROW($E$11:E368),0)),
_xlpm.観点数, COUNTA(INDIRECT("F"&amp;_xlpm.直近で詳細項目が空でないセルの行番号):F368),
_xlpm.直近で観点が空でないセルの行番号, MAX(INDEX((LEN($F$11:F368)&gt;0)*ROW($F$11:F368),0)),
_xlpm.テスト内容数, COUNTA(INDIRECT("J"&amp;_xlpm.直近で観点が空でないセルの行番号):J368),
_xlpm.テスト内容数_空なら1, IF(_xlpm.テスト内容数=0,1,_xlpm.テスト内容数),
_xlpm.詳細項目数&amp;"-"&amp;_xlpm.観点数&amp;"-"&amp;_xlpm.テスト内容数_空なら1
)</f>
        <v>114-2-1</v>
      </c>
      <c r="B368" s="43"/>
      <c r="C368" s="101"/>
      <c r="D368" s="101"/>
      <c r="E368" s="112"/>
      <c r="F368" s="120" t="s">
        <v>525</v>
      </c>
      <c r="G368" s="245"/>
      <c r="H368" s="40"/>
      <c r="I368" s="40"/>
      <c r="J368" s="95"/>
      <c r="K368" s="97"/>
      <c r="L368" s="121"/>
      <c r="M368" s="122"/>
      <c r="N368" s="122"/>
      <c r="O368" s="122"/>
      <c r="P368" s="122"/>
      <c r="Q368" s="122"/>
    </row>
    <row r="369" spans="1:17" s="31" customFormat="1" ht="33.75">
      <c r="A369" s="54" t="str" cm="1">
        <f t="array" aca="1" ref="A369" ca="1">_xlfn.LET(
_xlpm.詳細項目数, COUNTA($E$11:E369),
_xlpm.直近で詳細項目が空でないセルの行番号, MAX(INDEX((LEN($E$11:E369)&gt;0)*ROW($E$11:E369),0)),
_xlpm.観点数, COUNTA(INDIRECT("F"&amp;_xlpm.直近で詳細項目が空でないセルの行番号):F369),
_xlpm.直近で観点が空でないセルの行番号, MAX(INDEX((LEN($F$11:F369)&gt;0)*ROW($F$11:F369),0)),
_xlpm.テスト内容数, COUNTA(INDIRECT("J"&amp;_xlpm.直近で観点が空でないセルの行番号):J369),
_xlpm.テスト内容数_空なら1, IF(_xlpm.テスト内容数=0,1,_xlpm.テスト内容数),
_xlpm.詳細項目数&amp;"-"&amp;_xlpm.観点数&amp;"-"&amp;_xlpm.テスト内容数_空なら1
)</f>
        <v>114-3-1</v>
      </c>
      <c r="B369" s="43"/>
      <c r="C369" s="101"/>
      <c r="D369" s="101"/>
      <c r="E369" s="112"/>
      <c r="F369" s="246" t="s">
        <v>526</v>
      </c>
      <c r="G369" s="246" t="s">
        <v>588</v>
      </c>
      <c r="H369" s="169"/>
      <c r="I369" s="169"/>
      <c r="J369" s="157"/>
      <c r="K369" s="250"/>
      <c r="L369" s="251"/>
      <c r="M369" s="252"/>
      <c r="N369" s="252"/>
      <c r="O369" s="252"/>
      <c r="P369" s="252"/>
      <c r="Q369" s="252"/>
    </row>
    <row r="370" spans="1:17" s="31" customFormat="1" ht="22.5">
      <c r="A370" s="54" t="str" cm="1">
        <f t="array" aca="1" ref="A370" ca="1">_xlfn.LET(
_xlpm.詳細項目数, COUNTA($E$11:E370),
_xlpm.直近で詳細項目が空でないセルの行番号, MAX(INDEX((LEN($E$11:E370)&gt;0)*ROW($E$11:E370),0)),
_xlpm.観点数, COUNTA(INDIRECT("F"&amp;_xlpm.直近で詳細項目が空でないセルの行番号):F370),
_xlpm.直近で観点が空でないセルの行番号, MAX(INDEX((LEN($F$11:F370)&gt;0)*ROW($F$11:F370),0)),
_xlpm.テスト内容数, COUNTA(INDIRECT("J"&amp;_xlpm.直近で観点が空でないセルの行番号):J370),
_xlpm.テスト内容数_空なら1, IF(_xlpm.テスト内容数=0,1,_xlpm.テスト内容数),
_xlpm.詳細項目数&amp;"-"&amp;_xlpm.観点数&amp;"-"&amp;_xlpm.テスト内容数_空なら1
)</f>
        <v>114-4-1</v>
      </c>
      <c r="B370" s="43"/>
      <c r="C370" s="101"/>
      <c r="D370" s="101"/>
      <c r="E370" s="112"/>
      <c r="F370" s="120" t="s">
        <v>527</v>
      </c>
      <c r="G370" s="245"/>
      <c r="H370" s="95"/>
      <c r="I370" s="95"/>
      <c r="J370" s="95"/>
      <c r="K370" s="34"/>
      <c r="L370" s="121"/>
      <c r="M370" s="122"/>
      <c r="N370" s="122"/>
      <c r="O370" s="122"/>
      <c r="P370" s="122"/>
      <c r="Q370" s="122"/>
    </row>
    <row r="371" spans="1:17" s="31" customFormat="1">
      <c r="A371" s="54" t="str" cm="1">
        <f t="array" aca="1" ref="A371" ca="1">_xlfn.LET(
_xlpm.詳細項目数, COUNTA($E$11:E371),
_xlpm.直近で詳細項目が空でないセルの行番号, MAX(INDEX((LEN($E$11:E371)&gt;0)*ROW($E$11:E371),0)),
_xlpm.観点数, COUNTA(INDIRECT("F"&amp;_xlpm.直近で詳細項目が空でないセルの行番号):F371),
_xlpm.直近で観点が空でないセルの行番号, MAX(INDEX((LEN($F$11:F371)&gt;0)*ROW($F$11:F371),0)),
_xlpm.テスト内容数, COUNTA(INDIRECT("J"&amp;_xlpm.直近で観点が空でないセルの行番号):J371),
_xlpm.テスト内容数_空なら1, IF(_xlpm.テスト内容数=0,1,_xlpm.テスト内容数),
_xlpm.詳細項目数&amp;"-"&amp;_xlpm.観点数&amp;"-"&amp;_xlpm.テスト内容数_空なら1
)</f>
        <v>114-5-1</v>
      </c>
      <c r="B371" s="43"/>
      <c r="C371" s="110"/>
      <c r="D371" s="110"/>
      <c r="E371" s="116"/>
      <c r="F371" s="123" t="s">
        <v>528</v>
      </c>
      <c r="G371" s="245"/>
      <c r="H371" s="40"/>
      <c r="I371" s="40"/>
      <c r="J371" s="97"/>
      <c r="K371" s="97"/>
      <c r="L371" s="121"/>
      <c r="M371" s="122"/>
      <c r="N371" s="122"/>
      <c r="O371" s="122"/>
      <c r="P371" s="122"/>
      <c r="Q371" s="122"/>
    </row>
    <row r="372" spans="1:17" s="31" customFormat="1" ht="22.5">
      <c r="A372" s="54" t="str" cm="1">
        <f t="array" aca="1" ref="A372" ca="1">_xlfn.LET(
_xlpm.詳細項目数, COUNTA($E$11:E372),
_xlpm.直近で詳細項目が空でないセルの行番号, MAX(INDEX((LEN($E$11:E372)&gt;0)*ROW($E$11:E372),0)),
_xlpm.観点数, COUNTA(INDIRECT("F"&amp;_xlpm.直近で詳細項目が空でないセルの行番号):F372),
_xlpm.直近で観点が空でないセルの行番号, MAX(INDEX((LEN($F$11:F372)&gt;0)*ROW($F$11:F372),0)),
_xlpm.テスト内容数, COUNTA(INDIRECT("J"&amp;_xlpm.直近で観点が空でないセルの行番号):J372),
_xlpm.テスト内容数_空なら1, IF(_xlpm.テスト内容数=0,1,_xlpm.テスト内容数),
_xlpm.詳細項目数&amp;"-"&amp;_xlpm.観点数&amp;"-"&amp;_xlpm.テスト内容数_空なら1
)</f>
        <v>115-1-1</v>
      </c>
      <c r="B372" s="43"/>
      <c r="C372" s="40" t="s">
        <v>529</v>
      </c>
      <c r="D372" s="100" t="s">
        <v>530</v>
      </c>
      <c r="E372" s="102" t="s">
        <v>36</v>
      </c>
      <c r="F372" s="115" t="s">
        <v>531</v>
      </c>
      <c r="G372" s="217"/>
      <c r="H372" s="95"/>
      <c r="I372" s="95"/>
      <c r="J372" s="95"/>
      <c r="K372" s="115"/>
      <c r="L372" s="34"/>
      <c r="M372" s="44"/>
      <c r="N372" s="44"/>
      <c r="O372" s="44"/>
      <c r="P372" s="44"/>
      <c r="Q372" s="44"/>
    </row>
    <row r="373" spans="1:17" s="31" customFormat="1" ht="22.5">
      <c r="A373" s="54" t="str" cm="1">
        <f t="array" aca="1" ref="A373" ca="1">_xlfn.LET(
_xlpm.詳細項目数, COUNTA($E$11:E373),
_xlpm.直近で詳細項目が空でないセルの行番号, MAX(INDEX((LEN($E$11:E373)&gt;0)*ROW($E$11:E373),0)),
_xlpm.観点数, COUNTA(INDIRECT("F"&amp;_xlpm.直近で詳細項目が空でないセルの行番号):F373),
_xlpm.直近で観点が空でないセルの行番号, MAX(INDEX((LEN($F$11:F373)&gt;0)*ROW($F$11:F373),0)),
_xlpm.テスト内容数, COUNTA(INDIRECT("J"&amp;_xlpm.直近で観点が空でないセルの行番号):J373),
_xlpm.テスト内容数_空なら1, IF(_xlpm.テスト内容数=0,1,_xlpm.テスト内容数),
_xlpm.詳細項目数&amp;"-"&amp;_xlpm.観点数&amp;"-"&amp;_xlpm.テスト内容数_空なら1
)</f>
        <v>115-2-1</v>
      </c>
      <c r="B373" s="43"/>
      <c r="C373" s="43"/>
      <c r="D373" s="105"/>
      <c r="E373" s="101"/>
      <c r="F373" s="115" t="s">
        <v>532</v>
      </c>
      <c r="G373" s="217"/>
      <c r="H373" s="95"/>
      <c r="I373" s="95"/>
      <c r="J373" s="115"/>
      <c r="K373" s="115"/>
      <c r="L373" s="124"/>
      <c r="M373" s="44"/>
      <c r="N373" s="44"/>
      <c r="O373" s="44"/>
      <c r="P373" s="44"/>
      <c r="Q373" s="44"/>
    </row>
    <row r="374" spans="1:17" s="31" customFormat="1">
      <c r="A374" s="54" t="str" cm="1">
        <f t="array" aca="1" ref="A374" ca="1">_xlfn.LET(
_xlpm.詳細項目数, COUNTA($E$11:E374),
_xlpm.直近で詳細項目が空でないセルの行番号, MAX(INDEX((LEN($E$11:E374)&gt;0)*ROW($E$11:E374),0)),
_xlpm.観点数, COUNTA(INDIRECT("F"&amp;_xlpm.直近で詳細項目が空でないセルの行番号):F374),
_xlpm.直近で観点が空でないセルの行番号, MAX(INDEX((LEN($F$11:F374)&gt;0)*ROW($F$11:F374),0)),
_xlpm.テスト内容数, COUNTA(INDIRECT("J"&amp;_xlpm.直近で観点が空でないセルの行番号):J374),
_xlpm.テスト内容数_空なら1, IF(_xlpm.テスト内容数=0,1,_xlpm.テスト内容数),
_xlpm.詳細項目数&amp;"-"&amp;_xlpm.観点数&amp;"-"&amp;_xlpm.テスト内容数_空なら1
)</f>
        <v>115-3-1</v>
      </c>
      <c r="B374" s="43"/>
      <c r="C374" s="43"/>
      <c r="D374" s="105"/>
      <c r="E374" s="101"/>
      <c r="F374" s="115" t="s">
        <v>533</v>
      </c>
      <c r="G374" s="217"/>
      <c r="H374" s="95"/>
      <c r="I374" s="95"/>
      <c r="J374" s="95"/>
      <c r="K374" s="34"/>
      <c r="L374" s="34"/>
      <c r="M374" s="44"/>
      <c r="N374" s="44"/>
      <c r="O374" s="44"/>
      <c r="P374" s="44"/>
      <c r="Q374" s="44"/>
    </row>
    <row r="375" spans="1:17" s="31" customFormat="1">
      <c r="A375" s="54" t="str" cm="1">
        <f t="array" aca="1" ref="A375" ca="1">_xlfn.LET(
_xlpm.詳細項目数, COUNTA($E$11:E375),
_xlpm.直近で詳細項目が空でないセルの行番号, MAX(INDEX((LEN($E$11:E375)&gt;0)*ROW($E$11:E375),0)),
_xlpm.観点数, COUNTA(INDIRECT("F"&amp;_xlpm.直近で詳細項目が空でないセルの行番号):F375),
_xlpm.直近で観点が空でないセルの行番号, MAX(INDEX((LEN($F$11:F375)&gt;0)*ROW($F$11:F375),0)),
_xlpm.テスト内容数, COUNTA(INDIRECT("J"&amp;_xlpm.直近で観点が空でないセルの行番号):J375),
_xlpm.テスト内容数_空なら1, IF(_xlpm.テスト内容数=0,1,_xlpm.テスト内容数),
_xlpm.詳細項目数&amp;"-"&amp;_xlpm.観点数&amp;"-"&amp;_xlpm.テスト内容数_空なら1
)</f>
        <v>115-4-1</v>
      </c>
      <c r="B375" s="43"/>
      <c r="C375" s="43"/>
      <c r="D375" s="105"/>
      <c r="E375" s="101"/>
      <c r="F375" s="115" t="s">
        <v>534</v>
      </c>
      <c r="G375" s="217"/>
      <c r="H375" s="40"/>
      <c r="I375" s="40"/>
      <c r="J375" s="95"/>
      <c r="K375" s="125"/>
      <c r="L375" s="124"/>
      <c r="M375" s="44"/>
      <c r="N375" s="44"/>
      <c r="O375" s="44"/>
      <c r="P375" s="44"/>
      <c r="Q375" s="44"/>
    </row>
    <row r="376" spans="1:17" s="31" customFormat="1" ht="22.5">
      <c r="A376" s="54" t="str" cm="1">
        <f t="array" aca="1" ref="A376" ca="1">_xlfn.LET(
_xlpm.詳細項目数, COUNTA($E$11:E376),
_xlpm.直近で詳細項目が空でないセルの行番号, MAX(INDEX((LEN($E$11:E376)&gt;0)*ROW($E$11:E376),0)),
_xlpm.観点数, COUNTA(INDIRECT("F"&amp;_xlpm.直近で詳細項目が空でないセルの行番号):F376),
_xlpm.直近で観点が空でないセルの行番号, MAX(INDEX((LEN($F$11:F376)&gt;0)*ROW($F$11:F376),0)),
_xlpm.テスト内容数, COUNTA(INDIRECT("J"&amp;_xlpm.直近で観点が空でないセルの行番号):J376),
_xlpm.テスト内容数_空なら1, IF(_xlpm.テスト内容数=0,1,_xlpm.テスト内容数),
_xlpm.詳細項目数&amp;"-"&amp;_xlpm.観点数&amp;"-"&amp;_xlpm.テスト内容数_空なら1
)</f>
        <v>115-5-1</v>
      </c>
      <c r="B376" s="43"/>
      <c r="C376" s="43"/>
      <c r="D376" s="105"/>
      <c r="E376" s="101"/>
      <c r="F376" s="247" t="s">
        <v>535</v>
      </c>
      <c r="G376" s="247" t="s">
        <v>589</v>
      </c>
      <c r="H376" s="169"/>
      <c r="I376" s="169"/>
      <c r="J376" s="153"/>
      <c r="K376" s="253"/>
      <c r="L376" s="254"/>
      <c r="M376" s="255"/>
      <c r="N376" s="255"/>
      <c r="O376" s="255"/>
      <c r="P376" s="255"/>
      <c r="Q376" s="255"/>
    </row>
    <row r="377" spans="1:17" s="31" customFormat="1" ht="22.5">
      <c r="A377" s="54" t="str" cm="1">
        <f t="array" aca="1" ref="A377" ca="1">_xlfn.LET(
_xlpm.詳細項目数, COUNTA($E$11:E377),
_xlpm.直近で詳細項目が空でないセルの行番号, MAX(INDEX((LEN($E$11:E377)&gt;0)*ROW($E$11:E377),0)),
_xlpm.観点数, COUNTA(INDIRECT("F"&amp;_xlpm.直近で詳細項目が空でないセルの行番号):F377),
_xlpm.直近で観点が空でないセルの行番号, MAX(INDEX((LEN($F$11:F377)&gt;0)*ROW($F$11:F377),0)),
_xlpm.テスト内容数, COUNTA(INDIRECT("J"&amp;_xlpm.直近で観点が空でないセルの行番号):J377),
_xlpm.テスト内容数_空なら1, IF(_xlpm.テスト内容数=0,1,_xlpm.テスト内容数),
_xlpm.詳細項目数&amp;"-"&amp;_xlpm.観点数&amp;"-"&amp;_xlpm.テスト内容数_空なら1
)</f>
        <v>115-6-1</v>
      </c>
      <c r="B377" s="43"/>
      <c r="C377" s="43"/>
      <c r="D377" s="117"/>
      <c r="E377" s="110"/>
      <c r="F377" s="115" t="s">
        <v>536</v>
      </c>
      <c r="G377" s="115"/>
      <c r="H377" s="95"/>
      <c r="I377" s="95"/>
      <c r="J377" s="95"/>
      <c r="K377" s="115"/>
      <c r="L377" s="34"/>
      <c r="M377" s="44"/>
      <c r="N377" s="44"/>
      <c r="O377" s="44"/>
      <c r="P377" s="44"/>
      <c r="Q377" s="44"/>
    </row>
    <row r="378" spans="1:17" s="31" customFormat="1" ht="22.5">
      <c r="A378" s="54" t="str" cm="1">
        <f t="array" aca="1" ref="A378" ca="1">_xlfn.LET(
_xlpm.詳細項目数, COUNTA($E$11:E378),
_xlpm.直近で詳細項目が空でないセルの行番号, MAX(INDEX((LEN($E$11:E378)&gt;0)*ROW($E$11:E378),0)),
_xlpm.観点数, COUNTA(INDIRECT("F"&amp;_xlpm.直近で詳細項目が空でないセルの行番号):F378),
_xlpm.直近で観点が空でないセルの行番号, MAX(INDEX((LEN($F$11:F378)&gt;0)*ROW($F$11:F378),0)),
_xlpm.テスト内容数, COUNTA(INDIRECT("J"&amp;_xlpm.直近で観点が空でないセルの行番号):J378),
_xlpm.テスト内容数_空なら1, IF(_xlpm.テスト内容数=0,1,_xlpm.テスト内容数),
_xlpm.詳細項目数&amp;"-"&amp;_xlpm.観点数&amp;"-"&amp;_xlpm.テスト内容数_空なら1
)</f>
        <v>116-1-1</v>
      </c>
      <c r="B378" s="43"/>
      <c r="C378" s="43"/>
      <c r="D378" s="94" t="s">
        <v>537</v>
      </c>
      <c r="E378" s="102" t="s">
        <v>36</v>
      </c>
      <c r="F378" s="115" t="s">
        <v>538</v>
      </c>
      <c r="G378" s="115"/>
      <c r="H378" s="40"/>
      <c r="I378" s="40"/>
      <c r="J378" s="39"/>
      <c r="K378" s="125"/>
      <c r="L378" s="124"/>
      <c r="M378" s="44"/>
      <c r="N378" s="44"/>
      <c r="O378" s="44"/>
      <c r="P378" s="44"/>
      <c r="Q378" s="44"/>
    </row>
    <row r="379" spans="1:17" s="31" customFormat="1" ht="22.5">
      <c r="A379" s="54" t="str" cm="1">
        <f t="array" aca="1" ref="A379" ca="1">_xlfn.LET(
_xlpm.詳細項目数, COUNTA($E$11:E379),
_xlpm.直近で詳細項目が空でないセルの行番号, MAX(INDEX((LEN($E$11:E379)&gt;0)*ROW($E$11:E379),0)),
_xlpm.観点数, COUNTA(INDIRECT("F"&amp;_xlpm.直近で詳細項目が空でないセルの行番号):F379),
_xlpm.直近で観点が空でないセルの行番号, MAX(INDEX((LEN($F$11:F379)&gt;0)*ROW($F$11:F379),0)),
_xlpm.テスト内容数, COUNTA(INDIRECT("J"&amp;_xlpm.直近で観点が空でないセルの行番号):J379),
_xlpm.テスト内容数_空なら1, IF(_xlpm.テスト内容数=0,1,_xlpm.テスト内容数),
_xlpm.詳細項目数&amp;"-"&amp;_xlpm.観点数&amp;"-"&amp;_xlpm.テスト内容数_空なら1
)</f>
        <v>117-1-1</v>
      </c>
      <c r="B379" s="43"/>
      <c r="C379" s="43"/>
      <c r="D379" s="102" t="s">
        <v>539</v>
      </c>
      <c r="E379" s="102" t="s">
        <v>36</v>
      </c>
      <c r="F379" s="115" t="s">
        <v>540</v>
      </c>
      <c r="G379" s="115"/>
      <c r="H379" s="95"/>
      <c r="I379" s="96"/>
      <c r="J379" s="95"/>
      <c r="K379" s="34"/>
      <c r="L379" s="124"/>
      <c r="M379" s="44"/>
      <c r="N379" s="44"/>
      <c r="O379" s="44"/>
      <c r="P379" s="44"/>
      <c r="Q379" s="44"/>
    </row>
    <row r="380" spans="1:17" s="31" customFormat="1" ht="22.5">
      <c r="A380" s="148" t="str" cm="1">
        <f t="array" aca="1" ref="A380" ca="1">_xlfn.LET(
_xlpm.詳細項目数, COUNTA($E$11:E380),
_xlpm.直近で詳細項目が空でないセルの行番号, MAX(INDEX((LEN($E$11:E380)&gt;0)*ROW($E$11:E380),0)),
_xlpm.観点数, COUNTA(INDIRECT("F"&amp;_xlpm.直近で詳細項目が空でないセルの行番号):F380),
_xlpm.直近で観点が空でないセルの行番号, MAX(INDEX((LEN($F$11:F380)&gt;0)*ROW($F$11:F380),0)),
_xlpm.テスト内容数, COUNTA(INDIRECT("J"&amp;_xlpm.直近で観点が空でないセルの行番号):J380),
_xlpm.テスト内容数_空なら1, IF(_xlpm.テスト内容数=0,1,_xlpm.テスト内容数),
_xlpm.詳細項目数&amp;"-"&amp;_xlpm.観点数&amp;"-"&amp;_xlpm.テスト内容数_空なら1
)</f>
        <v>118-1-1</v>
      </c>
      <c r="B380" s="43"/>
      <c r="C380" s="43"/>
      <c r="D380" s="102" t="s">
        <v>541</v>
      </c>
      <c r="E380" s="102" t="s">
        <v>36</v>
      </c>
      <c r="F380" s="115" t="s">
        <v>542</v>
      </c>
      <c r="G380" s="115"/>
      <c r="H380" s="96"/>
      <c r="I380" s="40"/>
      <c r="J380" s="96"/>
      <c r="K380" s="127"/>
      <c r="L380" s="128"/>
      <c r="M380" s="126"/>
      <c r="N380" s="126"/>
      <c r="O380" s="126"/>
      <c r="P380" s="126"/>
      <c r="Q380" s="126"/>
    </row>
    <row r="381" spans="1:17" ht="22.5">
      <c r="A381" s="54" t="str" cm="1">
        <f t="array" aca="1" ref="A381" ca="1">_xlfn.LET(
_xlpm.詳細項目数, COUNTA($E$11:E381),
_xlpm.直近で詳細項目が空でないセルの行番号, MAX(INDEX((LEN($E$11:E381)&gt;0)*ROW($E$11:E381),0)),
_xlpm.観点数, COUNTA(INDIRECT("F"&amp;_xlpm.直近で詳細項目が空でないセルの行番号):F381),
_xlpm.直近で観点が空でないセルの行番号, MAX(INDEX((LEN($F$11:F381)&gt;0)*ROW($F$11:F381),0)),
_xlpm.テスト内容数, COUNTA(INDIRECT("J"&amp;_xlpm.直近で観点が空でないセルの行番号):J381),
_xlpm.テスト内容数_空なら1, IF(_xlpm.テスト内容数=0,1,_xlpm.テスト内容数),
_xlpm.詳細項目数&amp;"-"&amp;_xlpm.観点数&amp;"-"&amp;_xlpm.テスト内容数_空なら1
)</f>
        <v>119-1-1</v>
      </c>
      <c r="B381" s="102" t="s">
        <v>543</v>
      </c>
      <c r="C381" s="102" t="s">
        <v>544</v>
      </c>
      <c r="D381" s="102" t="s">
        <v>545</v>
      </c>
      <c r="E381" s="102" t="s">
        <v>75</v>
      </c>
      <c r="F381" s="120" t="s">
        <v>546</v>
      </c>
      <c r="G381" s="115"/>
      <c r="H381" s="34"/>
      <c r="I381" s="34"/>
      <c r="J381" s="32"/>
      <c r="K381" s="32"/>
      <c r="L381" s="34"/>
      <c r="M381" s="34"/>
      <c r="N381" s="34"/>
      <c r="O381" s="94"/>
      <c r="P381" s="32"/>
      <c r="Q381" s="32"/>
    </row>
    <row r="382" spans="1:17" ht="22.5">
      <c r="A382" s="54" t="str" cm="1">
        <f t="array" aca="1" ref="A382" ca="1">_xlfn.LET(
_xlpm.詳細項目数, COUNTA($E$11:E382),
_xlpm.直近で詳細項目が空でないセルの行番号, MAX(INDEX((LEN($E$11:E382)&gt;0)*ROW($E$11:E382),0)),
_xlpm.観点数, COUNTA(INDIRECT("F"&amp;_xlpm.直近で詳細項目が空でないセルの行番号):F382),
_xlpm.直近で観点が空でないセルの行番号, MAX(INDEX((LEN($F$11:F382)&gt;0)*ROW($F$11:F382),0)),
_xlpm.テスト内容数, COUNTA(INDIRECT("J"&amp;_xlpm.直近で観点が空でないセルの行番号):J382),
_xlpm.テスト内容数_空なら1, IF(_xlpm.テスト内容数=0,1,_xlpm.テスト内容数),
_xlpm.詳細項目数&amp;"-"&amp;_xlpm.観点数&amp;"-"&amp;_xlpm.テスト内容数_空なら1
)</f>
        <v>119-2-1</v>
      </c>
      <c r="B382" s="116"/>
      <c r="C382" s="110"/>
      <c r="D382" s="110"/>
      <c r="E382" s="110"/>
      <c r="F382" s="93" t="s">
        <v>547</v>
      </c>
      <c r="G382" s="45"/>
      <c r="H382" s="95"/>
      <c r="I382" s="95"/>
      <c r="J382" s="34"/>
      <c r="K382" s="34"/>
      <c r="L382" s="34"/>
      <c r="M382" s="34"/>
      <c r="N382" s="34"/>
      <c r="O382" s="94"/>
      <c r="P382" s="32"/>
      <c r="Q382" s="32"/>
    </row>
  </sheetData>
  <autoFilter ref="A10:Q10" xr:uid="{00000000-0001-0000-0200-000000000000}"/>
  <mergeCells count="2">
    <mergeCell ref="B112:B113"/>
    <mergeCell ref="B132:B133"/>
  </mergeCells>
  <phoneticPr fontId="2"/>
  <dataValidations count="1">
    <dataValidation type="list" allowBlank="1" showInputMessage="1" showErrorMessage="1" sqref="O11:O382" xr:uid="{5DBDAC3C-6342-4FFF-9DF0-4426C28E0E71}">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r:id="rId1"/>
  <headerFooter alignWithMargins="0">
    <oddFooter>&amp;C&amp;"ＭＳ 明朝,標準"&amp;9- &amp;P -</oddFooter>
  </headerFooter>
  <rowBreaks count="10" manualBreakCount="10">
    <brk id="41" max="17" man="1"/>
    <brk id="77" max="17" man="1"/>
    <brk id="110" max="17" man="1"/>
    <brk id="148" max="17" man="1"/>
    <brk id="182" max="17" man="1"/>
    <brk id="209" max="17" man="1"/>
    <brk id="242" max="17" man="1"/>
    <brk id="278" max="17" man="1"/>
    <brk id="295" max="17" man="1"/>
    <brk id="340" max="17"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183DC-EE6A-47DC-B7CC-3E18CA49C6FA}">
  <sheetPr>
    <pageSetUpPr fitToPage="1"/>
  </sheetPr>
  <dimension ref="A1:P556"/>
  <sheetViews>
    <sheetView showGridLines="0" view="pageBreakPreview" zoomScaleNormal="100" zoomScaleSheetLayoutView="100" workbookViewId="0">
      <pane ySplit="10" topLeftCell="A11" activePane="bottomLeft" state="frozen"/>
      <selection pane="bottomLeft"/>
    </sheetView>
  </sheetViews>
  <sheetFormatPr defaultColWidth="9" defaultRowHeight="11.25" outlineLevelCol="1"/>
  <cols>
    <col min="1" max="1" width="8.625" style="25" customWidth="1"/>
    <col min="2" max="3" width="10.625" style="25" customWidth="1"/>
    <col min="4" max="4" width="15.625" style="26" customWidth="1"/>
    <col min="5" max="5" width="18.875" style="26" bestFit="1" customWidth="1"/>
    <col min="6" max="6" width="21.5" style="57" customWidth="1" outlineLevel="1"/>
    <col min="7" max="7" width="16.375" style="25" customWidth="1"/>
    <col min="8" max="8" width="16.375" style="25" bestFit="1" customWidth="1"/>
    <col min="9" max="10" width="31" style="25" customWidth="1"/>
    <col min="11" max="11" width="17.25" style="25" bestFit="1" customWidth="1"/>
    <col min="12" max="14" width="8.625" style="25" customWidth="1"/>
    <col min="15" max="16384" width="9" style="25"/>
  </cols>
  <sheetData>
    <row r="1" spans="1:16">
      <c r="A1" s="25" t="s">
        <v>549</v>
      </c>
    </row>
    <row r="2" spans="1:16">
      <c r="A2" s="25" t="s">
        <v>21</v>
      </c>
    </row>
    <row r="4" spans="1:16">
      <c r="A4" s="25" t="s">
        <v>552</v>
      </c>
    </row>
    <row r="5" spans="1:16">
      <c r="A5" s="25" t="s">
        <v>15</v>
      </c>
    </row>
    <row r="6" spans="1:16">
      <c r="A6" s="25" t="s">
        <v>16</v>
      </c>
      <c r="M6" s="25" t="s">
        <v>18</v>
      </c>
      <c r="O6" s="25" t="s">
        <v>0</v>
      </c>
    </row>
    <row r="7" spans="1:16">
      <c r="M7" s="25" t="s">
        <v>19</v>
      </c>
      <c r="O7" s="25" t="s">
        <v>1</v>
      </c>
    </row>
    <row r="8" spans="1:16" ht="12" thickBot="1">
      <c r="A8" s="27"/>
      <c r="B8" s="27"/>
      <c r="C8" s="27"/>
      <c r="D8" s="28"/>
      <c r="E8" s="28"/>
      <c r="F8" s="58"/>
      <c r="G8" s="27"/>
      <c r="H8" s="27"/>
      <c r="I8" s="27"/>
      <c r="J8" s="27"/>
      <c r="K8" s="27"/>
      <c r="L8" s="27"/>
      <c r="M8" s="27"/>
      <c r="N8" s="27"/>
      <c r="O8" s="27"/>
      <c r="P8" s="27"/>
    </row>
    <row r="9" spans="1:16" ht="12" customHeight="1" thickTop="1"/>
    <row r="10" spans="1:16" s="31" customFormat="1" ht="9.9499999999999993" customHeight="1">
      <c r="A10" s="29" t="s">
        <v>548</v>
      </c>
      <c r="B10" s="29" t="s">
        <v>9</v>
      </c>
      <c r="C10" s="29" t="s">
        <v>10</v>
      </c>
      <c r="D10" s="29" t="s">
        <v>11</v>
      </c>
      <c r="E10" s="29" t="s">
        <v>26</v>
      </c>
      <c r="F10" s="59" t="s">
        <v>64</v>
      </c>
      <c r="G10" s="29" t="s">
        <v>12</v>
      </c>
      <c r="H10" s="29" t="s">
        <v>13</v>
      </c>
      <c r="I10" s="30" t="s">
        <v>2</v>
      </c>
      <c r="J10" s="30" t="s">
        <v>3</v>
      </c>
      <c r="K10" s="30" t="s">
        <v>591</v>
      </c>
      <c r="L10" s="30" t="s">
        <v>5</v>
      </c>
      <c r="M10" s="30" t="s">
        <v>20</v>
      </c>
      <c r="N10" s="30" t="s">
        <v>6</v>
      </c>
      <c r="O10" s="30" t="s">
        <v>7</v>
      </c>
      <c r="P10" s="30" t="s">
        <v>8</v>
      </c>
    </row>
    <row r="11" spans="1:16" s="31" customFormat="1" ht="22.5">
      <c r="A11" s="54" t="str" cm="1">
        <f t="array" aca="1" ref="A11" ca="1">_xlfn.LET(
_xlpm.確認観点2数, COUNTA($D$11:D11),
_xlpm.直近で確認観点2が空でないセルの行番号, MAX(INDEX((LEN($D$11:D11)&gt;0)*ROW($D$11:D11),0)),
_xlpm.確認観点3数, COUNTA(INDIRECT("E"&amp;_xlpm.直近で確認観点2が空でないセルの行番号):E11),
_xlpm.確認観点3数_空なら1,IF(_xlpm.確認観点3数=0,1,_xlpm.確認観点3数),
_xlpm.直近で確認観点3が空でないセルの行番号, MAX(INDEX((LEN($E$11:E11)&gt;0)*ROW($E$11:E11),0),_xlpm.直近で確認観点2が空でないセルの行番号),
_xlpm.テスト内容数, COUNTA(INDIRECT("I"&amp;_xlpm.直近で確認観点3が空でないセルの行番号):I11),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1-1-1</v>
      </c>
      <c r="B11" s="56" t="s">
        <v>27</v>
      </c>
      <c r="C11" s="56" t="s">
        <v>37</v>
      </c>
      <c r="D11" s="61" t="s">
        <v>28</v>
      </c>
      <c r="E11" s="62"/>
      <c r="F11" s="63"/>
      <c r="G11" s="56"/>
      <c r="H11" s="56"/>
      <c r="I11" s="56"/>
      <c r="J11" s="64"/>
      <c r="K11" s="65"/>
      <c r="L11" s="66"/>
      <c r="M11" s="66"/>
      <c r="N11" s="66"/>
      <c r="O11" s="66"/>
      <c r="P11" s="85"/>
    </row>
    <row r="12" spans="1:16" s="31" customFormat="1">
      <c r="A12" s="54" t="str" cm="1">
        <f t="array" aca="1" ref="A12" ca="1">_xlfn.LET(
_xlpm.確認観点2数, COUNTA($D$11:D12),
_xlpm.直近で確認観点2が空でないセルの行番号, MAX(INDEX((LEN($D$11:D12)&gt;0)*ROW($D$11:D12),0)),
_xlpm.確認観点3数, COUNTA(INDIRECT("E"&amp;_xlpm.直近で確認観点2が空でないセルの行番号):E12),
_xlpm.確認観点3数_空なら1,IF(_xlpm.確認観点3数=0,1,_xlpm.確認観点3数),
_xlpm.直近で確認観点3が空でないセルの行番号, MAX(INDEX((LEN($E$11:E12)&gt;0)*ROW($E$11:E12),0),_xlpm.直近で確認観点2が空でないセルの行番号),
_xlpm.テスト内容数, COUNTA(INDIRECT("I"&amp;_xlpm.直近で確認観点3が空でないセルの行番号):I12),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2-1-1</v>
      </c>
      <c r="B12" s="67"/>
      <c r="C12" s="67"/>
      <c r="D12" s="68" t="s">
        <v>29</v>
      </c>
      <c r="E12" s="69"/>
      <c r="F12" s="63"/>
      <c r="G12" s="55"/>
      <c r="H12" s="55"/>
      <c r="I12" s="60"/>
      <c r="J12" s="60"/>
      <c r="K12" s="70"/>
      <c r="L12" s="71"/>
      <c r="M12" s="71"/>
      <c r="N12" s="71"/>
      <c r="O12" s="71"/>
      <c r="P12" s="86"/>
    </row>
    <row r="13" spans="1:16" s="31" customFormat="1" ht="22.5">
      <c r="A13" s="54" t="str" cm="1">
        <f t="array" aca="1" ref="A13" ca="1">_xlfn.LET(
_xlpm.確認観点2数, COUNTA($D$11:D13),
_xlpm.直近で確認観点2が空でないセルの行番号, MAX(INDEX((LEN($D$11:D13)&gt;0)*ROW($D$11:D13),0)),
_xlpm.確認観点3数, COUNTA(INDIRECT("E"&amp;_xlpm.直近で確認観点2が空でないセルの行番号):E13),
_xlpm.確認観点3数_空なら1,IF(_xlpm.確認観点3数=0,1,_xlpm.確認観点3数),
_xlpm.直近で確認観点3が空でないセルの行番号, MAX(INDEX((LEN($E$11:E13)&gt;0)*ROW($E$11:E13),0),_xlpm.直近で確認観点2が空でないセルの行番号),
_xlpm.テスト内容数, COUNTA(INDIRECT("I"&amp;_xlpm.直近で確認観点3が空でないセルの行番号):I13),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3-1-1</v>
      </c>
      <c r="B13" s="67"/>
      <c r="C13" s="67"/>
      <c r="D13" s="199" t="s">
        <v>30</v>
      </c>
      <c r="E13" s="200"/>
      <c r="F13" s="157" t="s">
        <v>567</v>
      </c>
      <c r="G13" s="176"/>
      <c r="H13" s="176"/>
      <c r="I13" s="201"/>
      <c r="J13" s="201"/>
      <c r="K13" s="202"/>
      <c r="L13" s="203"/>
      <c r="M13" s="203"/>
      <c r="N13" s="203"/>
      <c r="O13" s="203"/>
      <c r="P13" s="204"/>
    </row>
    <row r="14" spans="1:16" s="31" customFormat="1">
      <c r="A14" s="54" t="str" cm="1">
        <f t="array" aca="1" ref="A14" ca="1">_xlfn.LET(
_xlpm.確認観点2数, COUNTA($D$11:D14),
_xlpm.直近で確認観点2が空でないセルの行番号, MAX(INDEX((LEN($D$11:D14)&gt;0)*ROW($D$11:D14),0)),
_xlpm.確認観点3数, COUNTA(INDIRECT("E"&amp;_xlpm.直近で確認観点2が空でないセルの行番号):E14),
_xlpm.確認観点3数_空なら1,IF(_xlpm.確認観点3数=0,1,_xlpm.確認観点3数),
_xlpm.直近で確認観点3が空でないセルの行番号, MAX(INDEX((LEN($E$11:E14)&gt;0)*ROW($E$11:E14),0),_xlpm.直近で確認観点2が空でないセルの行番号),
_xlpm.テスト内容数, COUNTA(INDIRECT("I"&amp;_xlpm.直近で確認観点3が空でないセルの行番号):I14),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4-1-1</v>
      </c>
      <c r="B14" s="67"/>
      <c r="C14" s="67"/>
      <c r="D14" s="73" t="s">
        <v>31</v>
      </c>
      <c r="E14" s="74"/>
      <c r="F14" s="236"/>
      <c r="G14" s="40"/>
      <c r="H14" s="40"/>
      <c r="I14" s="76"/>
      <c r="J14" s="76"/>
      <c r="K14" s="77"/>
      <c r="L14" s="78"/>
      <c r="M14" s="78"/>
      <c r="N14" s="78"/>
      <c r="O14" s="78"/>
      <c r="P14" s="87"/>
    </row>
    <row r="15" spans="1:16" s="31" customFormat="1">
      <c r="A15" s="54" t="str" cm="1">
        <f t="array" aca="1" ref="A15" ca="1">_xlfn.LET(
_xlpm.確認観点2数, COUNTA($D$11:D15),
_xlpm.直近で確認観点2が空でないセルの行番号, MAX(INDEX((LEN($D$11:D15)&gt;0)*ROW($D$11:D15),0)),
_xlpm.確認観点3数, COUNTA(INDIRECT("E"&amp;_xlpm.直近で確認観点2が空でないセルの行番号):E15),
_xlpm.確認観点3数_空なら1,IF(_xlpm.確認観点3数=0,1,_xlpm.確認観点3数),
_xlpm.直近で確認観点3が空でないセルの行番号, MAX(INDEX((LEN($E$11:E15)&gt;0)*ROW($E$11:E15),0),_xlpm.直近で確認観点2が空でないセルの行番号),
_xlpm.テスト内容数, COUNTA(INDIRECT("I"&amp;_xlpm.直近で確認観点3が空でないセルの行番号):I15),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5-1-1</v>
      </c>
      <c r="B15" s="67"/>
      <c r="C15" s="67"/>
      <c r="D15" s="79" t="s">
        <v>32</v>
      </c>
      <c r="E15" s="79" t="s">
        <v>24</v>
      </c>
      <c r="F15" s="236"/>
      <c r="G15" s="40"/>
      <c r="H15" s="40"/>
      <c r="I15" s="80"/>
      <c r="J15" s="81"/>
      <c r="K15" s="77"/>
      <c r="L15" s="78"/>
      <c r="M15" s="78"/>
      <c r="N15" s="78"/>
      <c r="O15" s="78"/>
      <c r="P15" s="87"/>
    </row>
    <row r="16" spans="1:16" s="31" customFormat="1" ht="22.5">
      <c r="A16" s="54" t="str" cm="1">
        <f t="array" aca="1" ref="A16" ca="1">_xlfn.LET(
_xlpm.確認観点2数, COUNTA($D$11:D16),
_xlpm.直近で確認観点2が空でないセルの行番号, MAX(INDEX((LEN($D$11:D16)&gt;0)*ROW($D$11:D16),0)),
_xlpm.確認観点3数, COUNTA(INDIRECT("E"&amp;_xlpm.直近で確認観点2が空でないセルの行番号):E16),
_xlpm.確認観点3数_空なら1,IF(_xlpm.確認観点3数=0,1,_xlpm.確認観点3数),
_xlpm.直近で確認観点3が空でないセルの行番号, MAX(INDEX((LEN($E$11:E16)&gt;0)*ROW($E$11:E16),0),_xlpm.直近で確認観点2が空でないセルの行番号),
_xlpm.テスト内容数, COUNTA(INDIRECT("I"&amp;_xlpm.直近で確認観点3が空でないセルの行番号):I16),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5-2-1</v>
      </c>
      <c r="B16" s="67"/>
      <c r="C16" s="67"/>
      <c r="D16" s="82"/>
      <c r="E16" s="199" t="s">
        <v>33</v>
      </c>
      <c r="F16" s="157" t="s">
        <v>567</v>
      </c>
      <c r="G16" s="176"/>
      <c r="H16" s="176"/>
      <c r="I16" s="201"/>
      <c r="J16" s="201"/>
      <c r="K16" s="202"/>
      <c r="L16" s="203"/>
      <c r="M16" s="203"/>
      <c r="N16" s="203"/>
      <c r="O16" s="203"/>
      <c r="P16" s="204"/>
    </row>
    <row r="17" spans="1:16" s="31" customFormat="1" ht="22.5">
      <c r="A17" s="54" t="str" cm="1">
        <f t="array" aca="1" ref="A17" ca="1">_xlfn.LET(
_xlpm.確認観点2数, COUNTA($D$11:D17),
_xlpm.直近で確認観点2が空でないセルの行番号, MAX(INDEX((LEN($D$11:D17)&gt;0)*ROW($D$11:D17),0)),
_xlpm.確認観点3数, COUNTA(INDIRECT("E"&amp;_xlpm.直近で確認観点2が空でないセルの行番号):E17),
_xlpm.確認観点3数_空なら1,IF(_xlpm.確認観点3数=0,1,_xlpm.確認観点3数),
_xlpm.直近で確認観点3が空でないセルの行番号, MAX(INDEX((LEN($E$11:E17)&gt;0)*ROW($E$11:E17),0),_xlpm.直近で確認観点2が空でないセルの行番号),
_xlpm.テスト内容数, COUNTA(INDIRECT("I"&amp;_xlpm.直近で確認観点3が空でないセルの行番号):I17),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5-3-1</v>
      </c>
      <c r="B17" s="67"/>
      <c r="C17" s="67"/>
      <c r="D17" s="82"/>
      <c r="E17" s="205" t="s">
        <v>34</v>
      </c>
      <c r="F17" s="157" t="s">
        <v>567</v>
      </c>
      <c r="G17" s="169"/>
      <c r="H17" s="169"/>
      <c r="I17" s="201"/>
      <c r="J17" s="201"/>
      <c r="K17" s="202"/>
      <c r="L17" s="203"/>
      <c r="M17" s="203"/>
      <c r="N17" s="203"/>
      <c r="O17" s="203"/>
      <c r="P17" s="204"/>
    </row>
    <row r="18" spans="1:16" s="31" customFormat="1" ht="22.5">
      <c r="A18" s="54" t="str" cm="1">
        <f t="array" aca="1" ref="A18" ca="1">_xlfn.LET(
_xlpm.確認観点2数, COUNTA($D$11:D18),
_xlpm.直近で確認観点2が空でないセルの行番号, MAX(INDEX((LEN($D$11:D18)&gt;0)*ROW($D$11:D18),0)),
_xlpm.確認観点3数, COUNTA(INDIRECT("E"&amp;_xlpm.直近で確認観点2が空でないセルの行番号):E18),
_xlpm.確認観点3数_空なら1,IF(_xlpm.確認観点3数=0,1,_xlpm.確認観点3数),
_xlpm.直近で確認観点3が空でないセルの行番号, MAX(INDEX((LEN($E$11:E18)&gt;0)*ROW($E$11:E18),0),_xlpm.直近で確認観点2が空でないセルの行番号),
_xlpm.テスト内容数, COUNTA(INDIRECT("I"&amp;_xlpm.直近で確認観点3が空でないセルの行番号):I18),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5-4-1</v>
      </c>
      <c r="B18" s="67"/>
      <c r="C18" s="67"/>
      <c r="D18" s="84"/>
      <c r="E18" s="199" t="s">
        <v>38</v>
      </c>
      <c r="F18" s="157" t="s">
        <v>567</v>
      </c>
      <c r="G18" s="176"/>
      <c r="H18" s="176"/>
      <c r="I18" s="201"/>
      <c r="J18" s="201"/>
      <c r="K18" s="202"/>
      <c r="L18" s="203"/>
      <c r="M18" s="203"/>
      <c r="N18" s="203"/>
      <c r="O18" s="203"/>
      <c r="P18" s="204"/>
    </row>
    <row r="19" spans="1:16" s="31" customFormat="1" ht="22.5">
      <c r="A19" s="54" t="str" cm="1">
        <f t="array" aca="1" ref="A19" ca="1">_xlfn.LET(
_xlpm.確認観点2数, COUNTA($D$11:D19),
_xlpm.直近で確認観点2が空でないセルの行番号, MAX(INDEX((LEN($D$11:D19)&gt;0)*ROW($D$11:D19),0)),
_xlpm.確認観点3数, COUNTA(INDIRECT("E"&amp;_xlpm.直近で確認観点2が空でないセルの行番号):E19),
_xlpm.確認観点3数_空なら1,IF(_xlpm.確認観点3数=0,1,_xlpm.確認観点3数),
_xlpm.直近で確認観点3が空でないセルの行番号, MAX(INDEX((LEN($E$11:E19)&gt;0)*ROW($E$11:E19),0),_xlpm.直近で確認観点2が空でないセルの行番号),
_xlpm.テスト内容数, COUNTA(INDIRECT("I"&amp;_xlpm.直近で確認観点3が空でないセルの行番号):I19),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6-1-1</v>
      </c>
      <c r="B19" s="67"/>
      <c r="C19" s="67"/>
      <c r="D19" s="207" t="s">
        <v>39</v>
      </c>
      <c r="E19" s="206" t="s">
        <v>35</v>
      </c>
      <c r="F19" s="157" t="s">
        <v>567</v>
      </c>
      <c r="G19" s="176"/>
      <c r="H19" s="176"/>
      <c r="I19" s="201"/>
      <c r="J19" s="201"/>
      <c r="K19" s="202"/>
      <c r="L19" s="203"/>
      <c r="M19" s="203"/>
      <c r="N19" s="203"/>
      <c r="O19" s="203"/>
      <c r="P19" s="204"/>
    </row>
    <row r="20" spans="1:16" s="31" customFormat="1">
      <c r="A20" s="54" t="str" cm="1">
        <f t="array" aca="1" ref="A20" ca="1">_xlfn.LET(
_xlpm.確認観点2数, COUNTA($D$11:D20),
_xlpm.直近で確認観点2が空でないセルの行番号, MAX(INDEX((LEN($D$11:D20)&gt;0)*ROW($D$11:D20),0)),
_xlpm.確認観点3数, COUNTA(INDIRECT("E"&amp;_xlpm.直近で確認観点2が空でないセルの行番号):E20),
_xlpm.確認観点3数_空なら1,IF(_xlpm.確認観点3数=0,1,_xlpm.確認観点3数),
_xlpm.直近で確認観点3が空でないセルの行番号, MAX(INDEX((LEN($E$11:E20)&gt;0)*ROW($E$11:E20),0),_xlpm.直近で確認観点2が空でないセルの行番号),
_xlpm.テスト内容数, COUNTA(INDIRECT("I"&amp;_xlpm.直近で確認観点3が空でないセルの行番号):I20),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7-1-1</v>
      </c>
      <c r="B20" s="72"/>
      <c r="C20" s="72"/>
      <c r="D20" s="81" t="s">
        <v>41</v>
      </c>
      <c r="E20" s="81" t="s">
        <v>40</v>
      </c>
      <c r="F20" s="32"/>
      <c r="G20" s="41"/>
      <c r="H20" s="41"/>
      <c r="I20" s="88"/>
      <c r="J20" s="88"/>
      <c r="K20" s="89"/>
      <c r="L20" s="90"/>
      <c r="M20" s="90"/>
      <c r="N20" s="90"/>
      <c r="O20" s="90"/>
      <c r="P20" s="91"/>
    </row>
    <row r="21" spans="1:16" s="31" customFormat="1" ht="22.5">
      <c r="A21" s="54" t="str" cm="1">
        <f t="array" aca="1" ref="A21" ca="1">_xlfn.LET(
_xlpm.確認観点2数, COUNTA($D$11:D21),
_xlpm.直近で確認観点2が空でないセルの行番号, MAX(INDEX((LEN($D$11:D21)&gt;0)*ROW($D$11:D21),0)),
_xlpm.確認観点3数, COUNTA(INDIRECT("E"&amp;_xlpm.直近で確認観点2が空でないセルの行番号):E21),
_xlpm.確認観点3数_空なら1,IF(_xlpm.確認観点3数=0,1,_xlpm.確認観点3数),
_xlpm.直近で確認観点3が空でないセルの行番号, MAX(INDEX((LEN($E$11:E21)&gt;0)*ROW($E$11:E21),0),_xlpm.直近で確認観点2が空でないセルの行番号),
_xlpm.テスト内容数, COUNTA(INDIRECT("I"&amp;_xlpm.直近で確認観点3が空でないセルの行番号):I21),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8-1-1</v>
      </c>
      <c r="B21" s="208"/>
      <c r="C21" s="208"/>
      <c r="D21" s="321" t="s">
        <v>566</v>
      </c>
      <c r="E21" s="322"/>
      <c r="F21" s="157" t="s">
        <v>567</v>
      </c>
      <c r="G21" s="169"/>
      <c r="H21" s="169"/>
      <c r="I21" s="209"/>
      <c r="J21" s="209"/>
      <c r="K21" s="210"/>
      <c r="L21" s="212"/>
      <c r="M21" s="211"/>
      <c r="N21" s="211"/>
      <c r="O21" s="211"/>
    </row>
    <row r="22" spans="1:16" s="31" customFormat="1" ht="22.5">
      <c r="A22" s="54" t="str" cm="1">
        <f t="array" aca="1" ref="A22" ca="1">_xlfn.LET(
_xlpm.確認観点2数, COUNTA($D$11:D22),
_xlpm.直近で確認観点2が空でないセルの行番号, MAX(INDEX((LEN($D$11:D22)&gt;0)*ROW($D$11:D22),0)),
_xlpm.確認観点3数, COUNTA(INDIRECT("E"&amp;_xlpm.直近で確認観点2が空でないセルの行番号):E22),
_xlpm.確認観点3数_空なら1,IF(_xlpm.確認観点3数=0,1,_xlpm.確認観点3数),
_xlpm.直近で確認観点3が空でないセルの行番号, MAX(INDEX((LEN($E$11:E22)&gt;0)*ROW($E$11:E22),0),_xlpm.直近で確認観点2が空でないセルの行番号),
_xlpm.テスト内容数, COUNTA(INDIRECT("I"&amp;_xlpm.直近で確認観点3が空でないセルの行番号):I22),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9-1-1</v>
      </c>
      <c r="B22" s="208"/>
      <c r="C22" s="213" t="s">
        <v>568</v>
      </c>
      <c r="D22" s="214" t="s">
        <v>569</v>
      </c>
      <c r="E22" s="215"/>
      <c r="F22" s="157" t="s">
        <v>567</v>
      </c>
      <c r="G22" s="169"/>
      <c r="H22" s="169"/>
      <c r="I22" s="209"/>
      <c r="J22" s="209"/>
      <c r="K22" s="210"/>
      <c r="L22" s="212"/>
      <c r="M22" s="211"/>
      <c r="N22" s="211"/>
      <c r="O22" s="211"/>
    </row>
    <row r="23" spans="1:16" s="31" customFormat="1" ht="22.5">
      <c r="A23" s="54" t="str" cm="1">
        <f t="array" aca="1" ref="A23" ca="1">_xlfn.LET(
_xlpm.確認観点2数, COUNTA($D$11:D23),
_xlpm.直近で確認観点2が空でないセルの行番号, MAX(INDEX((LEN($D$11:D23)&gt;0)*ROW($D$11:D23),0)),
_xlpm.確認観点3数, COUNTA(INDIRECT("E"&amp;_xlpm.直近で確認観点2が空でないセルの行番号):E23),
_xlpm.確認観点3数_空なら1,IF(_xlpm.確認観点3数=0,1,_xlpm.確認観点3数),
_xlpm.直近で確認観点3が空でないセルの行番号, MAX(INDEX((LEN($E$11:E23)&gt;0)*ROW($E$11:E23),0),_xlpm.直近で確認観点2が空でないセルの行番号),
_xlpm.テスト内容数, COUNTA(INDIRECT("I"&amp;_xlpm.直近で確認観点3が空でないセルの行番号):I23),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10-1-1</v>
      </c>
      <c r="B23" s="208"/>
      <c r="C23" s="216"/>
      <c r="D23" s="214" t="s">
        <v>570</v>
      </c>
      <c r="E23" s="215"/>
      <c r="F23" s="157" t="s">
        <v>567</v>
      </c>
      <c r="G23" s="169"/>
      <c r="H23" s="169"/>
      <c r="I23" s="209"/>
      <c r="J23" s="209"/>
      <c r="K23" s="210"/>
      <c r="L23" s="212"/>
      <c r="M23" s="211"/>
      <c r="N23" s="211"/>
      <c r="O23" s="211"/>
    </row>
    <row r="24" spans="1:16" s="31" customFormat="1" ht="22.5">
      <c r="A24" s="54" t="str" cm="1">
        <f t="array" aca="1" ref="A24" ca="1">_xlfn.LET(
_xlpm.確認観点2数, COUNTA($D$11:D24),
_xlpm.直近で確認観点2が空でないセルの行番号, MAX(INDEX((LEN($D$11:D24)&gt;0)*ROW($D$11:D24),0)),
_xlpm.確認観点3数, COUNTA(INDIRECT("E"&amp;_xlpm.直近で確認観点2が空でないセルの行番号):E24),
_xlpm.確認観点3数_空なら1,IF(_xlpm.確認観点3数=0,1,_xlpm.確認観点3数),
_xlpm.直近で確認観点3が空でないセルの行番号, MAX(INDEX((LEN($E$11:E24)&gt;0)*ROW($E$11:E24),0),_xlpm.直近で確認観点2が空でないセルの行番号),
_xlpm.テスト内容数, COUNTA(INDIRECT("I"&amp;_xlpm.直近で確認観点3が空でないセルの行番号):I24),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11-1-1</v>
      </c>
      <c r="B24" s="208"/>
      <c r="C24" s="55" t="s">
        <v>571</v>
      </c>
      <c r="D24" s="217" t="s">
        <v>572</v>
      </c>
      <c r="E24" s="218" t="s">
        <v>573</v>
      </c>
      <c r="F24" s="55"/>
      <c r="G24" s="55"/>
      <c r="H24" s="55"/>
      <c r="I24" s="219"/>
      <c r="J24" s="220"/>
      <c r="K24" s="221"/>
      <c r="L24" s="221"/>
      <c r="M24" s="221"/>
      <c r="N24" s="221"/>
      <c r="O24" s="221"/>
    </row>
    <row r="25" spans="1:16" s="31" customFormat="1">
      <c r="A25" s="54" t="str" cm="1">
        <f t="array" aca="1" ref="A25" ca="1">_xlfn.LET(
_xlpm.確認観点2数, COUNTA($D$11:D25),
_xlpm.直近で確認観点2が空でないセルの行番号, MAX(INDEX((LEN($D$11:D25)&gt;0)*ROW($D$11:D25),0)),
_xlpm.確認観点3数, COUNTA(INDIRECT("E"&amp;_xlpm.直近で確認観点2が空でないセルの行番号):E25),
_xlpm.確認観点3数_空なら1,IF(_xlpm.確認観点3数=0,1,_xlpm.確認観点3数),
_xlpm.直近で確認観点3が空でないセルの行番号, MAX(INDEX((LEN($E$11:E25)&gt;0)*ROW($E$11:E25),0),_xlpm.直近で確認観点2が空でないセルの行番号),
_xlpm.テスト内容数, COUNTA(INDIRECT("I"&amp;_xlpm.直近で確認観点3が空でないセルの行番号):I25),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11-2-1</v>
      </c>
      <c r="B25" s="208"/>
      <c r="C25" s="222"/>
      <c r="D25" s="223"/>
      <c r="E25" s="218" t="s">
        <v>574</v>
      </c>
      <c r="F25" s="55"/>
      <c r="G25" s="55"/>
      <c r="H25" s="55"/>
      <c r="I25" s="219"/>
      <c r="J25" s="220"/>
      <c r="K25" s="221"/>
      <c r="L25" s="221"/>
      <c r="M25" s="221"/>
      <c r="N25" s="221"/>
      <c r="O25" s="221"/>
    </row>
    <row r="26" spans="1:16" s="31" customFormat="1" ht="22.5">
      <c r="A26" s="54" t="str" cm="1">
        <f t="array" aca="1" ref="A26" ca="1">_xlfn.LET(
_xlpm.確認観点2数, COUNTA($D$11:D26),
_xlpm.直近で確認観点2が空でないセルの行番号, MAX(INDEX((LEN($D$11:D26)&gt;0)*ROW($D$11:D26),0)),
_xlpm.確認観点3数, COUNTA(INDIRECT("E"&amp;_xlpm.直近で確認観点2が空でないセルの行番号):E26),
_xlpm.確認観点3数_空なら1,IF(_xlpm.確認観点3数=0,1,_xlpm.確認観点3数),
_xlpm.直近で確認観点3が空でないセルの行番号, MAX(INDEX((LEN($E$11:E26)&gt;0)*ROW($E$11:E26),0),_xlpm.直近で確認観点2が空でないセルの行番号),
_xlpm.テスト内容数, COUNTA(INDIRECT("I"&amp;_xlpm.直近で確認観点3が空でないセルの行番号):I26),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12-1-1</v>
      </c>
      <c r="B26" s="208"/>
      <c r="C26" s="208"/>
      <c r="D26" s="217" t="s">
        <v>575</v>
      </c>
      <c r="E26" s="218" t="s">
        <v>573</v>
      </c>
      <c r="F26" s="55"/>
      <c r="G26" s="55"/>
      <c r="H26" s="55"/>
      <c r="I26" s="219"/>
      <c r="J26" s="220"/>
      <c r="K26" s="221"/>
      <c r="L26" s="221"/>
      <c r="M26" s="221"/>
      <c r="N26" s="221"/>
      <c r="O26" s="221"/>
    </row>
    <row r="27" spans="1:16" s="31" customFormat="1">
      <c r="A27" s="54" t="str" cm="1">
        <f t="array" aca="1" ref="A27" ca="1">_xlfn.LET(
_xlpm.確認観点2数, COUNTA($D$11:D27),
_xlpm.直近で確認観点2が空でないセルの行番号, MAX(INDEX((LEN($D$11:D27)&gt;0)*ROW($D$11:D27),0)),
_xlpm.確認観点3数, COUNTA(INDIRECT("E"&amp;_xlpm.直近で確認観点2が空でないセルの行番号):E27),
_xlpm.確認観点3数_空なら1,IF(_xlpm.確認観点3数=0,1,_xlpm.確認観点3数),
_xlpm.直近で確認観点3が空でないセルの行番号, MAX(INDEX((LEN($E$11:E27)&gt;0)*ROW($E$11:E27),0),_xlpm.直近で確認観点2が空でないセルの行番号),
_xlpm.テスト内容数, COUNTA(INDIRECT("I"&amp;_xlpm.直近で確認観点3が空でないセルの行番号):I27),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12-2-1</v>
      </c>
      <c r="B27" s="208"/>
      <c r="C27" s="224"/>
      <c r="D27" s="224"/>
      <c r="E27" s="218" t="s">
        <v>574</v>
      </c>
      <c r="F27" s="55"/>
      <c r="G27" s="55"/>
      <c r="H27" s="55"/>
      <c r="I27" s="219"/>
      <c r="J27" s="220"/>
      <c r="K27" s="221"/>
      <c r="L27" s="221"/>
      <c r="M27" s="221"/>
      <c r="N27" s="221"/>
      <c r="O27" s="221"/>
    </row>
    <row r="28" spans="1:16" s="31" customFormat="1" ht="22.5">
      <c r="A28" s="54" t="str" cm="1">
        <f t="array" aca="1" ref="A28" ca="1">_xlfn.LET(
_xlpm.確認観点2数, COUNTA($D$11:D28),
_xlpm.直近で確認観点2が空でないセルの行番号, MAX(INDEX((LEN($D$11:D28)&gt;0)*ROW($D$11:D28),0)),
_xlpm.確認観点3数, COUNTA(INDIRECT("E"&amp;_xlpm.直近で確認観点2が空でないセルの行番号):E28),
_xlpm.確認観点3数_空なら1,IF(_xlpm.確認観点3数=0,1,_xlpm.確認観点3数),
_xlpm.直近で確認観点3が空でないセルの行番号, MAX(INDEX((LEN($E$11:E28)&gt;0)*ROW($E$11:E28),0),_xlpm.直近で確認観点2が空でないセルの行番号),
_xlpm.テスト内容数, COUNTA(INDIRECT("I"&amp;_xlpm.直近で確認観点3が空でないセルの行番号):I28),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13-1-1</v>
      </c>
      <c r="B28" s="169" t="s">
        <v>576</v>
      </c>
      <c r="C28" s="256" t="s">
        <v>577</v>
      </c>
      <c r="D28" s="225" t="s">
        <v>36</v>
      </c>
      <c r="E28" s="226"/>
      <c r="F28" s="157" t="s">
        <v>578</v>
      </c>
      <c r="G28" s="227"/>
      <c r="H28" s="161"/>
      <c r="I28" s="209"/>
      <c r="J28" s="209"/>
      <c r="K28" s="210"/>
      <c r="L28" s="212"/>
      <c r="M28" s="211"/>
      <c r="N28" s="211"/>
      <c r="O28" s="211"/>
    </row>
    <row r="29" spans="1:16" s="31" customFormat="1" ht="22.5">
      <c r="A29" s="54" t="str" cm="1">
        <f t="array" aca="1" ref="A29" ca="1">_xlfn.LET(
_xlpm.確認観点2数, COUNTA($D$11:D29),
_xlpm.直近で確認観点2が空でないセルの行番号, MAX(INDEX((LEN($D$11:D29)&gt;0)*ROW($D$11:D29),0)),
_xlpm.確認観点3数, COUNTA(INDIRECT("E"&amp;_xlpm.直近で確認観点2が空でないセルの行番号):E29),
_xlpm.確認観点3数_空なら1,IF(_xlpm.確認観点3数=0,1,_xlpm.確認観点3数),
_xlpm.直近で確認観点3が空でないセルの行番号, MAX(INDEX((LEN($E$11:E29)&gt;0)*ROW($E$11:E29),0),_xlpm.直近で確認観点2が空でないセルの行番号),
_xlpm.テスト内容数, COUNTA(INDIRECT("I"&amp;_xlpm.直近で確認観点3が空でないセルの行番号):I29),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14-1-1</v>
      </c>
      <c r="B29" s="228"/>
      <c r="C29" s="232" t="s">
        <v>579</v>
      </c>
      <c r="D29" s="229" t="s">
        <v>36</v>
      </c>
      <c r="E29" s="230"/>
      <c r="F29" s="157" t="s">
        <v>580</v>
      </c>
      <c r="G29" s="231"/>
      <c r="H29" s="231"/>
      <c r="I29" s="232"/>
      <c r="J29" s="232"/>
      <c r="K29" s="233"/>
      <c r="L29" s="235"/>
      <c r="M29" s="234"/>
      <c r="N29" s="234"/>
      <c r="O29" s="234"/>
    </row>
    <row r="30" spans="1:16" s="31" customFormat="1">
      <c r="D30" s="46"/>
      <c r="E30" s="46"/>
      <c r="F30" s="149"/>
    </row>
    <row r="31" spans="1:16" s="31" customFormat="1">
      <c r="D31" s="46"/>
      <c r="E31" s="46"/>
      <c r="F31" s="46"/>
    </row>
    <row r="32" spans="1:16" s="31" customFormat="1">
      <c r="D32" s="46"/>
      <c r="E32" s="46"/>
      <c r="F32" s="46"/>
    </row>
    <row r="33" spans="4:6" s="31" customFormat="1">
      <c r="D33" s="46"/>
      <c r="E33" s="46"/>
      <c r="F33" s="46"/>
    </row>
    <row r="34" spans="4:6" s="31" customFormat="1">
      <c r="D34" s="46"/>
      <c r="E34" s="46"/>
      <c r="F34" s="46"/>
    </row>
    <row r="35" spans="4:6" s="31" customFormat="1">
      <c r="D35" s="46"/>
      <c r="E35" s="46"/>
      <c r="F35" s="46"/>
    </row>
    <row r="36" spans="4:6" s="31" customFormat="1">
      <c r="D36" s="46"/>
      <c r="E36" s="46"/>
      <c r="F36" s="46"/>
    </row>
    <row r="37" spans="4:6" s="31" customFormat="1">
      <c r="D37" s="46"/>
      <c r="E37" s="46"/>
      <c r="F37" s="46"/>
    </row>
    <row r="38" spans="4:6" s="31" customFormat="1">
      <c r="D38" s="46"/>
      <c r="E38" s="46"/>
      <c r="F38" s="46"/>
    </row>
    <row r="39" spans="4:6" s="31" customFormat="1">
      <c r="D39" s="46"/>
      <c r="E39" s="46"/>
      <c r="F39" s="46"/>
    </row>
    <row r="40" spans="4:6" s="31" customFormat="1">
      <c r="D40" s="46"/>
      <c r="E40" s="46"/>
      <c r="F40" s="46"/>
    </row>
    <row r="41" spans="4:6" s="31" customFormat="1">
      <c r="D41" s="46"/>
      <c r="E41" s="46"/>
      <c r="F41" s="46"/>
    </row>
    <row r="42" spans="4:6" s="31" customFormat="1">
      <c r="D42" s="46"/>
      <c r="E42" s="46"/>
      <c r="F42" s="46"/>
    </row>
    <row r="43" spans="4:6" s="31" customFormat="1">
      <c r="D43" s="46"/>
      <c r="E43" s="46"/>
      <c r="F43" s="46"/>
    </row>
    <row r="44" spans="4:6" s="31" customFormat="1">
      <c r="D44" s="46"/>
      <c r="E44" s="46"/>
      <c r="F44" s="46"/>
    </row>
    <row r="45" spans="4:6" s="31" customFormat="1">
      <c r="D45" s="46"/>
      <c r="E45" s="46"/>
      <c r="F45" s="46"/>
    </row>
    <row r="46" spans="4:6">
      <c r="F46" s="46"/>
    </row>
    <row r="47" spans="4:6">
      <c r="F47" s="46"/>
    </row>
    <row r="48" spans="4:6">
      <c r="F48" s="46"/>
    </row>
    <row r="49" spans="6:6">
      <c r="F49" s="46"/>
    </row>
    <row r="50" spans="6:6">
      <c r="F50" s="46"/>
    </row>
    <row r="51" spans="6:6">
      <c r="F51" s="46"/>
    </row>
    <row r="52" spans="6:6">
      <c r="F52" s="46"/>
    </row>
    <row r="53" spans="6:6">
      <c r="F53" s="46"/>
    </row>
    <row r="54" spans="6:6">
      <c r="F54" s="46"/>
    </row>
    <row r="55" spans="6:6">
      <c r="F55" s="46"/>
    </row>
    <row r="56" spans="6:6">
      <c r="F56" s="46"/>
    </row>
    <row r="57" spans="6:6">
      <c r="F57" s="46"/>
    </row>
    <row r="58" spans="6:6">
      <c r="F58" s="46"/>
    </row>
    <row r="59" spans="6:6">
      <c r="F59" s="46"/>
    </row>
    <row r="60" spans="6:6">
      <c r="F60" s="46"/>
    </row>
    <row r="61" spans="6:6">
      <c r="F61" s="46"/>
    </row>
    <row r="62" spans="6:6">
      <c r="F62" s="46"/>
    </row>
    <row r="63" spans="6:6">
      <c r="F63" s="46"/>
    </row>
    <row r="64" spans="6:6">
      <c r="F64" s="46"/>
    </row>
    <row r="65" spans="6:6">
      <c r="F65" s="46"/>
    </row>
    <row r="66" spans="6:6">
      <c r="F66" s="46"/>
    </row>
    <row r="67" spans="6:6">
      <c r="F67" s="46"/>
    </row>
    <row r="68" spans="6:6">
      <c r="F68" s="46"/>
    </row>
    <row r="69" spans="6:6">
      <c r="F69" s="46"/>
    </row>
    <row r="70" spans="6:6">
      <c r="F70" s="46"/>
    </row>
    <row r="71" spans="6:6">
      <c r="F71" s="46"/>
    </row>
    <row r="72" spans="6:6">
      <c r="F72" s="46"/>
    </row>
    <row r="73" spans="6:6">
      <c r="F73" s="46"/>
    </row>
    <row r="74" spans="6:6">
      <c r="F74" s="46"/>
    </row>
    <row r="75" spans="6:6">
      <c r="F75" s="46"/>
    </row>
    <row r="76" spans="6:6">
      <c r="F76" s="46"/>
    </row>
    <row r="77" spans="6:6">
      <c r="F77" s="46"/>
    </row>
    <row r="78" spans="6:6">
      <c r="F78" s="46"/>
    </row>
    <row r="79" spans="6:6">
      <c r="F79" s="46"/>
    </row>
    <row r="80" spans="6:6">
      <c r="F80" s="46"/>
    </row>
    <row r="81" spans="6:6">
      <c r="F81" s="46"/>
    </row>
    <row r="82" spans="6:6">
      <c r="F82" s="46"/>
    </row>
    <row r="83" spans="6:6">
      <c r="F83" s="46"/>
    </row>
    <row r="84" spans="6:6">
      <c r="F84" s="46"/>
    </row>
    <row r="85" spans="6:6">
      <c r="F85" s="46"/>
    </row>
    <row r="86" spans="6:6">
      <c r="F86" s="46"/>
    </row>
    <row r="87" spans="6:6">
      <c r="F87" s="46"/>
    </row>
    <row r="88" spans="6:6">
      <c r="F88" s="46"/>
    </row>
    <row r="89" spans="6:6">
      <c r="F89" s="46"/>
    </row>
    <row r="90" spans="6:6">
      <c r="F90" s="46"/>
    </row>
    <row r="91" spans="6:6">
      <c r="F91" s="46"/>
    </row>
    <row r="92" spans="6:6">
      <c r="F92" s="46"/>
    </row>
    <row r="93" spans="6:6">
      <c r="F93" s="46"/>
    </row>
    <row r="94" spans="6:6">
      <c r="F94" s="46"/>
    </row>
    <row r="95" spans="6:6">
      <c r="F95" s="46"/>
    </row>
    <row r="96" spans="6:6">
      <c r="F96" s="46"/>
    </row>
    <row r="97" spans="6:6">
      <c r="F97" s="46"/>
    </row>
    <row r="98" spans="6:6">
      <c r="F98" s="46"/>
    </row>
    <row r="99" spans="6:6">
      <c r="F99" s="46"/>
    </row>
    <row r="100" spans="6:6">
      <c r="F100" s="46"/>
    </row>
    <row r="101" spans="6:6">
      <c r="F101" s="46"/>
    </row>
    <row r="102" spans="6:6">
      <c r="F102" s="46"/>
    </row>
    <row r="103" spans="6:6">
      <c r="F103" s="46"/>
    </row>
    <row r="104" spans="6:6">
      <c r="F104" s="46"/>
    </row>
    <row r="105" spans="6:6">
      <c r="F105" s="46"/>
    </row>
    <row r="106" spans="6:6">
      <c r="F106" s="46"/>
    </row>
    <row r="107" spans="6:6">
      <c r="F107" s="46"/>
    </row>
    <row r="108" spans="6:6">
      <c r="F108" s="46"/>
    </row>
    <row r="109" spans="6:6">
      <c r="F109" s="46"/>
    </row>
    <row r="110" spans="6:6">
      <c r="F110" s="46"/>
    </row>
    <row r="111" spans="6:6">
      <c r="F111" s="46"/>
    </row>
    <row r="112" spans="6:6">
      <c r="F112" s="46"/>
    </row>
    <row r="113" spans="6:6">
      <c r="F113" s="46"/>
    </row>
    <row r="114" spans="6:6">
      <c r="F114" s="46"/>
    </row>
    <row r="115" spans="6:6">
      <c r="F115" s="46"/>
    </row>
    <row r="116" spans="6:6">
      <c r="F116" s="46"/>
    </row>
    <row r="117" spans="6:6">
      <c r="F117" s="46"/>
    </row>
    <row r="118" spans="6:6">
      <c r="F118" s="46"/>
    </row>
    <row r="119" spans="6:6">
      <c r="F119" s="46"/>
    </row>
    <row r="120" spans="6:6">
      <c r="F120" s="46"/>
    </row>
    <row r="121" spans="6:6">
      <c r="F121" s="46"/>
    </row>
    <row r="122" spans="6:6">
      <c r="F122" s="46"/>
    </row>
    <row r="123" spans="6:6">
      <c r="F123" s="46"/>
    </row>
    <row r="124" spans="6:6">
      <c r="F124" s="46"/>
    </row>
    <row r="125" spans="6:6">
      <c r="F125" s="46"/>
    </row>
    <row r="126" spans="6:6">
      <c r="F126" s="46"/>
    </row>
    <row r="127" spans="6:6">
      <c r="F127" s="46"/>
    </row>
    <row r="128" spans="6:6">
      <c r="F128" s="46"/>
    </row>
    <row r="129" spans="6:6">
      <c r="F129" s="46"/>
    </row>
    <row r="130" spans="6:6">
      <c r="F130" s="46"/>
    </row>
    <row r="131" spans="6:6">
      <c r="F131" s="46"/>
    </row>
    <row r="132" spans="6:6">
      <c r="F132" s="46"/>
    </row>
    <row r="133" spans="6:6">
      <c r="F133" s="46"/>
    </row>
    <row r="134" spans="6:6">
      <c r="F134" s="46"/>
    </row>
    <row r="135" spans="6:6">
      <c r="F135" s="46"/>
    </row>
    <row r="136" spans="6:6">
      <c r="F136" s="46"/>
    </row>
    <row r="137" spans="6:6">
      <c r="F137" s="46"/>
    </row>
    <row r="138" spans="6:6">
      <c r="F138" s="46"/>
    </row>
    <row r="139" spans="6:6">
      <c r="F139" s="46"/>
    </row>
    <row r="140" spans="6:6">
      <c r="F140" s="46"/>
    </row>
    <row r="141" spans="6:6">
      <c r="F141" s="46"/>
    </row>
    <row r="142" spans="6:6">
      <c r="F142" s="46"/>
    </row>
    <row r="143" spans="6:6">
      <c r="F143" s="46"/>
    </row>
    <row r="144" spans="6:6">
      <c r="F144" s="46"/>
    </row>
    <row r="145" spans="6:6">
      <c r="F145" s="46"/>
    </row>
    <row r="146" spans="6:6">
      <c r="F146" s="46"/>
    </row>
    <row r="147" spans="6:6">
      <c r="F147" s="46"/>
    </row>
    <row r="148" spans="6:6">
      <c r="F148" s="46"/>
    </row>
    <row r="149" spans="6:6">
      <c r="F149" s="46"/>
    </row>
    <row r="150" spans="6:6">
      <c r="F150" s="46"/>
    </row>
    <row r="151" spans="6:6">
      <c r="F151" s="46"/>
    </row>
    <row r="152" spans="6:6">
      <c r="F152" s="46"/>
    </row>
    <row r="153" spans="6:6">
      <c r="F153" s="46"/>
    </row>
    <row r="154" spans="6:6">
      <c r="F154" s="46"/>
    </row>
    <row r="155" spans="6:6">
      <c r="F155" s="46"/>
    </row>
    <row r="156" spans="6:6">
      <c r="F156" s="46"/>
    </row>
    <row r="157" spans="6:6">
      <c r="F157" s="46"/>
    </row>
    <row r="158" spans="6:6">
      <c r="F158" s="46"/>
    </row>
    <row r="159" spans="6:6">
      <c r="F159" s="46"/>
    </row>
    <row r="160" spans="6:6">
      <c r="F160" s="46"/>
    </row>
    <row r="161" spans="6:6">
      <c r="F161" s="46"/>
    </row>
    <row r="162" spans="6:6">
      <c r="F162" s="46"/>
    </row>
    <row r="163" spans="6:6">
      <c r="F163" s="46"/>
    </row>
    <row r="164" spans="6:6">
      <c r="F164" s="46"/>
    </row>
    <row r="165" spans="6:6">
      <c r="F165" s="46"/>
    </row>
    <row r="166" spans="6:6">
      <c r="F166" s="46"/>
    </row>
    <row r="167" spans="6:6">
      <c r="F167" s="46"/>
    </row>
    <row r="168" spans="6:6">
      <c r="F168" s="46"/>
    </row>
    <row r="169" spans="6:6">
      <c r="F169" s="46"/>
    </row>
    <row r="170" spans="6:6">
      <c r="F170" s="46"/>
    </row>
    <row r="171" spans="6:6">
      <c r="F171" s="46"/>
    </row>
    <row r="172" spans="6:6">
      <c r="F172" s="46"/>
    </row>
    <row r="173" spans="6:6">
      <c r="F173" s="46"/>
    </row>
    <row r="174" spans="6:6">
      <c r="F174" s="46"/>
    </row>
    <row r="175" spans="6:6">
      <c r="F175" s="46"/>
    </row>
    <row r="176" spans="6:6">
      <c r="F176" s="46"/>
    </row>
    <row r="177" spans="6:6">
      <c r="F177" s="46"/>
    </row>
    <row r="178" spans="6:6">
      <c r="F178" s="46"/>
    </row>
    <row r="179" spans="6:6">
      <c r="F179" s="46"/>
    </row>
    <row r="180" spans="6:6">
      <c r="F180" s="46"/>
    </row>
    <row r="181" spans="6:6">
      <c r="F181" s="46"/>
    </row>
    <row r="182" spans="6:6">
      <c r="F182" s="46"/>
    </row>
    <row r="183" spans="6:6">
      <c r="F183" s="46"/>
    </row>
    <row r="184" spans="6:6">
      <c r="F184" s="46"/>
    </row>
    <row r="185" spans="6:6">
      <c r="F185" s="46"/>
    </row>
    <row r="186" spans="6:6">
      <c r="F186" s="46"/>
    </row>
    <row r="187" spans="6:6">
      <c r="F187" s="46"/>
    </row>
    <row r="188" spans="6:6">
      <c r="F188" s="46"/>
    </row>
    <row r="189" spans="6:6">
      <c r="F189" s="46"/>
    </row>
    <row r="190" spans="6:6">
      <c r="F190" s="46"/>
    </row>
    <row r="191" spans="6:6">
      <c r="F191" s="46"/>
    </row>
    <row r="192" spans="6:6">
      <c r="F192" s="46"/>
    </row>
    <row r="193" spans="6:6">
      <c r="F193" s="46"/>
    </row>
    <row r="194" spans="6:6">
      <c r="F194" s="46"/>
    </row>
    <row r="195" spans="6:6">
      <c r="F195" s="46"/>
    </row>
    <row r="196" spans="6:6">
      <c r="F196" s="46"/>
    </row>
    <row r="197" spans="6:6">
      <c r="F197" s="46"/>
    </row>
    <row r="198" spans="6:6">
      <c r="F198" s="46"/>
    </row>
    <row r="199" spans="6:6">
      <c r="F199" s="46"/>
    </row>
    <row r="200" spans="6:6">
      <c r="F200" s="46"/>
    </row>
    <row r="201" spans="6:6">
      <c r="F201" s="46"/>
    </row>
    <row r="202" spans="6:6">
      <c r="F202" s="46"/>
    </row>
    <row r="203" spans="6:6">
      <c r="F203" s="46"/>
    </row>
    <row r="204" spans="6:6">
      <c r="F204" s="46"/>
    </row>
    <row r="205" spans="6:6">
      <c r="F205" s="46"/>
    </row>
    <row r="206" spans="6:6">
      <c r="F206" s="46"/>
    </row>
    <row r="207" spans="6:6">
      <c r="F207" s="46"/>
    </row>
    <row r="208" spans="6:6">
      <c r="F208" s="46"/>
    </row>
    <row r="209" spans="6:6">
      <c r="F209" s="46"/>
    </row>
    <row r="210" spans="6:6">
      <c r="F210" s="46"/>
    </row>
    <row r="211" spans="6:6">
      <c r="F211" s="46"/>
    </row>
    <row r="212" spans="6:6">
      <c r="F212" s="46"/>
    </row>
    <row r="213" spans="6:6">
      <c r="F213" s="46"/>
    </row>
    <row r="214" spans="6:6">
      <c r="F214" s="46"/>
    </row>
    <row r="215" spans="6:6">
      <c r="F215" s="46"/>
    </row>
    <row r="216" spans="6:6">
      <c r="F216" s="46"/>
    </row>
    <row r="217" spans="6:6">
      <c r="F217" s="46"/>
    </row>
    <row r="218" spans="6:6">
      <c r="F218" s="46"/>
    </row>
    <row r="219" spans="6:6">
      <c r="F219" s="46"/>
    </row>
    <row r="220" spans="6:6">
      <c r="F220" s="46"/>
    </row>
    <row r="221" spans="6:6">
      <c r="F221" s="46"/>
    </row>
    <row r="222" spans="6:6">
      <c r="F222" s="46"/>
    </row>
    <row r="223" spans="6:6">
      <c r="F223" s="46"/>
    </row>
    <row r="224" spans="6:6">
      <c r="F224" s="46"/>
    </row>
    <row r="225" spans="6:6">
      <c r="F225" s="46"/>
    </row>
    <row r="226" spans="6:6">
      <c r="F226" s="46"/>
    </row>
    <row r="227" spans="6:6">
      <c r="F227" s="46"/>
    </row>
    <row r="228" spans="6:6">
      <c r="F228" s="46"/>
    </row>
    <row r="229" spans="6:6">
      <c r="F229" s="46"/>
    </row>
    <row r="230" spans="6:6">
      <c r="F230" s="46"/>
    </row>
    <row r="231" spans="6:6">
      <c r="F231" s="46"/>
    </row>
    <row r="232" spans="6:6">
      <c r="F232" s="46"/>
    </row>
    <row r="233" spans="6:6">
      <c r="F233" s="46"/>
    </row>
    <row r="234" spans="6:6">
      <c r="F234" s="46"/>
    </row>
    <row r="235" spans="6:6">
      <c r="F235" s="46"/>
    </row>
    <row r="236" spans="6:6">
      <c r="F236" s="46"/>
    </row>
    <row r="237" spans="6:6">
      <c r="F237" s="46"/>
    </row>
    <row r="238" spans="6:6">
      <c r="F238" s="46"/>
    </row>
    <row r="239" spans="6:6">
      <c r="F239" s="46"/>
    </row>
    <row r="240" spans="6:6">
      <c r="F240" s="46"/>
    </row>
    <row r="241" spans="6:6">
      <c r="F241" s="46"/>
    </row>
    <row r="242" spans="6:6">
      <c r="F242" s="46"/>
    </row>
    <row r="243" spans="6:6">
      <c r="F243" s="46"/>
    </row>
    <row r="244" spans="6:6">
      <c r="F244" s="46"/>
    </row>
    <row r="245" spans="6:6">
      <c r="F245" s="46"/>
    </row>
    <row r="246" spans="6:6">
      <c r="F246" s="46"/>
    </row>
    <row r="247" spans="6:6">
      <c r="F247" s="46"/>
    </row>
    <row r="248" spans="6:6">
      <c r="F248" s="46"/>
    </row>
    <row r="249" spans="6:6">
      <c r="F249" s="46"/>
    </row>
    <row r="250" spans="6:6">
      <c r="F250" s="46"/>
    </row>
    <row r="251" spans="6:6">
      <c r="F251" s="46"/>
    </row>
    <row r="252" spans="6:6">
      <c r="F252" s="46"/>
    </row>
    <row r="253" spans="6:6">
      <c r="F253" s="46"/>
    </row>
    <row r="254" spans="6:6">
      <c r="F254" s="46"/>
    </row>
    <row r="255" spans="6:6">
      <c r="F255" s="46"/>
    </row>
    <row r="256" spans="6:6">
      <c r="F256" s="46"/>
    </row>
    <row r="257" spans="6:6">
      <c r="F257" s="46"/>
    </row>
    <row r="258" spans="6:6">
      <c r="F258" s="46"/>
    </row>
    <row r="259" spans="6:6">
      <c r="F259" s="46"/>
    </row>
    <row r="260" spans="6:6">
      <c r="F260" s="46"/>
    </row>
    <row r="261" spans="6:6">
      <c r="F261" s="46"/>
    </row>
    <row r="262" spans="6:6">
      <c r="F262" s="46"/>
    </row>
    <row r="263" spans="6:6">
      <c r="F263" s="46"/>
    </row>
    <row r="264" spans="6:6">
      <c r="F264" s="46"/>
    </row>
    <row r="265" spans="6:6">
      <c r="F265" s="46"/>
    </row>
    <row r="266" spans="6:6">
      <c r="F266" s="46"/>
    </row>
    <row r="267" spans="6:6">
      <c r="F267" s="46"/>
    </row>
    <row r="268" spans="6:6">
      <c r="F268" s="46"/>
    </row>
    <row r="269" spans="6:6">
      <c r="F269" s="46"/>
    </row>
    <row r="270" spans="6:6">
      <c r="F270" s="46"/>
    </row>
    <row r="271" spans="6:6">
      <c r="F271" s="46"/>
    </row>
    <row r="272" spans="6:6">
      <c r="F272" s="46"/>
    </row>
    <row r="273" spans="6:6">
      <c r="F273" s="46"/>
    </row>
    <row r="274" spans="6:6">
      <c r="F274" s="46"/>
    </row>
    <row r="275" spans="6:6">
      <c r="F275" s="46"/>
    </row>
    <row r="276" spans="6:6">
      <c r="F276" s="46"/>
    </row>
    <row r="277" spans="6:6">
      <c r="F277" s="46"/>
    </row>
    <row r="278" spans="6:6">
      <c r="F278" s="46"/>
    </row>
    <row r="279" spans="6:6">
      <c r="F279" s="46"/>
    </row>
    <row r="280" spans="6:6">
      <c r="F280" s="46"/>
    </row>
    <row r="281" spans="6:6">
      <c r="F281" s="46"/>
    </row>
    <row r="282" spans="6:6">
      <c r="F282" s="46"/>
    </row>
    <row r="283" spans="6:6">
      <c r="F283" s="46"/>
    </row>
    <row r="284" spans="6:6">
      <c r="F284" s="46"/>
    </row>
    <row r="285" spans="6:6">
      <c r="F285" s="46"/>
    </row>
    <row r="286" spans="6:6">
      <c r="F286" s="46"/>
    </row>
    <row r="287" spans="6:6">
      <c r="F287" s="46"/>
    </row>
    <row r="288" spans="6:6">
      <c r="F288" s="46"/>
    </row>
    <row r="289" spans="6:6">
      <c r="F289" s="46"/>
    </row>
    <row r="290" spans="6:6">
      <c r="F290" s="46"/>
    </row>
    <row r="291" spans="6:6">
      <c r="F291" s="46"/>
    </row>
    <row r="292" spans="6:6">
      <c r="F292" s="46"/>
    </row>
    <row r="293" spans="6:6">
      <c r="F293" s="46"/>
    </row>
    <row r="294" spans="6:6">
      <c r="F294" s="46"/>
    </row>
    <row r="295" spans="6:6">
      <c r="F295" s="46"/>
    </row>
    <row r="296" spans="6:6">
      <c r="F296" s="46"/>
    </row>
    <row r="297" spans="6:6">
      <c r="F297" s="46"/>
    </row>
    <row r="298" spans="6:6">
      <c r="F298" s="46"/>
    </row>
    <row r="299" spans="6:6">
      <c r="F299" s="46"/>
    </row>
    <row r="300" spans="6:6">
      <c r="F300" s="46"/>
    </row>
    <row r="301" spans="6:6">
      <c r="F301" s="46"/>
    </row>
    <row r="302" spans="6:6">
      <c r="F302" s="46"/>
    </row>
    <row r="303" spans="6:6">
      <c r="F303" s="46"/>
    </row>
    <row r="304" spans="6:6">
      <c r="F304" s="46"/>
    </row>
    <row r="305" spans="6:6">
      <c r="F305" s="46"/>
    </row>
    <row r="306" spans="6:6">
      <c r="F306" s="46"/>
    </row>
    <row r="307" spans="6:6">
      <c r="F307" s="46"/>
    </row>
    <row r="308" spans="6:6">
      <c r="F308" s="46"/>
    </row>
    <row r="309" spans="6:6">
      <c r="F309" s="46"/>
    </row>
    <row r="310" spans="6:6">
      <c r="F310" s="46"/>
    </row>
    <row r="311" spans="6:6">
      <c r="F311" s="46"/>
    </row>
    <row r="312" spans="6:6">
      <c r="F312" s="46"/>
    </row>
    <row r="313" spans="6:6">
      <c r="F313" s="46"/>
    </row>
    <row r="314" spans="6:6">
      <c r="F314" s="46"/>
    </row>
    <row r="315" spans="6:6">
      <c r="F315" s="46"/>
    </row>
    <row r="316" spans="6:6">
      <c r="F316" s="46"/>
    </row>
    <row r="317" spans="6:6">
      <c r="F317" s="46"/>
    </row>
    <row r="318" spans="6:6">
      <c r="F318" s="46"/>
    </row>
    <row r="319" spans="6:6">
      <c r="F319" s="46"/>
    </row>
    <row r="320" spans="6:6">
      <c r="F320" s="46"/>
    </row>
    <row r="321" spans="6:6">
      <c r="F321" s="46"/>
    </row>
    <row r="322" spans="6:6">
      <c r="F322" s="46"/>
    </row>
    <row r="323" spans="6:6">
      <c r="F323" s="46"/>
    </row>
    <row r="324" spans="6:6">
      <c r="F324" s="46"/>
    </row>
    <row r="325" spans="6:6">
      <c r="F325" s="46"/>
    </row>
    <row r="326" spans="6:6">
      <c r="F326" s="46"/>
    </row>
    <row r="327" spans="6:6">
      <c r="F327" s="46"/>
    </row>
    <row r="328" spans="6:6">
      <c r="F328" s="46"/>
    </row>
    <row r="329" spans="6:6">
      <c r="F329" s="46"/>
    </row>
    <row r="330" spans="6:6">
      <c r="F330" s="46"/>
    </row>
    <row r="331" spans="6:6">
      <c r="F331" s="46"/>
    </row>
    <row r="332" spans="6:6">
      <c r="F332" s="46"/>
    </row>
    <row r="333" spans="6:6">
      <c r="F333" s="46"/>
    </row>
    <row r="334" spans="6:6">
      <c r="F334" s="46"/>
    </row>
    <row r="335" spans="6:6">
      <c r="F335" s="46"/>
    </row>
    <row r="336" spans="6:6">
      <c r="F336" s="46"/>
    </row>
    <row r="337" spans="6:6">
      <c r="F337" s="46"/>
    </row>
    <row r="338" spans="6:6">
      <c r="F338" s="46"/>
    </row>
    <row r="339" spans="6:6">
      <c r="F339" s="46"/>
    </row>
    <row r="340" spans="6:6">
      <c r="F340" s="46"/>
    </row>
    <row r="341" spans="6:6">
      <c r="F341" s="46"/>
    </row>
    <row r="342" spans="6:6">
      <c r="F342" s="46"/>
    </row>
    <row r="343" spans="6:6">
      <c r="F343" s="46"/>
    </row>
    <row r="344" spans="6:6">
      <c r="F344" s="46"/>
    </row>
    <row r="345" spans="6:6">
      <c r="F345" s="46"/>
    </row>
    <row r="346" spans="6:6">
      <c r="F346" s="46"/>
    </row>
    <row r="347" spans="6:6">
      <c r="F347" s="46"/>
    </row>
    <row r="348" spans="6:6">
      <c r="F348" s="46"/>
    </row>
    <row r="349" spans="6:6">
      <c r="F349" s="46"/>
    </row>
    <row r="350" spans="6:6">
      <c r="F350" s="46"/>
    </row>
    <row r="351" spans="6:6">
      <c r="F351" s="46"/>
    </row>
    <row r="352" spans="6:6">
      <c r="F352" s="46"/>
    </row>
    <row r="353" spans="6:6">
      <c r="F353" s="46"/>
    </row>
    <row r="354" spans="6:6">
      <c r="F354" s="46"/>
    </row>
    <row r="355" spans="6:6">
      <c r="F355" s="46"/>
    </row>
    <row r="356" spans="6:6">
      <c r="F356" s="46"/>
    </row>
    <row r="357" spans="6:6">
      <c r="F357" s="46"/>
    </row>
    <row r="358" spans="6:6">
      <c r="F358" s="46"/>
    </row>
    <row r="359" spans="6:6">
      <c r="F359" s="46"/>
    </row>
    <row r="360" spans="6:6">
      <c r="F360" s="46"/>
    </row>
    <row r="361" spans="6:6">
      <c r="F361" s="46"/>
    </row>
    <row r="362" spans="6:6">
      <c r="F362" s="46"/>
    </row>
    <row r="363" spans="6:6">
      <c r="F363" s="46"/>
    </row>
    <row r="364" spans="6:6">
      <c r="F364" s="46"/>
    </row>
    <row r="365" spans="6:6">
      <c r="F365" s="46"/>
    </row>
    <row r="366" spans="6:6">
      <c r="F366" s="46"/>
    </row>
    <row r="367" spans="6:6">
      <c r="F367" s="46"/>
    </row>
    <row r="368" spans="6:6">
      <c r="F368" s="46"/>
    </row>
    <row r="369" spans="5:6">
      <c r="F369" s="46"/>
    </row>
    <row r="370" spans="5:6">
      <c r="F370" s="46"/>
    </row>
    <row r="371" spans="5:6">
      <c r="F371" s="46"/>
    </row>
    <row r="372" spans="5:6">
      <c r="F372" s="46"/>
    </row>
    <row r="373" spans="5:6">
      <c r="F373" s="46"/>
    </row>
    <row r="374" spans="5:6">
      <c r="F374" s="46"/>
    </row>
    <row r="375" spans="5:6">
      <c r="F375" s="46"/>
    </row>
    <row r="376" spans="5:6">
      <c r="F376" s="46"/>
    </row>
    <row r="377" spans="5:6">
      <c r="F377" s="46"/>
    </row>
    <row r="378" spans="5:6">
      <c r="F378" s="46"/>
    </row>
    <row r="379" spans="5:6">
      <c r="E379" s="25"/>
      <c r="F379" s="25"/>
    </row>
    <row r="380" spans="5:6">
      <c r="E380" s="25"/>
      <c r="F380" s="25"/>
    </row>
    <row r="381" spans="5:6">
      <c r="E381" s="25"/>
      <c r="F381" s="25"/>
    </row>
    <row r="382" spans="5:6">
      <c r="E382" s="25"/>
      <c r="F382" s="25"/>
    </row>
    <row r="383" spans="5:6">
      <c r="E383" s="25"/>
      <c r="F383" s="25"/>
    </row>
    <row r="384" spans="5:6">
      <c r="E384" s="25"/>
      <c r="F384" s="25"/>
    </row>
    <row r="385" spans="5:6">
      <c r="E385" s="25"/>
      <c r="F385" s="25"/>
    </row>
    <row r="386" spans="5:6">
      <c r="E386" s="25"/>
      <c r="F386" s="25"/>
    </row>
    <row r="387" spans="5:6">
      <c r="E387" s="25"/>
      <c r="F387" s="25"/>
    </row>
    <row r="388" spans="5:6">
      <c r="E388" s="25"/>
      <c r="F388" s="25"/>
    </row>
    <row r="389" spans="5:6">
      <c r="E389" s="25"/>
      <c r="F389" s="25"/>
    </row>
    <row r="390" spans="5:6">
      <c r="E390" s="25"/>
      <c r="F390" s="25"/>
    </row>
    <row r="391" spans="5:6">
      <c r="E391" s="25"/>
      <c r="F391" s="25"/>
    </row>
    <row r="392" spans="5:6">
      <c r="E392" s="25"/>
      <c r="F392" s="25"/>
    </row>
    <row r="393" spans="5:6">
      <c r="E393" s="25"/>
      <c r="F393" s="25"/>
    </row>
    <row r="394" spans="5:6">
      <c r="E394" s="25"/>
      <c r="F394" s="25"/>
    </row>
    <row r="395" spans="5:6">
      <c r="E395" s="25"/>
      <c r="F395" s="25"/>
    </row>
    <row r="396" spans="5:6">
      <c r="E396" s="25"/>
      <c r="F396" s="25"/>
    </row>
    <row r="397" spans="5:6">
      <c r="E397" s="25"/>
      <c r="F397" s="25"/>
    </row>
    <row r="398" spans="5:6">
      <c r="E398" s="25"/>
      <c r="F398" s="25"/>
    </row>
    <row r="399" spans="5:6">
      <c r="E399" s="25"/>
      <c r="F399" s="25"/>
    </row>
    <row r="400" spans="5:6">
      <c r="E400" s="25"/>
      <c r="F400" s="25"/>
    </row>
    <row r="401" spans="5:6">
      <c r="E401" s="25"/>
      <c r="F401" s="25"/>
    </row>
    <row r="402" spans="5:6">
      <c r="E402" s="25"/>
      <c r="F402" s="25"/>
    </row>
    <row r="403" spans="5:6">
      <c r="E403" s="25"/>
      <c r="F403" s="25"/>
    </row>
    <row r="404" spans="5:6">
      <c r="E404" s="25"/>
      <c r="F404" s="25"/>
    </row>
    <row r="405" spans="5:6">
      <c r="E405" s="25"/>
      <c r="F405" s="25"/>
    </row>
    <row r="406" spans="5:6">
      <c r="E406" s="25"/>
      <c r="F406" s="25"/>
    </row>
    <row r="407" spans="5:6">
      <c r="E407" s="25"/>
      <c r="F407" s="25"/>
    </row>
    <row r="408" spans="5:6">
      <c r="E408" s="25"/>
      <c r="F408" s="25"/>
    </row>
    <row r="409" spans="5:6">
      <c r="E409" s="25"/>
      <c r="F409" s="25"/>
    </row>
    <row r="410" spans="5:6">
      <c r="E410" s="25"/>
      <c r="F410" s="25"/>
    </row>
    <row r="411" spans="5:6">
      <c r="E411" s="25"/>
      <c r="F411" s="25"/>
    </row>
    <row r="412" spans="5:6">
      <c r="E412" s="25"/>
      <c r="F412" s="25"/>
    </row>
    <row r="413" spans="5:6">
      <c r="E413" s="25"/>
      <c r="F413" s="25"/>
    </row>
    <row r="414" spans="5:6">
      <c r="E414" s="25"/>
      <c r="F414" s="25"/>
    </row>
    <row r="415" spans="5:6">
      <c r="E415" s="25"/>
      <c r="F415" s="25"/>
    </row>
    <row r="416" spans="5:6">
      <c r="E416" s="25"/>
      <c r="F416" s="25"/>
    </row>
    <row r="417" spans="5:6">
      <c r="E417" s="25"/>
      <c r="F417" s="25"/>
    </row>
    <row r="418" spans="5:6">
      <c r="E418" s="25"/>
      <c r="F418" s="25"/>
    </row>
    <row r="419" spans="5:6">
      <c r="E419" s="25"/>
      <c r="F419" s="25"/>
    </row>
    <row r="420" spans="5:6">
      <c r="E420" s="25"/>
      <c r="F420" s="25"/>
    </row>
    <row r="421" spans="5:6">
      <c r="E421" s="25"/>
      <c r="F421" s="25"/>
    </row>
    <row r="422" spans="5:6">
      <c r="E422" s="25"/>
      <c r="F422" s="25"/>
    </row>
    <row r="423" spans="5:6">
      <c r="E423" s="25"/>
      <c r="F423" s="25"/>
    </row>
    <row r="424" spans="5:6">
      <c r="E424" s="25"/>
      <c r="F424" s="25"/>
    </row>
    <row r="425" spans="5:6">
      <c r="E425" s="25"/>
      <c r="F425" s="25"/>
    </row>
    <row r="426" spans="5:6">
      <c r="E426" s="25"/>
      <c r="F426" s="25"/>
    </row>
    <row r="427" spans="5:6">
      <c r="E427" s="25"/>
      <c r="F427" s="25"/>
    </row>
    <row r="428" spans="5:6">
      <c r="E428" s="25"/>
      <c r="F428" s="25"/>
    </row>
    <row r="429" spans="5:6">
      <c r="E429" s="25"/>
      <c r="F429" s="25"/>
    </row>
    <row r="430" spans="5:6">
      <c r="E430" s="25"/>
      <c r="F430" s="25"/>
    </row>
    <row r="431" spans="5:6">
      <c r="E431" s="25"/>
      <c r="F431" s="25"/>
    </row>
    <row r="432" spans="5:6">
      <c r="E432" s="25"/>
      <c r="F432" s="25"/>
    </row>
    <row r="433" spans="5:6">
      <c r="E433" s="25"/>
      <c r="F433" s="25"/>
    </row>
    <row r="434" spans="5:6">
      <c r="E434" s="25"/>
      <c r="F434" s="25"/>
    </row>
    <row r="435" spans="5:6">
      <c r="E435" s="25"/>
      <c r="F435" s="25"/>
    </row>
    <row r="436" spans="5:6">
      <c r="E436" s="25"/>
      <c r="F436" s="25"/>
    </row>
    <row r="437" spans="5:6">
      <c r="E437" s="25"/>
      <c r="F437" s="25"/>
    </row>
    <row r="438" spans="5:6">
      <c r="E438" s="25"/>
      <c r="F438" s="25"/>
    </row>
    <row r="439" spans="5:6">
      <c r="E439" s="25"/>
      <c r="F439" s="25"/>
    </row>
    <row r="440" spans="5:6">
      <c r="E440" s="25"/>
      <c r="F440" s="25"/>
    </row>
    <row r="441" spans="5:6">
      <c r="E441" s="25"/>
      <c r="F441" s="25"/>
    </row>
    <row r="442" spans="5:6">
      <c r="E442" s="25"/>
      <c r="F442" s="25"/>
    </row>
    <row r="443" spans="5:6">
      <c r="E443" s="25"/>
      <c r="F443" s="25"/>
    </row>
    <row r="444" spans="5:6">
      <c r="E444" s="25"/>
      <c r="F444" s="25"/>
    </row>
    <row r="445" spans="5:6">
      <c r="E445" s="25"/>
      <c r="F445" s="25"/>
    </row>
    <row r="446" spans="5:6">
      <c r="E446" s="25"/>
      <c r="F446" s="25"/>
    </row>
    <row r="447" spans="5:6">
      <c r="E447" s="25"/>
      <c r="F447" s="25"/>
    </row>
    <row r="448" spans="5:6">
      <c r="E448" s="25"/>
      <c r="F448" s="25"/>
    </row>
    <row r="449" spans="5:6">
      <c r="E449" s="25"/>
      <c r="F449" s="25"/>
    </row>
    <row r="450" spans="5:6">
      <c r="E450" s="25"/>
      <c r="F450" s="25"/>
    </row>
    <row r="451" spans="5:6">
      <c r="E451" s="25"/>
      <c r="F451" s="25"/>
    </row>
    <row r="452" spans="5:6">
      <c r="E452" s="25"/>
      <c r="F452" s="25"/>
    </row>
    <row r="453" spans="5:6">
      <c r="E453" s="25"/>
      <c r="F453" s="25"/>
    </row>
    <row r="454" spans="5:6">
      <c r="E454" s="25"/>
      <c r="F454" s="25"/>
    </row>
    <row r="455" spans="5:6">
      <c r="E455" s="25"/>
      <c r="F455" s="25"/>
    </row>
    <row r="456" spans="5:6">
      <c r="E456" s="25"/>
      <c r="F456" s="25"/>
    </row>
    <row r="457" spans="5:6">
      <c r="E457" s="25"/>
      <c r="F457" s="25"/>
    </row>
    <row r="458" spans="5:6">
      <c r="E458" s="25"/>
      <c r="F458" s="25"/>
    </row>
    <row r="459" spans="5:6">
      <c r="E459" s="25"/>
      <c r="F459" s="25"/>
    </row>
    <row r="460" spans="5:6">
      <c r="E460" s="25"/>
      <c r="F460" s="25"/>
    </row>
    <row r="461" spans="5:6">
      <c r="E461" s="25"/>
      <c r="F461" s="25"/>
    </row>
    <row r="462" spans="5:6">
      <c r="E462" s="25"/>
      <c r="F462" s="25"/>
    </row>
    <row r="463" spans="5:6">
      <c r="E463" s="25"/>
      <c r="F463" s="25"/>
    </row>
    <row r="464" spans="5:6">
      <c r="E464" s="25"/>
      <c r="F464" s="25"/>
    </row>
    <row r="465" spans="5:6">
      <c r="E465" s="25"/>
      <c r="F465" s="25"/>
    </row>
    <row r="466" spans="5:6">
      <c r="E466" s="25"/>
      <c r="F466" s="25"/>
    </row>
    <row r="467" spans="5:6">
      <c r="E467" s="25"/>
      <c r="F467" s="25"/>
    </row>
    <row r="468" spans="5:6">
      <c r="E468" s="25"/>
      <c r="F468" s="25"/>
    </row>
    <row r="469" spans="5:6">
      <c r="E469" s="25"/>
      <c r="F469" s="25"/>
    </row>
    <row r="470" spans="5:6">
      <c r="E470" s="25"/>
      <c r="F470" s="25"/>
    </row>
    <row r="471" spans="5:6">
      <c r="E471" s="25"/>
      <c r="F471" s="25"/>
    </row>
    <row r="472" spans="5:6">
      <c r="E472" s="25"/>
      <c r="F472" s="25"/>
    </row>
    <row r="473" spans="5:6">
      <c r="E473" s="25"/>
      <c r="F473" s="25"/>
    </row>
    <row r="474" spans="5:6">
      <c r="E474" s="25"/>
      <c r="F474" s="25"/>
    </row>
    <row r="475" spans="5:6">
      <c r="E475" s="25"/>
      <c r="F475" s="25"/>
    </row>
    <row r="476" spans="5:6">
      <c r="E476" s="25"/>
      <c r="F476" s="25"/>
    </row>
    <row r="477" spans="5:6">
      <c r="E477" s="25"/>
      <c r="F477" s="25"/>
    </row>
    <row r="478" spans="5:6">
      <c r="E478" s="25"/>
      <c r="F478" s="25"/>
    </row>
    <row r="479" spans="5:6">
      <c r="E479" s="25"/>
      <c r="F479" s="25"/>
    </row>
    <row r="480" spans="5:6">
      <c r="E480" s="25"/>
      <c r="F480" s="25"/>
    </row>
    <row r="481" spans="5:6">
      <c r="E481" s="25"/>
      <c r="F481" s="25"/>
    </row>
    <row r="482" spans="5:6">
      <c r="E482" s="25"/>
      <c r="F482" s="25"/>
    </row>
    <row r="483" spans="5:6">
      <c r="E483" s="25"/>
      <c r="F483" s="25"/>
    </row>
    <row r="484" spans="5:6">
      <c r="E484" s="25"/>
      <c r="F484" s="25"/>
    </row>
    <row r="485" spans="5:6">
      <c r="E485" s="25"/>
      <c r="F485" s="25"/>
    </row>
    <row r="486" spans="5:6">
      <c r="E486" s="25"/>
      <c r="F486" s="25"/>
    </row>
    <row r="487" spans="5:6">
      <c r="E487" s="25"/>
      <c r="F487" s="25"/>
    </row>
    <row r="488" spans="5:6">
      <c r="E488" s="25"/>
      <c r="F488" s="25"/>
    </row>
    <row r="489" spans="5:6">
      <c r="E489" s="25"/>
      <c r="F489" s="25"/>
    </row>
    <row r="490" spans="5:6">
      <c r="E490" s="25"/>
      <c r="F490" s="25"/>
    </row>
    <row r="491" spans="5:6">
      <c r="E491" s="25"/>
      <c r="F491" s="25"/>
    </row>
    <row r="492" spans="5:6">
      <c r="E492" s="25"/>
      <c r="F492" s="25"/>
    </row>
    <row r="493" spans="5:6">
      <c r="E493" s="25"/>
      <c r="F493" s="25"/>
    </row>
    <row r="494" spans="5:6">
      <c r="E494" s="25"/>
      <c r="F494" s="25"/>
    </row>
    <row r="495" spans="5:6">
      <c r="E495" s="25"/>
      <c r="F495" s="25"/>
    </row>
    <row r="496" spans="5:6">
      <c r="E496" s="25"/>
      <c r="F496" s="25"/>
    </row>
    <row r="497" spans="5:6">
      <c r="E497" s="25"/>
      <c r="F497" s="25"/>
    </row>
    <row r="498" spans="5:6">
      <c r="E498" s="25"/>
      <c r="F498" s="25"/>
    </row>
    <row r="499" spans="5:6">
      <c r="E499" s="25"/>
      <c r="F499" s="25"/>
    </row>
    <row r="500" spans="5:6">
      <c r="E500" s="25"/>
      <c r="F500" s="25"/>
    </row>
    <row r="501" spans="5:6">
      <c r="E501" s="25"/>
      <c r="F501" s="25"/>
    </row>
    <row r="502" spans="5:6">
      <c r="E502" s="25"/>
      <c r="F502" s="25"/>
    </row>
    <row r="503" spans="5:6">
      <c r="E503" s="25"/>
      <c r="F503" s="25"/>
    </row>
    <row r="504" spans="5:6">
      <c r="E504" s="25"/>
      <c r="F504" s="25"/>
    </row>
    <row r="505" spans="5:6">
      <c r="E505" s="25"/>
      <c r="F505" s="25"/>
    </row>
    <row r="506" spans="5:6">
      <c r="E506" s="25"/>
      <c r="F506" s="25"/>
    </row>
    <row r="507" spans="5:6">
      <c r="E507" s="25"/>
      <c r="F507" s="25"/>
    </row>
    <row r="508" spans="5:6">
      <c r="E508" s="25"/>
      <c r="F508" s="25"/>
    </row>
    <row r="509" spans="5:6">
      <c r="E509" s="25"/>
      <c r="F509" s="25"/>
    </row>
    <row r="510" spans="5:6">
      <c r="E510" s="25"/>
      <c r="F510" s="25"/>
    </row>
    <row r="511" spans="5:6">
      <c r="E511" s="25"/>
      <c r="F511" s="25"/>
    </row>
    <row r="512" spans="5:6">
      <c r="E512" s="25"/>
      <c r="F512" s="25"/>
    </row>
    <row r="513" spans="5:6">
      <c r="E513" s="25"/>
      <c r="F513" s="25"/>
    </row>
    <row r="514" spans="5:6">
      <c r="E514" s="25"/>
      <c r="F514" s="25"/>
    </row>
    <row r="515" spans="5:6">
      <c r="E515" s="25"/>
      <c r="F515" s="25"/>
    </row>
    <row r="516" spans="5:6">
      <c r="E516" s="25"/>
      <c r="F516" s="25"/>
    </row>
    <row r="517" spans="5:6">
      <c r="E517" s="25"/>
      <c r="F517" s="25"/>
    </row>
    <row r="518" spans="5:6">
      <c r="E518" s="25"/>
      <c r="F518" s="25"/>
    </row>
    <row r="519" spans="5:6">
      <c r="E519" s="25"/>
      <c r="F519" s="25"/>
    </row>
    <row r="520" spans="5:6">
      <c r="E520" s="25"/>
      <c r="F520" s="25"/>
    </row>
    <row r="521" spans="5:6">
      <c r="E521" s="25"/>
      <c r="F521" s="25"/>
    </row>
    <row r="522" spans="5:6">
      <c r="E522" s="25"/>
      <c r="F522" s="25"/>
    </row>
    <row r="523" spans="5:6">
      <c r="E523" s="25"/>
      <c r="F523" s="25"/>
    </row>
    <row r="524" spans="5:6">
      <c r="E524" s="25"/>
      <c r="F524" s="25"/>
    </row>
    <row r="525" spans="5:6">
      <c r="E525" s="25"/>
      <c r="F525" s="25"/>
    </row>
    <row r="526" spans="5:6">
      <c r="E526" s="25"/>
      <c r="F526" s="25"/>
    </row>
    <row r="527" spans="5:6">
      <c r="E527" s="25"/>
      <c r="F527" s="25"/>
    </row>
    <row r="528" spans="5:6">
      <c r="E528" s="25"/>
      <c r="F528" s="25"/>
    </row>
    <row r="529" spans="5:6">
      <c r="E529" s="25"/>
      <c r="F529" s="25"/>
    </row>
    <row r="530" spans="5:6">
      <c r="E530" s="25"/>
      <c r="F530" s="25"/>
    </row>
    <row r="531" spans="5:6">
      <c r="E531" s="25"/>
      <c r="F531" s="25"/>
    </row>
    <row r="532" spans="5:6">
      <c r="E532" s="25"/>
      <c r="F532" s="25"/>
    </row>
    <row r="533" spans="5:6">
      <c r="E533" s="25"/>
      <c r="F533" s="25"/>
    </row>
    <row r="534" spans="5:6">
      <c r="E534" s="25"/>
      <c r="F534" s="25"/>
    </row>
    <row r="535" spans="5:6">
      <c r="E535" s="25"/>
      <c r="F535" s="25"/>
    </row>
    <row r="536" spans="5:6">
      <c r="E536" s="25"/>
      <c r="F536" s="25"/>
    </row>
    <row r="537" spans="5:6">
      <c r="E537" s="25"/>
      <c r="F537" s="25"/>
    </row>
    <row r="538" spans="5:6">
      <c r="E538" s="25"/>
      <c r="F538" s="25"/>
    </row>
    <row r="539" spans="5:6">
      <c r="E539" s="25"/>
      <c r="F539" s="25"/>
    </row>
    <row r="540" spans="5:6">
      <c r="E540" s="25"/>
      <c r="F540" s="25"/>
    </row>
    <row r="541" spans="5:6">
      <c r="E541" s="25"/>
      <c r="F541" s="25"/>
    </row>
    <row r="542" spans="5:6">
      <c r="E542" s="25"/>
      <c r="F542" s="25"/>
    </row>
    <row r="543" spans="5:6">
      <c r="E543" s="25"/>
      <c r="F543" s="25"/>
    </row>
    <row r="544" spans="5:6">
      <c r="E544" s="25"/>
      <c r="F544" s="25"/>
    </row>
    <row r="545" spans="5:6">
      <c r="E545" s="25"/>
      <c r="F545" s="25"/>
    </row>
    <row r="546" spans="5:6">
      <c r="E546" s="25"/>
      <c r="F546" s="25"/>
    </row>
    <row r="547" spans="5:6">
      <c r="E547" s="25"/>
      <c r="F547" s="25"/>
    </row>
    <row r="548" spans="5:6">
      <c r="E548" s="25"/>
      <c r="F548" s="25"/>
    </row>
    <row r="549" spans="5:6">
      <c r="E549" s="25"/>
      <c r="F549" s="25"/>
    </row>
    <row r="550" spans="5:6">
      <c r="E550" s="25"/>
      <c r="F550" s="25"/>
    </row>
    <row r="551" spans="5:6">
      <c r="E551" s="25"/>
      <c r="F551" s="25"/>
    </row>
    <row r="552" spans="5:6">
      <c r="E552" s="25"/>
      <c r="F552" s="25"/>
    </row>
    <row r="553" spans="5:6">
      <c r="E553" s="25"/>
      <c r="F553" s="25"/>
    </row>
    <row r="554" spans="5:6">
      <c r="E554" s="25"/>
      <c r="F554" s="25"/>
    </row>
    <row r="555" spans="5:6">
      <c r="E555" s="25"/>
      <c r="F555" s="25"/>
    </row>
    <row r="556" spans="5:6">
      <c r="E556" s="25"/>
      <c r="F556" s="25"/>
    </row>
  </sheetData>
  <mergeCells count="1">
    <mergeCell ref="D21:E21"/>
  </mergeCells>
  <phoneticPr fontId="2"/>
  <dataValidations count="1">
    <dataValidation type="list" allowBlank="1" showInputMessage="1" showErrorMessage="1" sqref="M21:M29" xr:uid="{D22443E6-6577-473B-BC8C-AA5EBD68F2D4}">
      <formula1>"OK,NG"</formula1>
    </dataValidation>
  </dataValidations>
  <printOptions horizontalCentered="1"/>
  <pageMargins left="0.39370078740157483" right="0.39370078740157483" top="0.39370078740157483" bottom="0.39370078740157483" header="0.19685039370078741" footer="0.19685039370078741"/>
  <pageSetup paperSize="9" scale="54" fitToHeight="0" orientation="landscape" r:id="rId1"/>
  <headerFooter alignWithMargins="0">
    <oddFooter>&amp;C&amp;"ＭＳ　明朝,標準"&amp;9- &amp;P -</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9</vt:i4>
      </vt:variant>
    </vt:vector>
  </HeadingPairs>
  <TitlesOfParts>
    <vt:vector size="14" baseType="lpstr">
      <vt:lpstr>表紙</vt:lpstr>
      <vt:lpstr>変更履歴</vt:lpstr>
      <vt:lpstr>【テストターゲット名】_クラス単体</vt:lpstr>
      <vt:lpstr>【テストターゲット名】_リクエスト単体</vt:lpstr>
      <vt:lpstr>取引単体</vt:lpstr>
      <vt:lpstr>【テストターゲット名】_クラス単体!Print_Area</vt:lpstr>
      <vt:lpstr>【テストターゲット名】_リクエスト単体!Print_Area</vt:lpstr>
      <vt:lpstr>取引単体!Print_Area</vt:lpstr>
      <vt:lpstr>表紙!Print_Area</vt:lpstr>
      <vt:lpstr>変更履歴!Print_Area</vt:lpstr>
      <vt:lpstr>【テストターゲット名】_クラス単体!Print_Titles</vt:lpstr>
      <vt:lpstr>【テストターゲット名】_リクエスト単体!Print_Titles</vt:lpstr>
      <vt:lpstr>取引単体!Print_Titles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2018-09-27T02:16:02Z</dcterms:created>
  <dcterms:modified xsi:type="dcterms:W3CDTF">2024-08-07T00:24:16Z</dcterms:modified>
</cp:coreProperties>
</file>